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learning-area\uit-msc\subjects\phan-tich-du-lieu-kinh-doanh\assignments\hw3\"/>
    </mc:Choice>
  </mc:AlternateContent>
  <xr:revisionPtr revIDLastSave="0" documentId="13_ncr:1_{5AFC1557-ED53-4770-8129-806842BF12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ression-result-2" sheetId="8" r:id="rId1"/>
    <sheet name="data (2)" sheetId="5" r:id="rId2"/>
    <sheet name="regression-result" sheetId="3" r:id="rId3"/>
    <sheet name="data" sheetId="2" r:id="rId4"/>
    <sheet name="danh-gi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3" l="1"/>
  <c r="E31" i="3" s="1"/>
  <c r="E36" i="3"/>
  <c r="E37" i="3"/>
  <c r="E38" i="3"/>
  <c r="E44" i="3"/>
  <c r="E45" i="3"/>
  <c r="E46" i="3"/>
  <c r="E52" i="3"/>
  <c r="E53" i="3"/>
  <c r="E54" i="3"/>
  <c r="E60" i="3"/>
  <c r="E61" i="3"/>
  <c r="E62" i="3"/>
  <c r="E68" i="3"/>
  <c r="E69" i="3"/>
  <c r="E70" i="3"/>
  <c r="E76" i="3"/>
  <c r="E77" i="3"/>
  <c r="E78" i="3"/>
  <c r="E84" i="3"/>
  <c r="E85" i="3"/>
  <c r="E86" i="3"/>
  <c r="D4" i="3"/>
  <c r="J26" i="3" a="1"/>
  <c r="J26" i="3" s="1"/>
  <c r="B23" i="4"/>
  <c r="B1" i="4"/>
  <c r="B21" i="4"/>
  <c r="P3" i="2"/>
  <c r="R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M1" i="2"/>
  <c r="B16" i="4"/>
  <c r="B15" i="4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3" i="2"/>
  <c r="B13" i="4"/>
  <c r="B12" i="4"/>
  <c r="B11" i="4"/>
  <c r="B14" i="4" s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B8" i="4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3" i="2"/>
  <c r="B7" i="4"/>
  <c r="B20" i="4" s="1"/>
  <c r="B6" i="4"/>
  <c r="B5" i="4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3" i="2"/>
  <c r="B2" i="4" s="1"/>
  <c r="E25" i="3"/>
  <c r="E83" i="3" l="1"/>
  <c r="E75" i="3"/>
  <c r="E67" i="3"/>
  <c r="E59" i="3"/>
  <c r="E51" i="3"/>
  <c r="E43" i="3"/>
  <c r="E35" i="3"/>
  <c r="E82" i="3"/>
  <c r="E74" i="3"/>
  <c r="E66" i="3"/>
  <c r="E58" i="3"/>
  <c r="E50" i="3"/>
  <c r="E42" i="3"/>
  <c r="E34" i="3"/>
  <c r="E30" i="3"/>
  <c r="E81" i="3"/>
  <c r="E73" i="3"/>
  <c r="E65" i="3"/>
  <c r="E57" i="3"/>
  <c r="E49" i="3"/>
  <c r="E41" i="3"/>
  <c r="E33" i="3"/>
  <c r="E88" i="3"/>
  <c r="E80" i="3"/>
  <c r="E72" i="3"/>
  <c r="E64" i="3"/>
  <c r="E56" i="3"/>
  <c r="E48" i="3"/>
  <c r="E40" i="3"/>
  <c r="E32" i="3"/>
  <c r="E87" i="3"/>
  <c r="E79" i="3"/>
  <c r="E71" i="3"/>
  <c r="E63" i="3"/>
  <c r="E55" i="3"/>
  <c r="E47" i="3"/>
  <c r="E39" i="3"/>
  <c r="B19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<sst xmlns="http://schemas.openxmlformats.org/spreadsheetml/2006/main" count="488" uniqueCount="102">
  <si>
    <t>Province</t>
  </si>
  <si>
    <t>House direction</t>
  </si>
  <si>
    <t>Balcony direction</t>
  </si>
  <si>
    <t>Area</t>
  </si>
  <si>
    <t>Frontage</t>
  </si>
  <si>
    <t>Access Road</t>
  </si>
  <si>
    <t>Floors</t>
  </si>
  <si>
    <t>Bedrooms</t>
  </si>
  <si>
    <t>Bathrooms</t>
  </si>
  <si>
    <t>Price</t>
  </si>
  <si>
    <t>Quảng Ninh</t>
  </si>
  <si>
    <t>Đông</t>
  </si>
  <si>
    <t>Nam</t>
  </si>
  <si>
    <t>Hồ Chí Minh</t>
  </si>
  <si>
    <t>Đông - Nam</t>
  </si>
  <si>
    <t>Phú Thọ</t>
  </si>
  <si>
    <t>Hưng Yên</t>
  </si>
  <si>
    <t>Hà Nội</t>
  </si>
  <si>
    <t>Tây - Bắc</t>
  </si>
  <si>
    <t>Đông - Bắc</t>
  </si>
  <si>
    <t>Tây - Nam</t>
  </si>
  <si>
    <t>Bắc</t>
  </si>
  <si>
    <t>Long An</t>
  </si>
  <si>
    <t>Tây</t>
  </si>
  <si>
    <t>Bắc Ninh</t>
  </si>
  <si>
    <t>Đà Nẵng</t>
  </si>
  <si>
    <t>Đồng Nai</t>
  </si>
  <si>
    <t>Khánh Hòa</t>
  </si>
  <si>
    <t>Hà Nam</t>
  </si>
  <si>
    <t>Nghệ An</t>
  </si>
  <si>
    <t>Hải Phòng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</si>
  <si>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</si>
  <si>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</si>
  <si>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</si>
  <si>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</si>
  <si>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</si>
  <si>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</si>
  <si>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</si>
  <si>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</si>
  <si>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</si>
  <si>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</si>
  <si>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</si>
  <si>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</si>
  <si>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</si>
  <si>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</si>
  <si>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</si>
  <si>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</si>
  <si>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</si>
  <si>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</si>
  <si>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</si>
  <si>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</si>
  <si>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</si>
  <si>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</si>
  <si>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</si>
  <si>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</si>
  <si>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</si>
  <si>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</si>
  <si>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Price</t>
  </si>
  <si>
    <t>Residuals</t>
  </si>
  <si>
    <t>Standard Residuals</t>
  </si>
  <si>
    <t>PROBABILITY OUTPUT</t>
  </si>
  <si>
    <t>Percentile</t>
  </si>
  <si>
    <t>y predict</t>
  </si>
  <si>
    <t>y mean</t>
  </si>
  <si>
    <t>Mean Absolute Error – MAE</t>
  </si>
  <si>
    <t>|Residuals|</t>
  </si>
  <si>
    <t>Median Absolute Error – MEDAE</t>
  </si>
  <si>
    <t>Sum of Absolute Errors – SAE</t>
  </si>
  <si>
    <t>Mean Absolute Percentage Error - MAPE</t>
  </si>
  <si>
    <t>|Residuals|/|y|</t>
  </si>
  <si>
    <t>n</t>
  </si>
  <si>
    <t>%</t>
  </si>
  <si>
    <t>1.1.Các tiêu chí dựa trên sai số tuyệt đối</t>
  </si>
  <si>
    <t>1.2 Các tiêu chí dựa trên bình phương phương sai tuyệt đối</t>
  </si>
  <si>
    <t>Mean Squared Error – MSE</t>
  </si>
  <si>
    <t>Median Squared Error – MedSE</t>
  </si>
  <si>
    <t>Sum of Squared Errors – SSE</t>
  </si>
  <si>
    <t>Root Mean Squared Error – RMSE</t>
  </si>
  <si>
    <t>Mean Squared Logarithmic Error MSLE</t>
  </si>
  <si>
    <t>RMSLE</t>
  </si>
  <si>
    <t>1.3.	R Square khảo sát sai số tương đối</t>
  </si>
  <si>
    <t>Relative Root Squared Error- RRSE</t>
  </si>
  <si>
    <t>y mean =</t>
  </si>
  <si>
    <t>Relative Absolute Error – RAE</t>
  </si>
  <si>
    <t>R- Squared (𝐑𝟐 )</t>
  </si>
  <si>
    <t>(công thức trong sách sai)</t>
  </si>
  <si>
    <t>Adjusted R²</t>
  </si>
  <si>
    <t>k=</t>
  </si>
  <si>
    <t>càng gần 0 càng tốt</t>
  </si>
  <si>
    <t>MAE</t>
  </si>
  <si>
    <t>càng gần 0 càng tốt, MAE và MEDAE càng gần nhau càng tốt</t>
  </si>
  <si>
    <t>http://ceb.net.vn/ML/score.html</t>
  </si>
  <si>
    <t>coi phan Residuals cái nào &gt; 2 hoặc 3 SE thì nó là outliner</t>
  </si>
  <si>
    <t>số quan sát</t>
  </si>
  <si>
    <t>bậc tự do</t>
  </si>
  <si>
    <t>Regression (k)</t>
  </si>
  <si>
    <t>Residual (n-k-1)</t>
  </si>
  <si>
    <t>P-value hết hết mô hình</t>
  </si>
  <si>
    <t>de tra tra bảng F</t>
  </si>
  <si>
    <t>Kiem dinh H0: betai = 0</t>
  </si>
  <si>
    <t>&gt;2*sigma</t>
  </si>
  <si>
    <t>loai di mo hinh se tot 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</si>
</sst>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"/>
    <numFmt numFmtId="165" formatCode="0.0000000"/>
    <numFmt numFmtId="166" formatCode="0.000000"/>
    <numFmt numFmtId="167" formatCode="0.00000"/>
    <numFmt numFmtId="168" formatCode="0.0000"/>
    <numFmt numFmtId="169" formatCode="0.0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Continuous"/>
    </xf>
    <xf numFmtId="0" fontId="5" fillId="0" borderId="3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4" xfId="0" applyFont="1" applyFill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6" fillId="0" borderId="0" xfId="0" applyFont="1"/>
    <xf numFmtId="0" fontId="3" fillId="0" borderId="4" xfId="0" applyFont="1" applyFill="1" applyBorder="1" applyAlignment="1">
      <alignment horizontal="left" vertical="top"/>
    </xf>
    <xf numFmtId="0" fontId="4" fillId="0" borderId="3" xfId="0" quotePrefix="1" applyFont="1" applyFill="1" applyBorder="1" applyAlignment="1">
      <alignment horizontal="center"/>
    </xf>
    <xf numFmtId="0" fontId="0" fillId="0" borderId="0" xfId="0" quotePrefix="1"/>
    <xf numFmtId="0" fontId="3" fillId="0" borderId="0" xfId="0" applyFont="1" applyFill="1" applyBorder="1" applyAlignment="1">
      <alignment horizontal="left" vertical="top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2" fillId="0" borderId="0" xfId="0" quotePrefix="1" applyFont="1"/>
    <xf numFmtId="0" fontId="2" fillId="0" borderId="0" xfId="0" applyFont="1"/>
    <xf numFmtId="0" fontId="7" fillId="0" borderId="0" xfId="1"/>
    <xf numFmtId="0" fontId="0" fillId="2" borderId="0" xfId="0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Area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data!$E$3:$E$61</c:f>
              <c:numCache>
                <c:formatCode>General</c:formatCode>
                <c:ptCount val="59"/>
                <c:pt idx="0">
                  <c:v>300</c:v>
                </c:pt>
                <c:pt idx="1">
                  <c:v>46</c:v>
                </c:pt>
                <c:pt idx="2">
                  <c:v>60</c:v>
                </c:pt>
                <c:pt idx="3">
                  <c:v>369</c:v>
                </c:pt>
                <c:pt idx="4">
                  <c:v>78</c:v>
                </c:pt>
                <c:pt idx="5">
                  <c:v>54</c:v>
                </c:pt>
                <c:pt idx="6">
                  <c:v>69.099999999999994</c:v>
                </c:pt>
                <c:pt idx="7">
                  <c:v>36</c:v>
                </c:pt>
                <c:pt idx="8">
                  <c:v>100</c:v>
                </c:pt>
                <c:pt idx="9">
                  <c:v>151</c:v>
                </c:pt>
                <c:pt idx="10">
                  <c:v>33</c:v>
                </c:pt>
                <c:pt idx="11">
                  <c:v>38</c:v>
                </c:pt>
                <c:pt idx="12">
                  <c:v>180</c:v>
                </c:pt>
                <c:pt idx="13">
                  <c:v>33</c:v>
                </c:pt>
                <c:pt idx="14">
                  <c:v>64</c:v>
                </c:pt>
                <c:pt idx="15">
                  <c:v>53</c:v>
                </c:pt>
                <c:pt idx="16">
                  <c:v>31</c:v>
                </c:pt>
                <c:pt idx="17">
                  <c:v>65</c:v>
                </c:pt>
                <c:pt idx="18">
                  <c:v>45</c:v>
                </c:pt>
                <c:pt idx="19">
                  <c:v>30</c:v>
                </c:pt>
                <c:pt idx="20">
                  <c:v>42</c:v>
                </c:pt>
                <c:pt idx="21">
                  <c:v>40</c:v>
                </c:pt>
                <c:pt idx="22">
                  <c:v>52</c:v>
                </c:pt>
                <c:pt idx="23">
                  <c:v>34</c:v>
                </c:pt>
                <c:pt idx="24">
                  <c:v>51</c:v>
                </c:pt>
                <c:pt idx="25">
                  <c:v>40</c:v>
                </c:pt>
                <c:pt idx="26">
                  <c:v>30</c:v>
                </c:pt>
                <c:pt idx="27">
                  <c:v>45</c:v>
                </c:pt>
                <c:pt idx="28">
                  <c:v>31</c:v>
                </c:pt>
                <c:pt idx="29">
                  <c:v>35</c:v>
                </c:pt>
                <c:pt idx="30">
                  <c:v>60</c:v>
                </c:pt>
                <c:pt idx="31">
                  <c:v>102.6</c:v>
                </c:pt>
                <c:pt idx="32">
                  <c:v>198.5</c:v>
                </c:pt>
                <c:pt idx="33">
                  <c:v>60</c:v>
                </c:pt>
                <c:pt idx="34">
                  <c:v>90.8</c:v>
                </c:pt>
                <c:pt idx="35">
                  <c:v>98.7</c:v>
                </c:pt>
                <c:pt idx="36">
                  <c:v>54</c:v>
                </c:pt>
                <c:pt idx="37">
                  <c:v>36</c:v>
                </c:pt>
                <c:pt idx="38">
                  <c:v>105</c:v>
                </c:pt>
                <c:pt idx="39">
                  <c:v>33</c:v>
                </c:pt>
                <c:pt idx="40">
                  <c:v>75</c:v>
                </c:pt>
                <c:pt idx="41">
                  <c:v>60</c:v>
                </c:pt>
                <c:pt idx="42">
                  <c:v>35</c:v>
                </c:pt>
                <c:pt idx="43">
                  <c:v>157</c:v>
                </c:pt>
                <c:pt idx="44">
                  <c:v>70</c:v>
                </c:pt>
                <c:pt idx="45">
                  <c:v>37</c:v>
                </c:pt>
                <c:pt idx="46">
                  <c:v>30</c:v>
                </c:pt>
                <c:pt idx="47">
                  <c:v>36</c:v>
                </c:pt>
                <c:pt idx="48">
                  <c:v>60</c:v>
                </c:pt>
                <c:pt idx="49">
                  <c:v>44</c:v>
                </c:pt>
                <c:pt idx="50">
                  <c:v>63</c:v>
                </c:pt>
                <c:pt idx="51">
                  <c:v>175</c:v>
                </c:pt>
                <c:pt idx="52">
                  <c:v>30.5</c:v>
                </c:pt>
                <c:pt idx="53">
                  <c:v>127</c:v>
                </c:pt>
                <c:pt idx="54">
                  <c:v>32</c:v>
                </c:pt>
                <c:pt idx="55">
                  <c:v>50</c:v>
                </c:pt>
                <c:pt idx="56">
                  <c:v>50</c:v>
                </c:pt>
                <c:pt idx="57">
                  <c:v>70</c:v>
                </c:pt>
                <c:pt idx="58">
                  <c:v>53</c:v>
                </c:pt>
              </c:numCache>
            </c:numRef>
          </c:xVal>
          <c:yVal>
            <c:numRef>
              <c:f>'regression-result'!$C$30:$C$88</c:f>
              <c:numCache>
                <c:formatCode>General</c:formatCode>
                <c:ptCount val="59"/>
                <c:pt idx="0">
                  <c:v>-6.3197935932828742E-2</c:v>
                </c:pt>
                <c:pt idx="1">
                  <c:v>1.431051036741545</c:v>
                </c:pt>
                <c:pt idx="2">
                  <c:v>-1.3367327076326276</c:v>
                </c:pt>
                <c:pt idx="3">
                  <c:v>-2.1568220845276942</c:v>
                </c:pt>
                <c:pt idx="4">
                  <c:v>-2.1996825569017275E-2</c:v>
                </c:pt>
                <c:pt idx="5">
                  <c:v>0.75135952272495032</c:v>
                </c:pt>
                <c:pt idx="6">
                  <c:v>4.6882063284916935</c:v>
                </c:pt>
                <c:pt idx="7">
                  <c:v>-0.12377671963076864</c:v>
                </c:pt>
                <c:pt idx="8">
                  <c:v>-1.2684338902130756</c:v>
                </c:pt>
                <c:pt idx="9">
                  <c:v>-2.3434154038790185</c:v>
                </c:pt>
                <c:pt idx="10">
                  <c:v>-0.95866155092973315</c:v>
                </c:pt>
                <c:pt idx="11">
                  <c:v>1.3353008751675928</c:v>
                </c:pt>
                <c:pt idx="12">
                  <c:v>0.91481681992782526</c:v>
                </c:pt>
                <c:pt idx="13">
                  <c:v>-1.3933941992393422</c:v>
                </c:pt>
                <c:pt idx="14">
                  <c:v>-0.21326332344741328</c:v>
                </c:pt>
                <c:pt idx="15">
                  <c:v>-2.0757145422994876</c:v>
                </c:pt>
                <c:pt idx="16">
                  <c:v>1.6755774465586653</c:v>
                </c:pt>
                <c:pt idx="17">
                  <c:v>-0.19715993862532333</c:v>
                </c:pt>
                <c:pt idx="18">
                  <c:v>-0.21304187245903528</c:v>
                </c:pt>
                <c:pt idx="19">
                  <c:v>-1.2513329785634202</c:v>
                </c:pt>
                <c:pt idx="20">
                  <c:v>2.8134972140225143</c:v>
                </c:pt>
                <c:pt idx="21">
                  <c:v>0.24152840323100389</c:v>
                </c:pt>
                <c:pt idx="22">
                  <c:v>1.6759316770250425</c:v>
                </c:pt>
                <c:pt idx="23">
                  <c:v>-2.346925085922607</c:v>
                </c:pt>
                <c:pt idx="24">
                  <c:v>0.74230304783534429</c:v>
                </c:pt>
                <c:pt idx="25">
                  <c:v>-3.0875137026573345</c:v>
                </c:pt>
                <c:pt idx="26">
                  <c:v>-1.426813178569355</c:v>
                </c:pt>
                <c:pt idx="27">
                  <c:v>-1.9598708370867262</c:v>
                </c:pt>
                <c:pt idx="28">
                  <c:v>-0.83392870874789793</c:v>
                </c:pt>
                <c:pt idx="29">
                  <c:v>1.247286517775847</c:v>
                </c:pt>
                <c:pt idx="30">
                  <c:v>0.95181373862552299</c:v>
                </c:pt>
                <c:pt idx="31">
                  <c:v>2.1101145590728487</c:v>
                </c:pt>
                <c:pt idx="32">
                  <c:v>1.6873354281975717</c:v>
                </c:pt>
                <c:pt idx="33">
                  <c:v>0.60914135835219341</c:v>
                </c:pt>
                <c:pt idx="34">
                  <c:v>9.2943263383812535E-2</c:v>
                </c:pt>
                <c:pt idx="35">
                  <c:v>-1.9320196497251301</c:v>
                </c:pt>
                <c:pt idx="36">
                  <c:v>2.3550788119631076</c:v>
                </c:pt>
                <c:pt idx="37">
                  <c:v>-1.5326709061664747</c:v>
                </c:pt>
                <c:pt idx="38">
                  <c:v>-1.1194344959994682</c:v>
                </c:pt>
                <c:pt idx="39">
                  <c:v>-1.0405795826486344</c:v>
                </c:pt>
                <c:pt idx="40">
                  <c:v>-1.8853944834326768</c:v>
                </c:pt>
                <c:pt idx="41">
                  <c:v>0.65706059619861445</c:v>
                </c:pt>
                <c:pt idx="42">
                  <c:v>-2.5431668108066083</c:v>
                </c:pt>
                <c:pt idx="43">
                  <c:v>-1.2904944812126118E-2</c:v>
                </c:pt>
                <c:pt idx="44">
                  <c:v>3.6751436116672522</c:v>
                </c:pt>
                <c:pt idx="45">
                  <c:v>1.7322261007721655</c:v>
                </c:pt>
                <c:pt idx="46">
                  <c:v>-2.2892827058420275</c:v>
                </c:pt>
                <c:pt idx="47">
                  <c:v>-2.0509545648133898</c:v>
                </c:pt>
                <c:pt idx="48">
                  <c:v>0.76790572733334717</c:v>
                </c:pt>
                <c:pt idx="49">
                  <c:v>3.4039119012914032</c:v>
                </c:pt>
                <c:pt idx="50">
                  <c:v>3.2062038004814184</c:v>
                </c:pt>
                <c:pt idx="51">
                  <c:v>2.2063094555802278</c:v>
                </c:pt>
                <c:pt idx="52">
                  <c:v>-2.0259777584243772</c:v>
                </c:pt>
                <c:pt idx="53">
                  <c:v>-1.113221496386263</c:v>
                </c:pt>
                <c:pt idx="54">
                  <c:v>-0.70833984804854566</c:v>
                </c:pt>
                <c:pt idx="55">
                  <c:v>-1.7907235111988298</c:v>
                </c:pt>
                <c:pt idx="56">
                  <c:v>-0.46868293466633748</c:v>
                </c:pt>
                <c:pt idx="57">
                  <c:v>2.7090981822414077</c:v>
                </c:pt>
                <c:pt idx="58">
                  <c:v>0.10420375424059891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57D-44A7-AF17-B4E49701F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530688"/>
        <c:axId val="432536448"/>
      </c:scatterChart>
      <c:valAx>
        <c:axId val="432530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2536448"/>
        <c:crosses val="autoZero"/>
        <c:crossBetween val="midCat"/>
      </c:valAx>
      <c:valAx>
        <c:axId val="4325364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253068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Frontage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data!$F$3:$F$61</c:f>
              <c:numCache>
                <c:formatCode>General</c:formatCode>
                <c:ptCount val="59"/>
                <c:pt idx="0">
                  <c:v>15</c:v>
                </c:pt>
                <c:pt idx="1">
                  <c:v>4.5999999999999996</c:v>
                </c:pt>
                <c:pt idx="2">
                  <c:v>3.5</c:v>
                </c:pt>
                <c:pt idx="3">
                  <c:v>15</c:v>
                </c:pt>
                <c:pt idx="4">
                  <c:v>6</c:v>
                </c:pt>
                <c:pt idx="5">
                  <c:v>5.8</c:v>
                </c:pt>
                <c:pt idx="6">
                  <c:v>4</c:v>
                </c:pt>
                <c:pt idx="7">
                  <c:v>7</c:v>
                </c:pt>
                <c:pt idx="8">
                  <c:v>20</c:v>
                </c:pt>
                <c:pt idx="9">
                  <c:v>4</c:v>
                </c:pt>
                <c:pt idx="10">
                  <c:v>3</c:v>
                </c:pt>
                <c:pt idx="11">
                  <c:v>4.2</c:v>
                </c:pt>
                <c:pt idx="12">
                  <c:v>9</c:v>
                </c:pt>
                <c:pt idx="13">
                  <c:v>4.5</c:v>
                </c:pt>
                <c:pt idx="14">
                  <c:v>4</c:v>
                </c:pt>
                <c:pt idx="15">
                  <c:v>4.3</c:v>
                </c:pt>
                <c:pt idx="16">
                  <c:v>6.2</c:v>
                </c:pt>
                <c:pt idx="17">
                  <c:v>5.5</c:v>
                </c:pt>
                <c:pt idx="18">
                  <c:v>3.5</c:v>
                </c:pt>
                <c:pt idx="19">
                  <c:v>6</c:v>
                </c:pt>
                <c:pt idx="20">
                  <c:v>5.6</c:v>
                </c:pt>
                <c:pt idx="21">
                  <c:v>4.25</c:v>
                </c:pt>
                <c:pt idx="22">
                  <c:v>4.5</c:v>
                </c:pt>
                <c:pt idx="23">
                  <c:v>4.25</c:v>
                </c:pt>
                <c:pt idx="24">
                  <c:v>4.2</c:v>
                </c:pt>
                <c:pt idx="25">
                  <c:v>3.7</c:v>
                </c:pt>
                <c:pt idx="26">
                  <c:v>3.4</c:v>
                </c:pt>
                <c:pt idx="27">
                  <c:v>4.3</c:v>
                </c:pt>
                <c:pt idx="28">
                  <c:v>3.6</c:v>
                </c:pt>
                <c:pt idx="29">
                  <c:v>4</c:v>
                </c:pt>
                <c:pt idx="30">
                  <c:v>4</c:v>
                </c:pt>
                <c:pt idx="31">
                  <c:v>7</c:v>
                </c:pt>
                <c:pt idx="32">
                  <c:v>9</c:v>
                </c:pt>
                <c:pt idx="33">
                  <c:v>4</c:v>
                </c:pt>
                <c:pt idx="34">
                  <c:v>6</c:v>
                </c:pt>
                <c:pt idx="35">
                  <c:v>6</c:v>
                </c:pt>
                <c:pt idx="36">
                  <c:v>3.8</c:v>
                </c:pt>
                <c:pt idx="37">
                  <c:v>4</c:v>
                </c:pt>
                <c:pt idx="38">
                  <c:v>7</c:v>
                </c:pt>
                <c:pt idx="39">
                  <c:v>4</c:v>
                </c:pt>
                <c:pt idx="40">
                  <c:v>5</c:v>
                </c:pt>
                <c:pt idx="41">
                  <c:v>4</c:v>
                </c:pt>
                <c:pt idx="42">
                  <c:v>4</c:v>
                </c:pt>
                <c:pt idx="43">
                  <c:v>10</c:v>
                </c:pt>
                <c:pt idx="44">
                  <c:v>7</c:v>
                </c:pt>
                <c:pt idx="45">
                  <c:v>4.5999999999999996</c:v>
                </c:pt>
                <c:pt idx="46">
                  <c:v>3.5</c:v>
                </c:pt>
                <c:pt idx="47">
                  <c:v>4.5</c:v>
                </c:pt>
                <c:pt idx="48">
                  <c:v>4</c:v>
                </c:pt>
                <c:pt idx="49">
                  <c:v>4.5</c:v>
                </c:pt>
                <c:pt idx="50">
                  <c:v>4.7</c:v>
                </c:pt>
                <c:pt idx="51">
                  <c:v>10</c:v>
                </c:pt>
                <c:pt idx="52">
                  <c:v>4</c:v>
                </c:pt>
                <c:pt idx="53">
                  <c:v>9</c:v>
                </c:pt>
                <c:pt idx="54">
                  <c:v>3.5</c:v>
                </c:pt>
                <c:pt idx="55">
                  <c:v>4</c:v>
                </c:pt>
                <c:pt idx="56">
                  <c:v>5</c:v>
                </c:pt>
                <c:pt idx="57">
                  <c:v>4.5</c:v>
                </c:pt>
                <c:pt idx="58">
                  <c:v>3.5</c:v>
                </c:pt>
              </c:numCache>
            </c:numRef>
          </c:xVal>
          <c:yVal>
            <c:numRef>
              <c:f>'regression-result'!$C$30:$C$88</c:f>
              <c:numCache>
                <c:formatCode>General</c:formatCode>
                <c:ptCount val="59"/>
                <c:pt idx="0">
                  <c:v>-6.3197935932828742E-2</c:v>
                </c:pt>
                <c:pt idx="1">
                  <c:v>1.431051036741545</c:v>
                </c:pt>
                <c:pt idx="2">
                  <c:v>-1.3367327076326276</c:v>
                </c:pt>
                <c:pt idx="3">
                  <c:v>-2.1568220845276942</c:v>
                </c:pt>
                <c:pt idx="4">
                  <c:v>-2.1996825569017275E-2</c:v>
                </c:pt>
                <c:pt idx="5">
                  <c:v>0.75135952272495032</c:v>
                </c:pt>
                <c:pt idx="6">
                  <c:v>4.6882063284916935</c:v>
                </c:pt>
                <c:pt idx="7">
                  <c:v>-0.12377671963076864</c:v>
                </c:pt>
                <c:pt idx="8">
                  <c:v>-1.2684338902130756</c:v>
                </c:pt>
                <c:pt idx="9">
                  <c:v>-2.3434154038790185</c:v>
                </c:pt>
                <c:pt idx="10">
                  <c:v>-0.95866155092973315</c:v>
                </c:pt>
                <c:pt idx="11">
                  <c:v>1.3353008751675928</c:v>
                </c:pt>
                <c:pt idx="12">
                  <c:v>0.91481681992782526</c:v>
                </c:pt>
                <c:pt idx="13">
                  <c:v>-1.3933941992393422</c:v>
                </c:pt>
                <c:pt idx="14">
                  <c:v>-0.21326332344741328</c:v>
                </c:pt>
                <c:pt idx="15">
                  <c:v>-2.0757145422994876</c:v>
                </c:pt>
                <c:pt idx="16">
                  <c:v>1.6755774465586653</c:v>
                </c:pt>
                <c:pt idx="17">
                  <c:v>-0.19715993862532333</c:v>
                </c:pt>
                <c:pt idx="18">
                  <c:v>-0.21304187245903528</c:v>
                </c:pt>
                <c:pt idx="19">
                  <c:v>-1.2513329785634202</c:v>
                </c:pt>
                <c:pt idx="20">
                  <c:v>2.8134972140225143</c:v>
                </c:pt>
                <c:pt idx="21">
                  <c:v>0.24152840323100389</c:v>
                </c:pt>
                <c:pt idx="22">
                  <c:v>1.6759316770250425</c:v>
                </c:pt>
                <c:pt idx="23">
                  <c:v>-2.346925085922607</c:v>
                </c:pt>
                <c:pt idx="24">
                  <c:v>0.74230304783534429</c:v>
                </c:pt>
                <c:pt idx="25">
                  <c:v>-3.0875137026573345</c:v>
                </c:pt>
                <c:pt idx="26">
                  <c:v>-1.426813178569355</c:v>
                </c:pt>
                <c:pt idx="27">
                  <c:v>-1.9598708370867262</c:v>
                </c:pt>
                <c:pt idx="28">
                  <c:v>-0.83392870874789793</c:v>
                </c:pt>
                <c:pt idx="29">
                  <c:v>1.247286517775847</c:v>
                </c:pt>
                <c:pt idx="30">
                  <c:v>0.95181373862552299</c:v>
                </c:pt>
                <c:pt idx="31">
                  <c:v>2.1101145590728487</c:v>
                </c:pt>
                <c:pt idx="32">
                  <c:v>1.6873354281975717</c:v>
                </c:pt>
                <c:pt idx="33">
                  <c:v>0.60914135835219341</c:v>
                </c:pt>
                <c:pt idx="34">
                  <c:v>9.2943263383812535E-2</c:v>
                </c:pt>
                <c:pt idx="35">
                  <c:v>-1.9320196497251301</c:v>
                </c:pt>
                <c:pt idx="36">
                  <c:v>2.3550788119631076</c:v>
                </c:pt>
                <c:pt idx="37">
                  <c:v>-1.5326709061664747</c:v>
                </c:pt>
                <c:pt idx="38">
                  <c:v>-1.1194344959994682</c:v>
                </c:pt>
                <c:pt idx="39">
                  <c:v>-1.0405795826486344</c:v>
                </c:pt>
                <c:pt idx="40">
                  <c:v>-1.8853944834326768</c:v>
                </c:pt>
                <c:pt idx="41">
                  <c:v>0.65706059619861445</c:v>
                </c:pt>
                <c:pt idx="42">
                  <c:v>-2.5431668108066083</c:v>
                </c:pt>
                <c:pt idx="43">
                  <c:v>-1.2904944812126118E-2</c:v>
                </c:pt>
                <c:pt idx="44">
                  <c:v>3.6751436116672522</c:v>
                </c:pt>
                <c:pt idx="45">
                  <c:v>1.7322261007721655</c:v>
                </c:pt>
                <c:pt idx="46">
                  <c:v>-2.2892827058420275</c:v>
                </c:pt>
                <c:pt idx="47">
                  <c:v>-2.0509545648133898</c:v>
                </c:pt>
                <c:pt idx="48">
                  <c:v>0.76790572733334717</c:v>
                </c:pt>
                <c:pt idx="49">
                  <c:v>3.4039119012914032</c:v>
                </c:pt>
                <c:pt idx="50">
                  <c:v>3.2062038004814184</c:v>
                </c:pt>
                <c:pt idx="51">
                  <c:v>2.2063094555802278</c:v>
                </c:pt>
                <c:pt idx="52">
                  <c:v>-2.0259777584243772</c:v>
                </c:pt>
                <c:pt idx="53">
                  <c:v>-1.113221496386263</c:v>
                </c:pt>
                <c:pt idx="54">
                  <c:v>-0.70833984804854566</c:v>
                </c:pt>
                <c:pt idx="55">
                  <c:v>-1.7907235111988298</c:v>
                </c:pt>
                <c:pt idx="56">
                  <c:v>-0.46868293466633748</c:v>
                </c:pt>
                <c:pt idx="57">
                  <c:v>2.7090981822414077</c:v>
                </c:pt>
                <c:pt idx="58">
                  <c:v>0.10420375424059891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F9-4F33-9800-DF8A3F8BC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542208"/>
        <c:axId val="432542688"/>
      </c:scatterChart>
      <c:valAx>
        <c:axId val="432542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Frontage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2542688"/>
        <c:crosses val="autoZero"/>
        <c:crossBetween val="midCat"/>
      </c:valAx>
      <c:valAx>
        <c:axId val="432542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25422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Access Road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data!$G$3:$G$61</c:f>
              <c:numCache>
                <c:formatCode>General</c:formatCode>
                <c:ptCount val="59"/>
                <c:pt idx="0">
                  <c:v>32</c:v>
                </c:pt>
                <c:pt idx="1">
                  <c:v>6</c:v>
                </c:pt>
                <c:pt idx="2">
                  <c:v>5</c:v>
                </c:pt>
                <c:pt idx="3">
                  <c:v>12</c:v>
                </c:pt>
                <c:pt idx="4">
                  <c:v>13</c:v>
                </c:pt>
                <c:pt idx="5">
                  <c:v>3</c:v>
                </c:pt>
                <c:pt idx="6">
                  <c:v>4.5</c:v>
                </c:pt>
                <c:pt idx="7">
                  <c:v>3</c:v>
                </c:pt>
                <c:pt idx="8">
                  <c:v>12</c:v>
                </c:pt>
                <c:pt idx="9">
                  <c:v>6</c:v>
                </c:pt>
                <c:pt idx="10">
                  <c:v>2</c:v>
                </c:pt>
                <c:pt idx="11">
                  <c:v>6</c:v>
                </c:pt>
                <c:pt idx="12">
                  <c:v>40</c:v>
                </c:pt>
                <c:pt idx="13">
                  <c:v>2.5</c:v>
                </c:pt>
                <c:pt idx="14">
                  <c:v>6</c:v>
                </c:pt>
                <c:pt idx="15">
                  <c:v>22</c:v>
                </c:pt>
                <c:pt idx="16">
                  <c:v>6</c:v>
                </c:pt>
                <c:pt idx="17">
                  <c:v>7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8</c:v>
                </c:pt>
                <c:pt idx="23">
                  <c:v>3</c:v>
                </c:pt>
                <c:pt idx="24">
                  <c:v>12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3</c:v>
                </c:pt>
                <c:pt idx="29">
                  <c:v>5</c:v>
                </c:pt>
                <c:pt idx="30">
                  <c:v>13</c:v>
                </c:pt>
                <c:pt idx="31">
                  <c:v>3</c:v>
                </c:pt>
                <c:pt idx="32">
                  <c:v>10</c:v>
                </c:pt>
                <c:pt idx="33">
                  <c:v>13</c:v>
                </c:pt>
                <c:pt idx="34">
                  <c:v>16</c:v>
                </c:pt>
                <c:pt idx="35">
                  <c:v>3</c:v>
                </c:pt>
                <c:pt idx="36">
                  <c:v>4</c:v>
                </c:pt>
                <c:pt idx="37">
                  <c:v>5</c:v>
                </c:pt>
                <c:pt idx="38">
                  <c:v>15</c:v>
                </c:pt>
                <c:pt idx="39">
                  <c:v>4</c:v>
                </c:pt>
                <c:pt idx="40">
                  <c:v>8</c:v>
                </c:pt>
                <c:pt idx="41">
                  <c:v>9</c:v>
                </c:pt>
                <c:pt idx="42">
                  <c:v>4</c:v>
                </c:pt>
                <c:pt idx="43">
                  <c:v>3</c:v>
                </c:pt>
                <c:pt idx="44">
                  <c:v>2.5</c:v>
                </c:pt>
                <c:pt idx="45">
                  <c:v>3.5</c:v>
                </c:pt>
                <c:pt idx="46">
                  <c:v>3</c:v>
                </c:pt>
                <c:pt idx="47">
                  <c:v>20</c:v>
                </c:pt>
                <c:pt idx="48">
                  <c:v>20</c:v>
                </c:pt>
                <c:pt idx="49">
                  <c:v>10</c:v>
                </c:pt>
                <c:pt idx="50">
                  <c:v>3</c:v>
                </c:pt>
                <c:pt idx="51">
                  <c:v>9</c:v>
                </c:pt>
                <c:pt idx="52">
                  <c:v>3</c:v>
                </c:pt>
                <c:pt idx="53">
                  <c:v>5</c:v>
                </c:pt>
                <c:pt idx="54">
                  <c:v>3</c:v>
                </c:pt>
                <c:pt idx="55">
                  <c:v>3</c:v>
                </c:pt>
                <c:pt idx="56">
                  <c:v>2</c:v>
                </c:pt>
                <c:pt idx="57">
                  <c:v>2.5</c:v>
                </c:pt>
                <c:pt idx="58">
                  <c:v>7</c:v>
                </c:pt>
              </c:numCache>
            </c:numRef>
          </c:xVal>
          <c:yVal>
            <c:numRef>
              <c:f>'regression-result'!$C$30:$C$88</c:f>
              <c:numCache>
                <c:formatCode>General</c:formatCode>
                <c:ptCount val="59"/>
                <c:pt idx="0">
                  <c:v>-6.3197935932828742E-2</c:v>
                </c:pt>
                <c:pt idx="1">
                  <c:v>1.431051036741545</c:v>
                </c:pt>
                <c:pt idx="2">
                  <c:v>-1.3367327076326276</c:v>
                </c:pt>
                <c:pt idx="3">
                  <c:v>-2.1568220845276942</c:v>
                </c:pt>
                <c:pt idx="4">
                  <c:v>-2.1996825569017275E-2</c:v>
                </c:pt>
                <c:pt idx="5">
                  <c:v>0.75135952272495032</c:v>
                </c:pt>
                <c:pt idx="6">
                  <c:v>4.6882063284916935</c:v>
                </c:pt>
                <c:pt idx="7">
                  <c:v>-0.12377671963076864</c:v>
                </c:pt>
                <c:pt idx="8">
                  <c:v>-1.2684338902130756</c:v>
                </c:pt>
                <c:pt idx="9">
                  <c:v>-2.3434154038790185</c:v>
                </c:pt>
                <c:pt idx="10">
                  <c:v>-0.95866155092973315</c:v>
                </c:pt>
                <c:pt idx="11">
                  <c:v>1.3353008751675928</c:v>
                </c:pt>
                <c:pt idx="12">
                  <c:v>0.91481681992782526</c:v>
                </c:pt>
                <c:pt idx="13">
                  <c:v>-1.3933941992393422</c:v>
                </c:pt>
                <c:pt idx="14">
                  <c:v>-0.21326332344741328</c:v>
                </c:pt>
                <c:pt idx="15">
                  <c:v>-2.0757145422994876</c:v>
                </c:pt>
                <c:pt idx="16">
                  <c:v>1.6755774465586653</c:v>
                </c:pt>
                <c:pt idx="17">
                  <c:v>-0.19715993862532333</c:v>
                </c:pt>
                <c:pt idx="18">
                  <c:v>-0.21304187245903528</c:v>
                </c:pt>
                <c:pt idx="19">
                  <c:v>-1.2513329785634202</c:v>
                </c:pt>
                <c:pt idx="20">
                  <c:v>2.8134972140225143</c:v>
                </c:pt>
                <c:pt idx="21">
                  <c:v>0.24152840323100389</c:v>
                </c:pt>
                <c:pt idx="22">
                  <c:v>1.6759316770250425</c:v>
                </c:pt>
                <c:pt idx="23">
                  <c:v>-2.346925085922607</c:v>
                </c:pt>
                <c:pt idx="24">
                  <c:v>0.74230304783534429</c:v>
                </c:pt>
                <c:pt idx="25">
                  <c:v>-3.0875137026573345</c:v>
                </c:pt>
                <c:pt idx="26">
                  <c:v>-1.426813178569355</c:v>
                </c:pt>
                <c:pt idx="27">
                  <c:v>-1.9598708370867262</c:v>
                </c:pt>
                <c:pt idx="28">
                  <c:v>-0.83392870874789793</c:v>
                </c:pt>
                <c:pt idx="29">
                  <c:v>1.247286517775847</c:v>
                </c:pt>
                <c:pt idx="30">
                  <c:v>0.95181373862552299</c:v>
                </c:pt>
                <c:pt idx="31">
                  <c:v>2.1101145590728487</c:v>
                </c:pt>
                <c:pt idx="32">
                  <c:v>1.6873354281975717</c:v>
                </c:pt>
                <c:pt idx="33">
                  <c:v>0.60914135835219341</c:v>
                </c:pt>
                <c:pt idx="34">
                  <c:v>9.2943263383812535E-2</c:v>
                </c:pt>
                <c:pt idx="35">
                  <c:v>-1.9320196497251301</c:v>
                </c:pt>
                <c:pt idx="36">
                  <c:v>2.3550788119631076</c:v>
                </c:pt>
                <c:pt idx="37">
                  <c:v>-1.5326709061664747</c:v>
                </c:pt>
                <c:pt idx="38">
                  <c:v>-1.1194344959994682</c:v>
                </c:pt>
                <c:pt idx="39">
                  <c:v>-1.0405795826486344</c:v>
                </c:pt>
                <c:pt idx="40">
                  <c:v>-1.8853944834326768</c:v>
                </c:pt>
                <c:pt idx="41">
                  <c:v>0.65706059619861445</c:v>
                </c:pt>
                <c:pt idx="42">
                  <c:v>-2.5431668108066083</c:v>
                </c:pt>
                <c:pt idx="43">
                  <c:v>-1.2904944812126118E-2</c:v>
                </c:pt>
                <c:pt idx="44">
                  <c:v>3.6751436116672522</c:v>
                </c:pt>
                <c:pt idx="45">
                  <c:v>1.7322261007721655</c:v>
                </c:pt>
                <c:pt idx="46">
                  <c:v>-2.2892827058420275</c:v>
                </c:pt>
                <c:pt idx="47">
                  <c:v>-2.0509545648133898</c:v>
                </c:pt>
                <c:pt idx="48">
                  <c:v>0.76790572733334717</c:v>
                </c:pt>
                <c:pt idx="49">
                  <c:v>3.4039119012914032</c:v>
                </c:pt>
                <c:pt idx="50">
                  <c:v>3.2062038004814184</c:v>
                </c:pt>
                <c:pt idx="51">
                  <c:v>2.2063094555802278</c:v>
                </c:pt>
                <c:pt idx="52">
                  <c:v>-2.0259777584243772</c:v>
                </c:pt>
                <c:pt idx="53">
                  <c:v>-1.113221496386263</c:v>
                </c:pt>
                <c:pt idx="54">
                  <c:v>-0.70833984804854566</c:v>
                </c:pt>
                <c:pt idx="55">
                  <c:v>-1.7907235111988298</c:v>
                </c:pt>
                <c:pt idx="56">
                  <c:v>-0.46868293466633748</c:v>
                </c:pt>
                <c:pt idx="57">
                  <c:v>2.7090981822414077</c:v>
                </c:pt>
                <c:pt idx="58">
                  <c:v>0.10420375424059891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5CA-46A8-805C-4D655B7B7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506208"/>
        <c:axId val="432507168"/>
      </c:scatterChart>
      <c:valAx>
        <c:axId val="432506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Access Road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2507168"/>
        <c:crosses val="autoZero"/>
        <c:crossBetween val="midCat"/>
      </c:valAx>
      <c:valAx>
        <c:axId val="4325071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25062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Floors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data!$H$3:$H$61</c:f>
              <c:numCache>
                <c:formatCode>General</c:formatCode>
                <c:ptCount val="59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2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6</c:v>
                </c:pt>
                <c:pt idx="26">
                  <c:v>5</c:v>
                </c:pt>
                <c:pt idx="27">
                  <c:v>3</c:v>
                </c:pt>
                <c:pt idx="28">
                  <c:v>5</c:v>
                </c:pt>
                <c:pt idx="29">
                  <c:v>4</c:v>
                </c:pt>
                <c:pt idx="30">
                  <c:v>5</c:v>
                </c:pt>
                <c:pt idx="31">
                  <c:v>1</c:v>
                </c:pt>
                <c:pt idx="32">
                  <c:v>2</c:v>
                </c:pt>
                <c:pt idx="33">
                  <c:v>5</c:v>
                </c:pt>
                <c:pt idx="34">
                  <c:v>4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4</c:v>
                </c:pt>
                <c:pt idx="39">
                  <c:v>5</c:v>
                </c:pt>
                <c:pt idx="40">
                  <c:v>2</c:v>
                </c:pt>
                <c:pt idx="41">
                  <c:v>3</c:v>
                </c:pt>
                <c:pt idx="42">
                  <c:v>3</c:v>
                </c:pt>
                <c:pt idx="43">
                  <c:v>4</c:v>
                </c:pt>
                <c:pt idx="44">
                  <c:v>4</c:v>
                </c:pt>
                <c:pt idx="45">
                  <c:v>6</c:v>
                </c:pt>
                <c:pt idx="46">
                  <c:v>5</c:v>
                </c:pt>
                <c:pt idx="47">
                  <c:v>4</c:v>
                </c:pt>
                <c:pt idx="48">
                  <c:v>5</c:v>
                </c:pt>
                <c:pt idx="49">
                  <c:v>4</c:v>
                </c:pt>
                <c:pt idx="50">
                  <c:v>4</c:v>
                </c:pt>
                <c:pt idx="51">
                  <c:v>3</c:v>
                </c:pt>
                <c:pt idx="52">
                  <c:v>4</c:v>
                </c:pt>
                <c:pt idx="53">
                  <c:v>1</c:v>
                </c:pt>
                <c:pt idx="54">
                  <c:v>4</c:v>
                </c:pt>
                <c:pt idx="55">
                  <c:v>3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</c:numCache>
            </c:numRef>
          </c:xVal>
          <c:yVal>
            <c:numRef>
              <c:f>'regression-result'!$C$30:$C$88</c:f>
              <c:numCache>
                <c:formatCode>General</c:formatCode>
                <c:ptCount val="59"/>
                <c:pt idx="0">
                  <c:v>-6.3197935932828742E-2</c:v>
                </c:pt>
                <c:pt idx="1">
                  <c:v>1.431051036741545</c:v>
                </c:pt>
                <c:pt idx="2">
                  <c:v>-1.3367327076326276</c:v>
                </c:pt>
                <c:pt idx="3">
                  <c:v>-2.1568220845276942</c:v>
                </c:pt>
                <c:pt idx="4">
                  <c:v>-2.1996825569017275E-2</c:v>
                </c:pt>
                <c:pt idx="5">
                  <c:v>0.75135952272495032</c:v>
                </c:pt>
                <c:pt idx="6">
                  <c:v>4.6882063284916935</c:v>
                </c:pt>
                <c:pt idx="7">
                  <c:v>-0.12377671963076864</c:v>
                </c:pt>
                <c:pt idx="8">
                  <c:v>-1.2684338902130756</c:v>
                </c:pt>
                <c:pt idx="9">
                  <c:v>-2.3434154038790185</c:v>
                </c:pt>
                <c:pt idx="10">
                  <c:v>-0.95866155092973315</c:v>
                </c:pt>
                <c:pt idx="11">
                  <c:v>1.3353008751675928</c:v>
                </c:pt>
                <c:pt idx="12">
                  <c:v>0.91481681992782526</c:v>
                </c:pt>
                <c:pt idx="13">
                  <c:v>-1.3933941992393422</c:v>
                </c:pt>
                <c:pt idx="14">
                  <c:v>-0.21326332344741328</c:v>
                </c:pt>
                <c:pt idx="15">
                  <c:v>-2.0757145422994876</c:v>
                </c:pt>
                <c:pt idx="16">
                  <c:v>1.6755774465586653</c:v>
                </c:pt>
                <c:pt idx="17">
                  <c:v>-0.19715993862532333</c:v>
                </c:pt>
                <c:pt idx="18">
                  <c:v>-0.21304187245903528</c:v>
                </c:pt>
                <c:pt idx="19">
                  <c:v>-1.2513329785634202</c:v>
                </c:pt>
                <c:pt idx="20">
                  <c:v>2.8134972140225143</c:v>
                </c:pt>
                <c:pt idx="21">
                  <c:v>0.24152840323100389</c:v>
                </c:pt>
                <c:pt idx="22">
                  <c:v>1.6759316770250425</c:v>
                </c:pt>
                <c:pt idx="23">
                  <c:v>-2.346925085922607</c:v>
                </c:pt>
                <c:pt idx="24">
                  <c:v>0.74230304783534429</c:v>
                </c:pt>
                <c:pt idx="25">
                  <c:v>-3.0875137026573345</c:v>
                </c:pt>
                <c:pt idx="26">
                  <c:v>-1.426813178569355</c:v>
                </c:pt>
                <c:pt idx="27">
                  <c:v>-1.9598708370867262</c:v>
                </c:pt>
                <c:pt idx="28">
                  <c:v>-0.83392870874789793</c:v>
                </c:pt>
                <c:pt idx="29">
                  <c:v>1.247286517775847</c:v>
                </c:pt>
                <c:pt idx="30">
                  <c:v>0.95181373862552299</c:v>
                </c:pt>
                <c:pt idx="31">
                  <c:v>2.1101145590728487</c:v>
                </c:pt>
                <c:pt idx="32">
                  <c:v>1.6873354281975717</c:v>
                </c:pt>
                <c:pt idx="33">
                  <c:v>0.60914135835219341</c:v>
                </c:pt>
                <c:pt idx="34">
                  <c:v>9.2943263383812535E-2</c:v>
                </c:pt>
                <c:pt idx="35">
                  <c:v>-1.9320196497251301</c:v>
                </c:pt>
                <c:pt idx="36">
                  <c:v>2.3550788119631076</c:v>
                </c:pt>
                <c:pt idx="37">
                  <c:v>-1.5326709061664747</c:v>
                </c:pt>
                <c:pt idx="38">
                  <c:v>-1.1194344959994682</c:v>
                </c:pt>
                <c:pt idx="39">
                  <c:v>-1.0405795826486344</c:v>
                </c:pt>
                <c:pt idx="40">
                  <c:v>-1.8853944834326768</c:v>
                </c:pt>
                <c:pt idx="41">
                  <c:v>0.65706059619861445</c:v>
                </c:pt>
                <c:pt idx="42">
                  <c:v>-2.5431668108066083</c:v>
                </c:pt>
                <c:pt idx="43">
                  <c:v>-1.2904944812126118E-2</c:v>
                </c:pt>
                <c:pt idx="44">
                  <c:v>3.6751436116672522</c:v>
                </c:pt>
                <c:pt idx="45">
                  <c:v>1.7322261007721655</c:v>
                </c:pt>
                <c:pt idx="46">
                  <c:v>-2.2892827058420275</c:v>
                </c:pt>
                <c:pt idx="47">
                  <c:v>-2.0509545648133898</c:v>
                </c:pt>
                <c:pt idx="48">
                  <c:v>0.76790572733334717</c:v>
                </c:pt>
                <c:pt idx="49">
                  <c:v>3.4039119012914032</c:v>
                </c:pt>
                <c:pt idx="50">
                  <c:v>3.2062038004814184</c:v>
                </c:pt>
                <c:pt idx="51">
                  <c:v>2.2063094555802278</c:v>
                </c:pt>
                <c:pt idx="52">
                  <c:v>-2.0259777584243772</c:v>
                </c:pt>
                <c:pt idx="53">
                  <c:v>-1.113221496386263</c:v>
                </c:pt>
                <c:pt idx="54">
                  <c:v>-0.70833984804854566</c:v>
                </c:pt>
                <c:pt idx="55">
                  <c:v>-1.7907235111988298</c:v>
                </c:pt>
                <c:pt idx="56">
                  <c:v>-0.46868293466633748</c:v>
                </c:pt>
                <c:pt idx="57">
                  <c:v>2.7090981822414077</c:v>
                </c:pt>
                <c:pt idx="58">
                  <c:v>0.10420375424059891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45-4CB9-B823-C90FFD347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477008"/>
        <c:axId val="352479408"/>
      </c:scatterChart>
      <c:valAx>
        <c:axId val="352477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Floors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2479408"/>
        <c:crosses val="autoZero"/>
        <c:crossBetween val="midCat"/>
      </c:valAx>
      <c:valAx>
        <c:axId val="352479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24770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Bedrooms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data!$I$3:$I$61</c:f>
              <c:numCache>
                <c:formatCode>General</c:formatCode>
                <c:ptCount val="59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5</c:v>
                </c:pt>
                <c:pt idx="13">
                  <c:v>3</c:v>
                </c:pt>
                <c:pt idx="14">
                  <c:v>4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2</c:v>
                </c:pt>
                <c:pt idx="32">
                  <c:v>4</c:v>
                </c:pt>
                <c:pt idx="33">
                  <c:v>7</c:v>
                </c:pt>
                <c:pt idx="34">
                  <c:v>5</c:v>
                </c:pt>
                <c:pt idx="35">
                  <c:v>7</c:v>
                </c:pt>
                <c:pt idx="36">
                  <c:v>2</c:v>
                </c:pt>
                <c:pt idx="37">
                  <c:v>3</c:v>
                </c:pt>
                <c:pt idx="38">
                  <c:v>6</c:v>
                </c:pt>
                <c:pt idx="39">
                  <c:v>4</c:v>
                </c:pt>
                <c:pt idx="40">
                  <c:v>3</c:v>
                </c:pt>
                <c:pt idx="41">
                  <c:v>5</c:v>
                </c:pt>
                <c:pt idx="42">
                  <c:v>4</c:v>
                </c:pt>
                <c:pt idx="43">
                  <c:v>7</c:v>
                </c:pt>
                <c:pt idx="44">
                  <c:v>4</c:v>
                </c:pt>
                <c:pt idx="45">
                  <c:v>4</c:v>
                </c:pt>
                <c:pt idx="46">
                  <c:v>3</c:v>
                </c:pt>
                <c:pt idx="47">
                  <c:v>3</c:v>
                </c:pt>
                <c:pt idx="48">
                  <c:v>6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3</c:v>
                </c:pt>
                <c:pt idx="53">
                  <c:v>2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5</c:v>
                </c:pt>
                <c:pt idx="58">
                  <c:v>8</c:v>
                </c:pt>
              </c:numCache>
            </c:numRef>
          </c:xVal>
          <c:yVal>
            <c:numRef>
              <c:f>'regression-result'!$C$30:$C$88</c:f>
              <c:numCache>
                <c:formatCode>General</c:formatCode>
                <c:ptCount val="59"/>
                <c:pt idx="0">
                  <c:v>-6.3197935932828742E-2</c:v>
                </c:pt>
                <c:pt idx="1">
                  <c:v>1.431051036741545</c:v>
                </c:pt>
                <c:pt idx="2">
                  <c:v>-1.3367327076326276</c:v>
                </c:pt>
                <c:pt idx="3">
                  <c:v>-2.1568220845276942</c:v>
                </c:pt>
                <c:pt idx="4">
                  <c:v>-2.1996825569017275E-2</c:v>
                </c:pt>
                <c:pt idx="5">
                  <c:v>0.75135952272495032</c:v>
                </c:pt>
                <c:pt idx="6">
                  <c:v>4.6882063284916935</c:v>
                </c:pt>
                <c:pt idx="7">
                  <c:v>-0.12377671963076864</c:v>
                </c:pt>
                <c:pt idx="8">
                  <c:v>-1.2684338902130756</c:v>
                </c:pt>
                <c:pt idx="9">
                  <c:v>-2.3434154038790185</c:v>
                </c:pt>
                <c:pt idx="10">
                  <c:v>-0.95866155092973315</c:v>
                </c:pt>
                <c:pt idx="11">
                  <c:v>1.3353008751675928</c:v>
                </c:pt>
                <c:pt idx="12">
                  <c:v>0.91481681992782526</c:v>
                </c:pt>
                <c:pt idx="13">
                  <c:v>-1.3933941992393422</c:v>
                </c:pt>
                <c:pt idx="14">
                  <c:v>-0.21326332344741328</c:v>
                </c:pt>
                <c:pt idx="15">
                  <c:v>-2.0757145422994876</c:v>
                </c:pt>
                <c:pt idx="16">
                  <c:v>1.6755774465586653</c:v>
                </c:pt>
                <c:pt idx="17">
                  <c:v>-0.19715993862532333</c:v>
                </c:pt>
                <c:pt idx="18">
                  <c:v>-0.21304187245903528</c:v>
                </c:pt>
                <c:pt idx="19">
                  <c:v>-1.2513329785634202</c:v>
                </c:pt>
                <c:pt idx="20">
                  <c:v>2.8134972140225143</c:v>
                </c:pt>
                <c:pt idx="21">
                  <c:v>0.24152840323100389</c:v>
                </c:pt>
                <c:pt idx="22">
                  <c:v>1.6759316770250425</c:v>
                </c:pt>
                <c:pt idx="23">
                  <c:v>-2.346925085922607</c:v>
                </c:pt>
                <c:pt idx="24">
                  <c:v>0.74230304783534429</c:v>
                </c:pt>
                <c:pt idx="25">
                  <c:v>-3.0875137026573345</c:v>
                </c:pt>
                <c:pt idx="26">
                  <c:v>-1.426813178569355</c:v>
                </c:pt>
                <c:pt idx="27">
                  <c:v>-1.9598708370867262</c:v>
                </c:pt>
                <c:pt idx="28">
                  <c:v>-0.83392870874789793</c:v>
                </c:pt>
                <c:pt idx="29">
                  <c:v>1.247286517775847</c:v>
                </c:pt>
                <c:pt idx="30">
                  <c:v>0.95181373862552299</c:v>
                </c:pt>
                <c:pt idx="31">
                  <c:v>2.1101145590728487</c:v>
                </c:pt>
                <c:pt idx="32">
                  <c:v>1.6873354281975717</c:v>
                </c:pt>
                <c:pt idx="33">
                  <c:v>0.60914135835219341</c:v>
                </c:pt>
                <c:pt idx="34">
                  <c:v>9.2943263383812535E-2</c:v>
                </c:pt>
                <c:pt idx="35">
                  <c:v>-1.9320196497251301</c:v>
                </c:pt>
                <c:pt idx="36">
                  <c:v>2.3550788119631076</c:v>
                </c:pt>
                <c:pt idx="37">
                  <c:v>-1.5326709061664747</c:v>
                </c:pt>
                <c:pt idx="38">
                  <c:v>-1.1194344959994682</c:v>
                </c:pt>
                <c:pt idx="39">
                  <c:v>-1.0405795826486344</c:v>
                </c:pt>
                <c:pt idx="40">
                  <c:v>-1.8853944834326768</c:v>
                </c:pt>
                <c:pt idx="41">
                  <c:v>0.65706059619861445</c:v>
                </c:pt>
                <c:pt idx="42">
                  <c:v>-2.5431668108066083</c:v>
                </c:pt>
                <c:pt idx="43">
                  <c:v>-1.2904944812126118E-2</c:v>
                </c:pt>
                <c:pt idx="44">
                  <c:v>3.6751436116672522</c:v>
                </c:pt>
                <c:pt idx="45">
                  <c:v>1.7322261007721655</c:v>
                </c:pt>
                <c:pt idx="46">
                  <c:v>-2.2892827058420275</c:v>
                </c:pt>
                <c:pt idx="47">
                  <c:v>-2.0509545648133898</c:v>
                </c:pt>
                <c:pt idx="48">
                  <c:v>0.76790572733334717</c:v>
                </c:pt>
                <c:pt idx="49">
                  <c:v>3.4039119012914032</c:v>
                </c:pt>
                <c:pt idx="50">
                  <c:v>3.2062038004814184</c:v>
                </c:pt>
                <c:pt idx="51">
                  <c:v>2.2063094555802278</c:v>
                </c:pt>
                <c:pt idx="52">
                  <c:v>-2.0259777584243772</c:v>
                </c:pt>
                <c:pt idx="53">
                  <c:v>-1.113221496386263</c:v>
                </c:pt>
                <c:pt idx="54">
                  <c:v>-0.70833984804854566</c:v>
                </c:pt>
                <c:pt idx="55">
                  <c:v>-1.7907235111988298</c:v>
                </c:pt>
                <c:pt idx="56">
                  <c:v>-0.46868293466633748</c:v>
                </c:pt>
                <c:pt idx="57">
                  <c:v>2.7090981822414077</c:v>
                </c:pt>
                <c:pt idx="58">
                  <c:v>0.10420375424059891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B9-4B06-B68D-7C0B0396D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477008"/>
        <c:axId val="352479888"/>
      </c:scatterChart>
      <c:valAx>
        <c:axId val="352477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Bedrooms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2479888"/>
        <c:crosses val="autoZero"/>
        <c:crossBetween val="midCat"/>
      </c:valAx>
      <c:valAx>
        <c:axId val="352479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24770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Bathrooms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data!$J$3:$J$61</c:f>
              <c:numCache>
                <c:formatCode>General</c:formatCode>
                <c:ptCount val="59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5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6</c:v>
                </c:pt>
                <c:pt idx="35">
                  <c:v>4</c:v>
                </c:pt>
                <c:pt idx="36">
                  <c:v>2</c:v>
                </c:pt>
                <c:pt idx="37">
                  <c:v>3</c:v>
                </c:pt>
                <c:pt idx="38">
                  <c:v>4</c:v>
                </c:pt>
                <c:pt idx="39">
                  <c:v>4</c:v>
                </c:pt>
                <c:pt idx="40">
                  <c:v>2</c:v>
                </c:pt>
                <c:pt idx="41">
                  <c:v>5</c:v>
                </c:pt>
                <c:pt idx="42">
                  <c:v>3</c:v>
                </c:pt>
                <c:pt idx="43">
                  <c:v>7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1</c:v>
                </c:pt>
                <c:pt idx="54">
                  <c:v>3</c:v>
                </c:pt>
                <c:pt idx="55">
                  <c:v>3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</c:numCache>
            </c:numRef>
          </c:xVal>
          <c:yVal>
            <c:numRef>
              <c:f>'regression-result'!$C$30:$C$88</c:f>
              <c:numCache>
                <c:formatCode>General</c:formatCode>
                <c:ptCount val="59"/>
                <c:pt idx="0">
                  <c:v>-6.3197935932828742E-2</c:v>
                </c:pt>
                <c:pt idx="1">
                  <c:v>1.431051036741545</c:v>
                </c:pt>
                <c:pt idx="2">
                  <c:v>-1.3367327076326276</c:v>
                </c:pt>
                <c:pt idx="3">
                  <c:v>-2.1568220845276942</c:v>
                </c:pt>
                <c:pt idx="4">
                  <c:v>-2.1996825569017275E-2</c:v>
                </c:pt>
                <c:pt idx="5">
                  <c:v>0.75135952272495032</c:v>
                </c:pt>
                <c:pt idx="6">
                  <c:v>4.6882063284916935</c:v>
                </c:pt>
                <c:pt idx="7">
                  <c:v>-0.12377671963076864</c:v>
                </c:pt>
                <c:pt idx="8">
                  <c:v>-1.2684338902130756</c:v>
                </c:pt>
                <c:pt idx="9">
                  <c:v>-2.3434154038790185</c:v>
                </c:pt>
                <c:pt idx="10">
                  <c:v>-0.95866155092973315</c:v>
                </c:pt>
                <c:pt idx="11">
                  <c:v>1.3353008751675928</c:v>
                </c:pt>
                <c:pt idx="12">
                  <c:v>0.91481681992782526</c:v>
                </c:pt>
                <c:pt idx="13">
                  <c:v>-1.3933941992393422</c:v>
                </c:pt>
                <c:pt idx="14">
                  <c:v>-0.21326332344741328</c:v>
                </c:pt>
                <c:pt idx="15">
                  <c:v>-2.0757145422994876</c:v>
                </c:pt>
                <c:pt idx="16">
                  <c:v>1.6755774465586653</c:v>
                </c:pt>
                <c:pt idx="17">
                  <c:v>-0.19715993862532333</c:v>
                </c:pt>
                <c:pt idx="18">
                  <c:v>-0.21304187245903528</c:v>
                </c:pt>
                <c:pt idx="19">
                  <c:v>-1.2513329785634202</c:v>
                </c:pt>
                <c:pt idx="20">
                  <c:v>2.8134972140225143</c:v>
                </c:pt>
                <c:pt idx="21">
                  <c:v>0.24152840323100389</c:v>
                </c:pt>
                <c:pt idx="22">
                  <c:v>1.6759316770250425</c:v>
                </c:pt>
                <c:pt idx="23">
                  <c:v>-2.346925085922607</c:v>
                </c:pt>
                <c:pt idx="24">
                  <c:v>0.74230304783534429</c:v>
                </c:pt>
                <c:pt idx="25">
                  <c:v>-3.0875137026573345</c:v>
                </c:pt>
                <c:pt idx="26">
                  <c:v>-1.426813178569355</c:v>
                </c:pt>
                <c:pt idx="27">
                  <c:v>-1.9598708370867262</c:v>
                </c:pt>
                <c:pt idx="28">
                  <c:v>-0.83392870874789793</c:v>
                </c:pt>
                <c:pt idx="29">
                  <c:v>1.247286517775847</c:v>
                </c:pt>
                <c:pt idx="30">
                  <c:v>0.95181373862552299</c:v>
                </c:pt>
                <c:pt idx="31">
                  <c:v>2.1101145590728487</c:v>
                </c:pt>
                <c:pt idx="32">
                  <c:v>1.6873354281975717</c:v>
                </c:pt>
                <c:pt idx="33">
                  <c:v>0.60914135835219341</c:v>
                </c:pt>
                <c:pt idx="34">
                  <c:v>9.2943263383812535E-2</c:v>
                </c:pt>
                <c:pt idx="35">
                  <c:v>-1.9320196497251301</c:v>
                </c:pt>
                <c:pt idx="36">
                  <c:v>2.3550788119631076</c:v>
                </c:pt>
                <c:pt idx="37">
                  <c:v>-1.5326709061664747</c:v>
                </c:pt>
                <c:pt idx="38">
                  <c:v>-1.1194344959994682</c:v>
                </c:pt>
                <c:pt idx="39">
                  <c:v>-1.0405795826486344</c:v>
                </c:pt>
                <c:pt idx="40">
                  <c:v>-1.8853944834326768</c:v>
                </c:pt>
                <c:pt idx="41">
                  <c:v>0.65706059619861445</c:v>
                </c:pt>
                <c:pt idx="42">
                  <c:v>-2.5431668108066083</c:v>
                </c:pt>
                <c:pt idx="43">
                  <c:v>-1.2904944812126118E-2</c:v>
                </c:pt>
                <c:pt idx="44">
                  <c:v>3.6751436116672522</c:v>
                </c:pt>
                <c:pt idx="45">
                  <c:v>1.7322261007721655</c:v>
                </c:pt>
                <c:pt idx="46">
                  <c:v>-2.2892827058420275</c:v>
                </c:pt>
                <c:pt idx="47">
                  <c:v>-2.0509545648133898</c:v>
                </c:pt>
                <c:pt idx="48">
                  <c:v>0.76790572733334717</c:v>
                </c:pt>
                <c:pt idx="49">
                  <c:v>3.4039119012914032</c:v>
                </c:pt>
                <c:pt idx="50">
                  <c:v>3.2062038004814184</c:v>
                </c:pt>
                <c:pt idx="51">
                  <c:v>2.2063094555802278</c:v>
                </c:pt>
                <c:pt idx="52">
                  <c:v>-2.0259777584243772</c:v>
                </c:pt>
                <c:pt idx="53">
                  <c:v>-1.113221496386263</c:v>
                </c:pt>
                <c:pt idx="54">
                  <c:v>-0.70833984804854566</c:v>
                </c:pt>
                <c:pt idx="55">
                  <c:v>-1.7907235111988298</c:v>
                </c:pt>
                <c:pt idx="56">
                  <c:v>-0.46868293466633748</c:v>
                </c:pt>
                <c:pt idx="57">
                  <c:v>2.7090981822414077</c:v>
                </c:pt>
                <c:pt idx="58">
                  <c:v>0.10420375424059891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BD2-4702-93D7-06C5EEEA5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622784"/>
        <c:axId val="809614624"/>
      </c:scatterChart>
      <c:valAx>
        <c:axId val="809622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Bathrooms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9614624"/>
        <c:crosses val="autoZero"/>
        <c:crossBetween val="midCat"/>
      </c:valAx>
      <c:valAx>
        <c:axId val="8096146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962278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Area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Price</c:v>
          </c:tx>
          <c:spPr>
            <a:ln w="19050">
              <a:noFill/>
            </a:ln>
          </c:spPr>
          <c:xVal>
            <c:numRef>
              <c:f>data!$E$3:$E$61</c:f>
              <c:numCache>
                <c:formatCode>General</c:formatCode>
                <c:ptCount val="59"/>
                <c:pt idx="0">
                  <c:v>300</c:v>
                </c:pt>
                <c:pt idx="1">
                  <c:v>46</c:v>
                </c:pt>
                <c:pt idx="2">
                  <c:v>60</c:v>
                </c:pt>
                <c:pt idx="3">
                  <c:v>369</c:v>
                </c:pt>
                <c:pt idx="4">
                  <c:v>78</c:v>
                </c:pt>
                <c:pt idx="5">
                  <c:v>54</c:v>
                </c:pt>
                <c:pt idx="6">
                  <c:v>69.099999999999994</c:v>
                </c:pt>
                <c:pt idx="7">
                  <c:v>36</c:v>
                </c:pt>
                <c:pt idx="8">
                  <c:v>100</c:v>
                </c:pt>
                <c:pt idx="9">
                  <c:v>151</c:v>
                </c:pt>
                <c:pt idx="10">
                  <c:v>33</c:v>
                </c:pt>
                <c:pt idx="11">
                  <c:v>38</c:v>
                </c:pt>
                <c:pt idx="12">
                  <c:v>180</c:v>
                </c:pt>
                <c:pt idx="13">
                  <c:v>33</c:v>
                </c:pt>
                <c:pt idx="14">
                  <c:v>64</c:v>
                </c:pt>
                <c:pt idx="15">
                  <c:v>53</c:v>
                </c:pt>
                <c:pt idx="16">
                  <c:v>31</c:v>
                </c:pt>
                <c:pt idx="17">
                  <c:v>65</c:v>
                </c:pt>
                <c:pt idx="18">
                  <c:v>45</c:v>
                </c:pt>
                <c:pt idx="19">
                  <c:v>30</c:v>
                </c:pt>
                <c:pt idx="20">
                  <c:v>42</c:v>
                </c:pt>
                <c:pt idx="21">
                  <c:v>40</c:v>
                </c:pt>
                <c:pt idx="22">
                  <c:v>52</c:v>
                </c:pt>
                <c:pt idx="23">
                  <c:v>34</c:v>
                </c:pt>
                <c:pt idx="24">
                  <c:v>51</c:v>
                </c:pt>
                <c:pt idx="25">
                  <c:v>40</c:v>
                </c:pt>
                <c:pt idx="26">
                  <c:v>30</c:v>
                </c:pt>
                <c:pt idx="27">
                  <c:v>45</c:v>
                </c:pt>
                <c:pt idx="28">
                  <c:v>31</c:v>
                </c:pt>
                <c:pt idx="29">
                  <c:v>35</c:v>
                </c:pt>
                <c:pt idx="30">
                  <c:v>60</c:v>
                </c:pt>
                <c:pt idx="31">
                  <c:v>102.6</c:v>
                </c:pt>
                <c:pt idx="32">
                  <c:v>198.5</c:v>
                </c:pt>
                <c:pt idx="33">
                  <c:v>60</c:v>
                </c:pt>
                <c:pt idx="34">
                  <c:v>90.8</c:v>
                </c:pt>
                <c:pt idx="35">
                  <c:v>98.7</c:v>
                </c:pt>
                <c:pt idx="36">
                  <c:v>54</c:v>
                </c:pt>
                <c:pt idx="37">
                  <c:v>36</c:v>
                </c:pt>
                <c:pt idx="38">
                  <c:v>105</c:v>
                </c:pt>
                <c:pt idx="39">
                  <c:v>33</c:v>
                </c:pt>
                <c:pt idx="40">
                  <c:v>75</c:v>
                </c:pt>
                <c:pt idx="41">
                  <c:v>60</c:v>
                </c:pt>
                <c:pt idx="42">
                  <c:v>35</c:v>
                </c:pt>
                <c:pt idx="43">
                  <c:v>157</c:v>
                </c:pt>
                <c:pt idx="44">
                  <c:v>70</c:v>
                </c:pt>
                <c:pt idx="45">
                  <c:v>37</c:v>
                </c:pt>
                <c:pt idx="46">
                  <c:v>30</c:v>
                </c:pt>
                <c:pt idx="47">
                  <c:v>36</c:v>
                </c:pt>
                <c:pt idx="48">
                  <c:v>60</c:v>
                </c:pt>
                <c:pt idx="49">
                  <c:v>44</c:v>
                </c:pt>
                <c:pt idx="50">
                  <c:v>63</c:v>
                </c:pt>
                <c:pt idx="51">
                  <c:v>175</c:v>
                </c:pt>
                <c:pt idx="52">
                  <c:v>30.5</c:v>
                </c:pt>
                <c:pt idx="53">
                  <c:v>127</c:v>
                </c:pt>
                <c:pt idx="54">
                  <c:v>32</c:v>
                </c:pt>
                <c:pt idx="55">
                  <c:v>50</c:v>
                </c:pt>
                <c:pt idx="56">
                  <c:v>50</c:v>
                </c:pt>
                <c:pt idx="57">
                  <c:v>70</c:v>
                </c:pt>
                <c:pt idx="58">
                  <c:v>53</c:v>
                </c:pt>
              </c:numCache>
            </c:numRef>
          </c:xVal>
          <c:yVal>
            <c:numRef>
              <c:f>data!$K$3:$K$61</c:f>
              <c:numCache>
                <c:formatCode>General</c:formatCode>
                <c:ptCount val="59"/>
                <c:pt idx="0">
                  <c:v>9.4</c:v>
                </c:pt>
                <c:pt idx="1">
                  <c:v>7.99</c:v>
                </c:pt>
                <c:pt idx="2">
                  <c:v>5.6</c:v>
                </c:pt>
                <c:pt idx="3">
                  <c:v>6.3</c:v>
                </c:pt>
                <c:pt idx="4">
                  <c:v>8.6300000000000008</c:v>
                </c:pt>
                <c:pt idx="5">
                  <c:v>8.8000000000000007</c:v>
                </c:pt>
                <c:pt idx="6">
                  <c:v>10</c:v>
                </c:pt>
                <c:pt idx="7">
                  <c:v>5.6</c:v>
                </c:pt>
                <c:pt idx="8">
                  <c:v>6.5</c:v>
                </c:pt>
                <c:pt idx="9">
                  <c:v>3.2</c:v>
                </c:pt>
                <c:pt idx="10">
                  <c:v>4.4800000000000004</c:v>
                </c:pt>
                <c:pt idx="11">
                  <c:v>6.78</c:v>
                </c:pt>
                <c:pt idx="12">
                  <c:v>9.6999999999999993</c:v>
                </c:pt>
                <c:pt idx="13">
                  <c:v>4.1500000000000004</c:v>
                </c:pt>
                <c:pt idx="14">
                  <c:v>6.7</c:v>
                </c:pt>
                <c:pt idx="15">
                  <c:v>6.39</c:v>
                </c:pt>
                <c:pt idx="16">
                  <c:v>6.8</c:v>
                </c:pt>
                <c:pt idx="17">
                  <c:v>4.7</c:v>
                </c:pt>
                <c:pt idx="18">
                  <c:v>4.95</c:v>
                </c:pt>
                <c:pt idx="19">
                  <c:v>4.5999999999999996</c:v>
                </c:pt>
                <c:pt idx="20">
                  <c:v>8.5</c:v>
                </c:pt>
                <c:pt idx="21">
                  <c:v>6.3</c:v>
                </c:pt>
                <c:pt idx="22">
                  <c:v>7.2</c:v>
                </c:pt>
                <c:pt idx="23">
                  <c:v>2.1</c:v>
                </c:pt>
                <c:pt idx="24">
                  <c:v>6</c:v>
                </c:pt>
                <c:pt idx="25">
                  <c:v>3.25</c:v>
                </c:pt>
                <c:pt idx="26">
                  <c:v>4.0999999999999996</c:v>
                </c:pt>
                <c:pt idx="27">
                  <c:v>2.65</c:v>
                </c:pt>
                <c:pt idx="28">
                  <c:v>4.55</c:v>
                </c:pt>
                <c:pt idx="29">
                  <c:v>6.5</c:v>
                </c:pt>
                <c:pt idx="30">
                  <c:v>8.6</c:v>
                </c:pt>
                <c:pt idx="31">
                  <c:v>5.6</c:v>
                </c:pt>
                <c:pt idx="32">
                  <c:v>8</c:v>
                </c:pt>
                <c:pt idx="33">
                  <c:v>8.6</c:v>
                </c:pt>
                <c:pt idx="34">
                  <c:v>8.5</c:v>
                </c:pt>
                <c:pt idx="35">
                  <c:v>5.2</c:v>
                </c:pt>
                <c:pt idx="36">
                  <c:v>5.65</c:v>
                </c:pt>
                <c:pt idx="37">
                  <c:v>3</c:v>
                </c:pt>
                <c:pt idx="38">
                  <c:v>6.7</c:v>
                </c:pt>
                <c:pt idx="39">
                  <c:v>5</c:v>
                </c:pt>
                <c:pt idx="40">
                  <c:v>2.25</c:v>
                </c:pt>
                <c:pt idx="41">
                  <c:v>7.6</c:v>
                </c:pt>
                <c:pt idx="42">
                  <c:v>2.4</c:v>
                </c:pt>
                <c:pt idx="43">
                  <c:v>10</c:v>
                </c:pt>
                <c:pt idx="44">
                  <c:v>9.8000000000000007</c:v>
                </c:pt>
                <c:pt idx="45">
                  <c:v>7.5</c:v>
                </c:pt>
                <c:pt idx="46">
                  <c:v>3.2</c:v>
                </c:pt>
                <c:pt idx="47">
                  <c:v>4</c:v>
                </c:pt>
                <c:pt idx="48">
                  <c:v>8.6</c:v>
                </c:pt>
                <c:pt idx="49">
                  <c:v>8.5</c:v>
                </c:pt>
                <c:pt idx="50">
                  <c:v>8.6</c:v>
                </c:pt>
                <c:pt idx="51">
                  <c:v>9.1</c:v>
                </c:pt>
                <c:pt idx="52">
                  <c:v>2.65</c:v>
                </c:pt>
                <c:pt idx="53">
                  <c:v>2.16</c:v>
                </c:pt>
                <c:pt idx="54">
                  <c:v>3.95</c:v>
                </c:pt>
                <c:pt idx="55">
                  <c:v>2.75</c:v>
                </c:pt>
                <c:pt idx="56">
                  <c:v>6.5</c:v>
                </c:pt>
                <c:pt idx="57">
                  <c:v>10</c:v>
                </c:pt>
                <c:pt idx="58">
                  <c:v>8.8000000000000007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0A-4435-8E96-07754BC6E409}"/>
            </c:ext>
          </c:extLst>
        </c:ser>
        <c:ser>
          <c:idx val="1"/>
          <c:order val="1"/>
          <c:tx>
            <c:v>Predicted Price</c:v>
          </c:tx>
          <c:spPr>
            <a:ln w="19050">
              <a:noFill/>
            </a:ln>
          </c:spPr>
          <c:xVal>
            <c:numRef>
              <c:f>data!$E$3:$E$61</c:f>
              <c:numCache>
                <c:formatCode>General</c:formatCode>
                <c:ptCount val="59"/>
                <c:pt idx="0">
                  <c:v>300</c:v>
                </c:pt>
                <c:pt idx="1">
                  <c:v>46</c:v>
                </c:pt>
                <c:pt idx="2">
                  <c:v>60</c:v>
                </c:pt>
                <c:pt idx="3">
                  <c:v>369</c:v>
                </c:pt>
                <c:pt idx="4">
                  <c:v>78</c:v>
                </c:pt>
                <c:pt idx="5">
                  <c:v>54</c:v>
                </c:pt>
                <c:pt idx="6">
                  <c:v>69.099999999999994</c:v>
                </c:pt>
                <c:pt idx="7">
                  <c:v>36</c:v>
                </c:pt>
                <c:pt idx="8">
                  <c:v>100</c:v>
                </c:pt>
                <c:pt idx="9">
                  <c:v>151</c:v>
                </c:pt>
                <c:pt idx="10">
                  <c:v>33</c:v>
                </c:pt>
                <c:pt idx="11">
                  <c:v>38</c:v>
                </c:pt>
                <c:pt idx="12">
                  <c:v>180</c:v>
                </c:pt>
                <c:pt idx="13">
                  <c:v>33</c:v>
                </c:pt>
                <c:pt idx="14">
                  <c:v>64</c:v>
                </c:pt>
                <c:pt idx="15">
                  <c:v>53</c:v>
                </c:pt>
                <c:pt idx="16">
                  <c:v>31</c:v>
                </c:pt>
                <c:pt idx="17">
                  <c:v>65</c:v>
                </c:pt>
                <c:pt idx="18">
                  <c:v>45</c:v>
                </c:pt>
                <c:pt idx="19">
                  <c:v>30</c:v>
                </c:pt>
                <c:pt idx="20">
                  <c:v>42</c:v>
                </c:pt>
                <c:pt idx="21">
                  <c:v>40</c:v>
                </c:pt>
                <c:pt idx="22">
                  <c:v>52</c:v>
                </c:pt>
                <c:pt idx="23">
                  <c:v>34</c:v>
                </c:pt>
                <c:pt idx="24">
                  <c:v>51</c:v>
                </c:pt>
                <c:pt idx="25">
                  <c:v>40</c:v>
                </c:pt>
                <c:pt idx="26">
                  <c:v>30</c:v>
                </c:pt>
                <c:pt idx="27">
                  <c:v>45</c:v>
                </c:pt>
                <c:pt idx="28">
                  <c:v>31</c:v>
                </c:pt>
                <c:pt idx="29">
                  <c:v>35</c:v>
                </c:pt>
                <c:pt idx="30">
                  <c:v>60</c:v>
                </c:pt>
                <c:pt idx="31">
                  <c:v>102.6</c:v>
                </c:pt>
                <c:pt idx="32">
                  <c:v>198.5</c:v>
                </c:pt>
                <c:pt idx="33">
                  <c:v>60</c:v>
                </c:pt>
                <c:pt idx="34">
                  <c:v>90.8</c:v>
                </c:pt>
                <c:pt idx="35">
                  <c:v>98.7</c:v>
                </c:pt>
                <c:pt idx="36">
                  <c:v>54</c:v>
                </c:pt>
                <c:pt idx="37">
                  <c:v>36</c:v>
                </c:pt>
                <c:pt idx="38">
                  <c:v>105</c:v>
                </c:pt>
                <c:pt idx="39">
                  <c:v>33</c:v>
                </c:pt>
                <c:pt idx="40">
                  <c:v>75</c:v>
                </c:pt>
                <c:pt idx="41">
                  <c:v>60</c:v>
                </c:pt>
                <c:pt idx="42">
                  <c:v>35</c:v>
                </c:pt>
                <c:pt idx="43">
                  <c:v>157</c:v>
                </c:pt>
                <c:pt idx="44">
                  <c:v>70</c:v>
                </c:pt>
                <c:pt idx="45">
                  <c:v>37</c:v>
                </c:pt>
                <c:pt idx="46">
                  <c:v>30</c:v>
                </c:pt>
                <c:pt idx="47">
                  <c:v>36</c:v>
                </c:pt>
                <c:pt idx="48">
                  <c:v>60</c:v>
                </c:pt>
                <c:pt idx="49">
                  <c:v>44</c:v>
                </c:pt>
                <c:pt idx="50">
                  <c:v>63</c:v>
                </c:pt>
                <c:pt idx="51">
                  <c:v>175</c:v>
                </c:pt>
                <c:pt idx="52">
                  <c:v>30.5</c:v>
                </c:pt>
                <c:pt idx="53">
                  <c:v>127</c:v>
                </c:pt>
                <c:pt idx="54">
                  <c:v>32</c:v>
                </c:pt>
                <c:pt idx="55">
                  <c:v>50</c:v>
                </c:pt>
                <c:pt idx="56">
                  <c:v>50</c:v>
                </c:pt>
                <c:pt idx="57">
                  <c:v>70</c:v>
                </c:pt>
                <c:pt idx="58">
                  <c:v>53</c:v>
                </c:pt>
              </c:numCache>
            </c:numRef>
          </c:xVal>
          <c:yVal>
            <c:numRef>
              <c:f>'regression-result'!$B$30:$B$88</c:f>
              <c:numCache>
                <c:formatCode>General</c:formatCode>
                <c:ptCount val="59"/>
                <c:pt idx="0">
                  <c:v>9.4631979359328291</c:v>
                </c:pt>
                <c:pt idx="1">
                  <c:v>6.5589489632584552</c:v>
                </c:pt>
                <c:pt idx="2">
                  <c:v>6.9367327076326273</c:v>
                </c:pt>
                <c:pt idx="3">
                  <c:v>8.456822084527694</c:v>
                </c:pt>
                <c:pt idx="4">
                  <c:v>8.6519968255690181</c:v>
                </c:pt>
                <c:pt idx="5">
                  <c:v>8.0486404772750504</c:v>
                </c:pt>
                <c:pt idx="6">
                  <c:v>5.3117936715083065</c:v>
                </c:pt>
                <c:pt idx="7">
                  <c:v>5.7237767196307683</c:v>
                </c:pt>
                <c:pt idx="8">
                  <c:v>7.7684338902130756</c:v>
                </c:pt>
                <c:pt idx="9">
                  <c:v>5.5434154038790187</c:v>
                </c:pt>
                <c:pt idx="10">
                  <c:v>5.4386615509297336</c:v>
                </c:pt>
                <c:pt idx="11">
                  <c:v>5.4446991248324075</c:v>
                </c:pt>
                <c:pt idx="12">
                  <c:v>8.785183180072174</c:v>
                </c:pt>
                <c:pt idx="13">
                  <c:v>5.5433941992393425</c:v>
                </c:pt>
                <c:pt idx="14">
                  <c:v>6.9132633234474135</c:v>
                </c:pt>
                <c:pt idx="15">
                  <c:v>8.4657145422994873</c:v>
                </c:pt>
                <c:pt idx="16">
                  <c:v>5.1244225534413346</c:v>
                </c:pt>
                <c:pt idx="17">
                  <c:v>4.8971599386253235</c:v>
                </c:pt>
                <c:pt idx="18">
                  <c:v>5.1630418724590355</c:v>
                </c:pt>
                <c:pt idx="19">
                  <c:v>5.8513329785634198</c:v>
                </c:pt>
                <c:pt idx="20">
                  <c:v>5.6865027859774857</c:v>
                </c:pt>
                <c:pt idx="21">
                  <c:v>6.0584715967689959</c:v>
                </c:pt>
                <c:pt idx="22">
                  <c:v>5.5240683229749576</c:v>
                </c:pt>
                <c:pt idx="23">
                  <c:v>4.446925085922607</c:v>
                </c:pt>
                <c:pt idx="24">
                  <c:v>5.2576969521646557</c:v>
                </c:pt>
                <c:pt idx="25">
                  <c:v>6.3375137026573345</c:v>
                </c:pt>
                <c:pt idx="26">
                  <c:v>5.5268131785693546</c:v>
                </c:pt>
                <c:pt idx="27">
                  <c:v>4.6098708370867261</c:v>
                </c:pt>
                <c:pt idx="28">
                  <c:v>5.3839287087478978</c:v>
                </c:pt>
                <c:pt idx="29">
                  <c:v>5.252713482224153</c:v>
                </c:pt>
                <c:pt idx="30">
                  <c:v>7.6481862613744767</c:v>
                </c:pt>
                <c:pt idx="31">
                  <c:v>3.4898854409271509</c:v>
                </c:pt>
                <c:pt idx="32">
                  <c:v>6.3126645718024283</c:v>
                </c:pt>
                <c:pt idx="33">
                  <c:v>7.9908586416478062</c:v>
                </c:pt>
                <c:pt idx="34">
                  <c:v>8.4070567366161875</c:v>
                </c:pt>
                <c:pt idx="35">
                  <c:v>7.1320196497251303</c:v>
                </c:pt>
                <c:pt idx="36">
                  <c:v>3.2949211880368927</c:v>
                </c:pt>
                <c:pt idx="37">
                  <c:v>4.5326709061664747</c:v>
                </c:pt>
                <c:pt idx="38">
                  <c:v>7.8194344959994684</c:v>
                </c:pt>
                <c:pt idx="39">
                  <c:v>6.0405795826486344</c:v>
                </c:pt>
                <c:pt idx="40">
                  <c:v>4.1353944834326768</c:v>
                </c:pt>
                <c:pt idx="41">
                  <c:v>6.9429394038013852</c:v>
                </c:pt>
                <c:pt idx="42">
                  <c:v>4.9431668108066082</c:v>
                </c:pt>
                <c:pt idx="43">
                  <c:v>10.012904944812126</c:v>
                </c:pt>
                <c:pt idx="44">
                  <c:v>6.1248563883327485</c:v>
                </c:pt>
                <c:pt idx="45">
                  <c:v>5.7677738992278345</c:v>
                </c:pt>
                <c:pt idx="46">
                  <c:v>5.4892827058420277</c:v>
                </c:pt>
                <c:pt idx="47">
                  <c:v>6.0509545648133898</c:v>
                </c:pt>
                <c:pt idx="48">
                  <c:v>7.8320942726666525</c:v>
                </c:pt>
                <c:pt idx="49">
                  <c:v>5.0960880987085968</c:v>
                </c:pt>
                <c:pt idx="50">
                  <c:v>5.3937961995185812</c:v>
                </c:pt>
                <c:pt idx="51">
                  <c:v>6.8936905444197718</c:v>
                </c:pt>
                <c:pt idx="52">
                  <c:v>4.6759777584243771</c:v>
                </c:pt>
                <c:pt idx="53">
                  <c:v>3.2732214963862631</c:v>
                </c:pt>
                <c:pt idx="54">
                  <c:v>4.6583398480485458</c:v>
                </c:pt>
                <c:pt idx="55">
                  <c:v>4.5407235111988298</c:v>
                </c:pt>
                <c:pt idx="56">
                  <c:v>6.9686829346663375</c:v>
                </c:pt>
                <c:pt idx="57">
                  <c:v>7.2909018177585923</c:v>
                </c:pt>
                <c:pt idx="58">
                  <c:v>8.6957962457594018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0A-4435-8E96-07754BC6E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624704"/>
        <c:axId val="809615104"/>
      </c:scatterChart>
      <c:valAx>
        <c:axId val="809624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9615104"/>
        <c:crosses val="autoZero"/>
        <c:crossBetween val="midCat"/>
      </c:valAx>
      <c:valAx>
        <c:axId val="8096151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96247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Frontage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Price</c:v>
          </c:tx>
          <c:spPr>
            <a:ln w="19050">
              <a:noFill/>
            </a:ln>
          </c:spPr>
          <c:xVal>
            <c:numRef>
              <c:f>data!$F$3:$F$61</c:f>
              <c:numCache>
                <c:formatCode>General</c:formatCode>
                <c:ptCount val="59"/>
                <c:pt idx="0">
                  <c:v>15</c:v>
                </c:pt>
                <c:pt idx="1">
                  <c:v>4.5999999999999996</c:v>
                </c:pt>
                <c:pt idx="2">
                  <c:v>3.5</c:v>
                </c:pt>
                <c:pt idx="3">
                  <c:v>15</c:v>
                </c:pt>
                <c:pt idx="4">
                  <c:v>6</c:v>
                </c:pt>
                <c:pt idx="5">
                  <c:v>5.8</c:v>
                </c:pt>
                <c:pt idx="6">
                  <c:v>4</c:v>
                </c:pt>
                <c:pt idx="7">
                  <c:v>7</c:v>
                </c:pt>
                <c:pt idx="8">
                  <c:v>20</c:v>
                </c:pt>
                <c:pt idx="9">
                  <c:v>4</c:v>
                </c:pt>
                <c:pt idx="10">
                  <c:v>3</c:v>
                </c:pt>
                <c:pt idx="11">
                  <c:v>4.2</c:v>
                </c:pt>
                <c:pt idx="12">
                  <c:v>9</c:v>
                </c:pt>
                <c:pt idx="13">
                  <c:v>4.5</c:v>
                </c:pt>
                <c:pt idx="14">
                  <c:v>4</c:v>
                </c:pt>
                <c:pt idx="15">
                  <c:v>4.3</c:v>
                </c:pt>
                <c:pt idx="16">
                  <c:v>6.2</c:v>
                </c:pt>
                <c:pt idx="17">
                  <c:v>5.5</c:v>
                </c:pt>
                <c:pt idx="18">
                  <c:v>3.5</c:v>
                </c:pt>
                <c:pt idx="19">
                  <c:v>6</c:v>
                </c:pt>
                <c:pt idx="20">
                  <c:v>5.6</c:v>
                </c:pt>
                <c:pt idx="21">
                  <c:v>4.25</c:v>
                </c:pt>
                <c:pt idx="22">
                  <c:v>4.5</c:v>
                </c:pt>
                <c:pt idx="23">
                  <c:v>4.25</c:v>
                </c:pt>
                <c:pt idx="24">
                  <c:v>4.2</c:v>
                </c:pt>
                <c:pt idx="25">
                  <c:v>3.7</c:v>
                </c:pt>
                <c:pt idx="26">
                  <c:v>3.4</c:v>
                </c:pt>
                <c:pt idx="27">
                  <c:v>4.3</c:v>
                </c:pt>
                <c:pt idx="28">
                  <c:v>3.6</c:v>
                </c:pt>
                <c:pt idx="29">
                  <c:v>4</c:v>
                </c:pt>
                <c:pt idx="30">
                  <c:v>4</c:v>
                </c:pt>
                <c:pt idx="31">
                  <c:v>7</c:v>
                </c:pt>
                <c:pt idx="32">
                  <c:v>9</c:v>
                </c:pt>
                <c:pt idx="33">
                  <c:v>4</c:v>
                </c:pt>
                <c:pt idx="34">
                  <c:v>6</c:v>
                </c:pt>
                <c:pt idx="35">
                  <c:v>6</c:v>
                </c:pt>
                <c:pt idx="36">
                  <c:v>3.8</c:v>
                </c:pt>
                <c:pt idx="37">
                  <c:v>4</c:v>
                </c:pt>
                <c:pt idx="38">
                  <c:v>7</c:v>
                </c:pt>
                <c:pt idx="39">
                  <c:v>4</c:v>
                </c:pt>
                <c:pt idx="40">
                  <c:v>5</c:v>
                </c:pt>
                <c:pt idx="41">
                  <c:v>4</c:v>
                </c:pt>
                <c:pt idx="42">
                  <c:v>4</c:v>
                </c:pt>
                <c:pt idx="43">
                  <c:v>10</c:v>
                </c:pt>
                <c:pt idx="44">
                  <c:v>7</c:v>
                </c:pt>
                <c:pt idx="45">
                  <c:v>4.5999999999999996</c:v>
                </c:pt>
                <c:pt idx="46">
                  <c:v>3.5</c:v>
                </c:pt>
                <c:pt idx="47">
                  <c:v>4.5</c:v>
                </c:pt>
                <c:pt idx="48">
                  <c:v>4</c:v>
                </c:pt>
                <c:pt idx="49">
                  <c:v>4.5</c:v>
                </c:pt>
                <c:pt idx="50">
                  <c:v>4.7</c:v>
                </c:pt>
                <c:pt idx="51">
                  <c:v>10</c:v>
                </c:pt>
                <c:pt idx="52">
                  <c:v>4</c:v>
                </c:pt>
                <c:pt idx="53">
                  <c:v>9</c:v>
                </c:pt>
                <c:pt idx="54">
                  <c:v>3.5</c:v>
                </c:pt>
                <c:pt idx="55">
                  <c:v>4</c:v>
                </c:pt>
                <c:pt idx="56">
                  <c:v>5</c:v>
                </c:pt>
                <c:pt idx="57">
                  <c:v>4.5</c:v>
                </c:pt>
                <c:pt idx="58">
                  <c:v>3.5</c:v>
                </c:pt>
              </c:numCache>
            </c:numRef>
          </c:xVal>
          <c:yVal>
            <c:numRef>
              <c:f>data!$K$3:$K$61</c:f>
              <c:numCache>
                <c:formatCode>General</c:formatCode>
                <c:ptCount val="59"/>
                <c:pt idx="0">
                  <c:v>9.4</c:v>
                </c:pt>
                <c:pt idx="1">
                  <c:v>7.99</c:v>
                </c:pt>
                <c:pt idx="2">
                  <c:v>5.6</c:v>
                </c:pt>
                <c:pt idx="3">
                  <c:v>6.3</c:v>
                </c:pt>
                <c:pt idx="4">
                  <c:v>8.6300000000000008</c:v>
                </c:pt>
                <c:pt idx="5">
                  <c:v>8.8000000000000007</c:v>
                </c:pt>
                <c:pt idx="6">
                  <c:v>10</c:v>
                </c:pt>
                <c:pt idx="7">
                  <c:v>5.6</c:v>
                </c:pt>
                <c:pt idx="8">
                  <c:v>6.5</c:v>
                </c:pt>
                <c:pt idx="9">
                  <c:v>3.2</c:v>
                </c:pt>
                <c:pt idx="10">
                  <c:v>4.4800000000000004</c:v>
                </c:pt>
                <c:pt idx="11">
                  <c:v>6.78</c:v>
                </c:pt>
                <c:pt idx="12">
                  <c:v>9.6999999999999993</c:v>
                </c:pt>
                <c:pt idx="13">
                  <c:v>4.1500000000000004</c:v>
                </c:pt>
                <c:pt idx="14">
                  <c:v>6.7</c:v>
                </c:pt>
                <c:pt idx="15">
                  <c:v>6.39</c:v>
                </c:pt>
                <c:pt idx="16">
                  <c:v>6.8</c:v>
                </c:pt>
                <c:pt idx="17">
                  <c:v>4.7</c:v>
                </c:pt>
                <c:pt idx="18">
                  <c:v>4.95</c:v>
                </c:pt>
                <c:pt idx="19">
                  <c:v>4.5999999999999996</c:v>
                </c:pt>
                <c:pt idx="20">
                  <c:v>8.5</c:v>
                </c:pt>
                <c:pt idx="21">
                  <c:v>6.3</c:v>
                </c:pt>
                <c:pt idx="22">
                  <c:v>7.2</c:v>
                </c:pt>
                <c:pt idx="23">
                  <c:v>2.1</c:v>
                </c:pt>
                <c:pt idx="24">
                  <c:v>6</c:v>
                </c:pt>
                <c:pt idx="25">
                  <c:v>3.25</c:v>
                </c:pt>
                <c:pt idx="26">
                  <c:v>4.0999999999999996</c:v>
                </c:pt>
                <c:pt idx="27">
                  <c:v>2.65</c:v>
                </c:pt>
                <c:pt idx="28">
                  <c:v>4.55</c:v>
                </c:pt>
                <c:pt idx="29">
                  <c:v>6.5</c:v>
                </c:pt>
                <c:pt idx="30">
                  <c:v>8.6</c:v>
                </c:pt>
                <c:pt idx="31">
                  <c:v>5.6</c:v>
                </c:pt>
                <c:pt idx="32">
                  <c:v>8</c:v>
                </c:pt>
                <c:pt idx="33">
                  <c:v>8.6</c:v>
                </c:pt>
                <c:pt idx="34">
                  <c:v>8.5</c:v>
                </c:pt>
                <c:pt idx="35">
                  <c:v>5.2</c:v>
                </c:pt>
                <c:pt idx="36">
                  <c:v>5.65</c:v>
                </c:pt>
                <c:pt idx="37">
                  <c:v>3</c:v>
                </c:pt>
                <c:pt idx="38">
                  <c:v>6.7</c:v>
                </c:pt>
                <c:pt idx="39">
                  <c:v>5</c:v>
                </c:pt>
                <c:pt idx="40">
                  <c:v>2.25</c:v>
                </c:pt>
                <c:pt idx="41">
                  <c:v>7.6</c:v>
                </c:pt>
                <c:pt idx="42">
                  <c:v>2.4</c:v>
                </c:pt>
                <c:pt idx="43">
                  <c:v>10</c:v>
                </c:pt>
                <c:pt idx="44">
                  <c:v>9.8000000000000007</c:v>
                </c:pt>
                <c:pt idx="45">
                  <c:v>7.5</c:v>
                </c:pt>
                <c:pt idx="46">
                  <c:v>3.2</c:v>
                </c:pt>
                <c:pt idx="47">
                  <c:v>4</c:v>
                </c:pt>
                <c:pt idx="48">
                  <c:v>8.6</c:v>
                </c:pt>
                <c:pt idx="49">
                  <c:v>8.5</c:v>
                </c:pt>
                <c:pt idx="50">
                  <c:v>8.6</c:v>
                </c:pt>
                <c:pt idx="51">
                  <c:v>9.1</c:v>
                </c:pt>
                <c:pt idx="52">
                  <c:v>2.65</c:v>
                </c:pt>
                <c:pt idx="53">
                  <c:v>2.16</c:v>
                </c:pt>
                <c:pt idx="54">
                  <c:v>3.95</c:v>
                </c:pt>
                <c:pt idx="55">
                  <c:v>2.75</c:v>
                </c:pt>
                <c:pt idx="56">
                  <c:v>6.5</c:v>
                </c:pt>
                <c:pt idx="57">
                  <c:v>10</c:v>
                </c:pt>
                <c:pt idx="58">
                  <c:v>8.8000000000000007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31-4A17-8BB4-16E58E9BF748}"/>
            </c:ext>
          </c:extLst>
        </c:ser>
        <c:ser>
          <c:idx val="1"/>
          <c:order val="1"/>
          <c:tx>
            <c:v>Predicted Price</c:v>
          </c:tx>
          <c:spPr>
            <a:ln w="19050">
              <a:noFill/>
            </a:ln>
          </c:spPr>
          <c:xVal>
            <c:numRef>
              <c:f>data!$F$3:$F$61</c:f>
              <c:numCache>
                <c:formatCode>General</c:formatCode>
                <c:ptCount val="59"/>
                <c:pt idx="0">
                  <c:v>15</c:v>
                </c:pt>
                <c:pt idx="1">
                  <c:v>4.5999999999999996</c:v>
                </c:pt>
                <c:pt idx="2">
                  <c:v>3.5</c:v>
                </c:pt>
                <c:pt idx="3">
                  <c:v>15</c:v>
                </c:pt>
                <c:pt idx="4">
                  <c:v>6</c:v>
                </c:pt>
                <c:pt idx="5">
                  <c:v>5.8</c:v>
                </c:pt>
                <c:pt idx="6">
                  <c:v>4</c:v>
                </c:pt>
                <c:pt idx="7">
                  <c:v>7</c:v>
                </c:pt>
                <c:pt idx="8">
                  <c:v>20</c:v>
                </c:pt>
                <c:pt idx="9">
                  <c:v>4</c:v>
                </c:pt>
                <c:pt idx="10">
                  <c:v>3</c:v>
                </c:pt>
                <c:pt idx="11">
                  <c:v>4.2</c:v>
                </c:pt>
                <c:pt idx="12">
                  <c:v>9</c:v>
                </c:pt>
                <c:pt idx="13">
                  <c:v>4.5</c:v>
                </c:pt>
                <c:pt idx="14">
                  <c:v>4</c:v>
                </c:pt>
                <c:pt idx="15">
                  <c:v>4.3</c:v>
                </c:pt>
                <c:pt idx="16">
                  <c:v>6.2</c:v>
                </c:pt>
                <c:pt idx="17">
                  <c:v>5.5</c:v>
                </c:pt>
                <c:pt idx="18">
                  <c:v>3.5</c:v>
                </c:pt>
                <c:pt idx="19">
                  <c:v>6</c:v>
                </c:pt>
                <c:pt idx="20">
                  <c:v>5.6</c:v>
                </c:pt>
                <c:pt idx="21">
                  <c:v>4.25</c:v>
                </c:pt>
                <c:pt idx="22">
                  <c:v>4.5</c:v>
                </c:pt>
                <c:pt idx="23">
                  <c:v>4.25</c:v>
                </c:pt>
                <c:pt idx="24">
                  <c:v>4.2</c:v>
                </c:pt>
                <c:pt idx="25">
                  <c:v>3.7</c:v>
                </c:pt>
                <c:pt idx="26">
                  <c:v>3.4</c:v>
                </c:pt>
                <c:pt idx="27">
                  <c:v>4.3</c:v>
                </c:pt>
                <c:pt idx="28">
                  <c:v>3.6</c:v>
                </c:pt>
                <c:pt idx="29">
                  <c:v>4</c:v>
                </c:pt>
                <c:pt idx="30">
                  <c:v>4</c:v>
                </c:pt>
                <c:pt idx="31">
                  <c:v>7</c:v>
                </c:pt>
                <c:pt idx="32">
                  <c:v>9</c:v>
                </c:pt>
                <c:pt idx="33">
                  <c:v>4</c:v>
                </c:pt>
                <c:pt idx="34">
                  <c:v>6</c:v>
                </c:pt>
                <c:pt idx="35">
                  <c:v>6</c:v>
                </c:pt>
                <c:pt idx="36">
                  <c:v>3.8</c:v>
                </c:pt>
                <c:pt idx="37">
                  <c:v>4</c:v>
                </c:pt>
                <c:pt idx="38">
                  <c:v>7</c:v>
                </c:pt>
                <c:pt idx="39">
                  <c:v>4</c:v>
                </c:pt>
                <c:pt idx="40">
                  <c:v>5</c:v>
                </c:pt>
                <c:pt idx="41">
                  <c:v>4</c:v>
                </c:pt>
                <c:pt idx="42">
                  <c:v>4</c:v>
                </c:pt>
                <c:pt idx="43">
                  <c:v>10</c:v>
                </c:pt>
                <c:pt idx="44">
                  <c:v>7</c:v>
                </c:pt>
                <c:pt idx="45">
                  <c:v>4.5999999999999996</c:v>
                </c:pt>
                <c:pt idx="46">
                  <c:v>3.5</c:v>
                </c:pt>
                <c:pt idx="47">
                  <c:v>4.5</c:v>
                </c:pt>
                <c:pt idx="48">
                  <c:v>4</c:v>
                </c:pt>
                <c:pt idx="49">
                  <c:v>4.5</c:v>
                </c:pt>
                <c:pt idx="50">
                  <c:v>4.7</c:v>
                </c:pt>
                <c:pt idx="51">
                  <c:v>10</c:v>
                </c:pt>
                <c:pt idx="52">
                  <c:v>4</c:v>
                </c:pt>
                <c:pt idx="53">
                  <c:v>9</c:v>
                </c:pt>
                <c:pt idx="54">
                  <c:v>3.5</c:v>
                </c:pt>
                <c:pt idx="55">
                  <c:v>4</c:v>
                </c:pt>
                <c:pt idx="56">
                  <c:v>5</c:v>
                </c:pt>
                <c:pt idx="57">
                  <c:v>4.5</c:v>
                </c:pt>
                <c:pt idx="58">
                  <c:v>3.5</c:v>
                </c:pt>
              </c:numCache>
            </c:numRef>
          </c:xVal>
          <c:yVal>
            <c:numRef>
              <c:f>'regression-result'!$B$30:$B$88</c:f>
              <c:numCache>
                <c:formatCode>General</c:formatCode>
                <c:ptCount val="59"/>
                <c:pt idx="0">
                  <c:v>9.4631979359328291</c:v>
                </c:pt>
                <c:pt idx="1">
                  <c:v>6.5589489632584552</c:v>
                </c:pt>
                <c:pt idx="2">
                  <c:v>6.9367327076326273</c:v>
                </c:pt>
                <c:pt idx="3">
                  <c:v>8.456822084527694</c:v>
                </c:pt>
                <c:pt idx="4">
                  <c:v>8.6519968255690181</c:v>
                </c:pt>
                <c:pt idx="5">
                  <c:v>8.0486404772750504</c:v>
                </c:pt>
                <c:pt idx="6">
                  <c:v>5.3117936715083065</c:v>
                </c:pt>
                <c:pt idx="7">
                  <c:v>5.7237767196307683</c:v>
                </c:pt>
                <c:pt idx="8">
                  <c:v>7.7684338902130756</c:v>
                </c:pt>
                <c:pt idx="9">
                  <c:v>5.5434154038790187</c:v>
                </c:pt>
                <c:pt idx="10">
                  <c:v>5.4386615509297336</c:v>
                </c:pt>
                <c:pt idx="11">
                  <c:v>5.4446991248324075</c:v>
                </c:pt>
                <c:pt idx="12">
                  <c:v>8.785183180072174</c:v>
                </c:pt>
                <c:pt idx="13">
                  <c:v>5.5433941992393425</c:v>
                </c:pt>
                <c:pt idx="14">
                  <c:v>6.9132633234474135</c:v>
                </c:pt>
                <c:pt idx="15">
                  <c:v>8.4657145422994873</c:v>
                </c:pt>
                <c:pt idx="16">
                  <c:v>5.1244225534413346</c:v>
                </c:pt>
                <c:pt idx="17">
                  <c:v>4.8971599386253235</c:v>
                </c:pt>
                <c:pt idx="18">
                  <c:v>5.1630418724590355</c:v>
                </c:pt>
                <c:pt idx="19">
                  <c:v>5.8513329785634198</c:v>
                </c:pt>
                <c:pt idx="20">
                  <c:v>5.6865027859774857</c:v>
                </c:pt>
                <c:pt idx="21">
                  <c:v>6.0584715967689959</c:v>
                </c:pt>
                <c:pt idx="22">
                  <c:v>5.5240683229749576</c:v>
                </c:pt>
                <c:pt idx="23">
                  <c:v>4.446925085922607</c:v>
                </c:pt>
                <c:pt idx="24">
                  <c:v>5.2576969521646557</c:v>
                </c:pt>
                <c:pt idx="25">
                  <c:v>6.3375137026573345</c:v>
                </c:pt>
                <c:pt idx="26">
                  <c:v>5.5268131785693546</c:v>
                </c:pt>
                <c:pt idx="27">
                  <c:v>4.6098708370867261</c:v>
                </c:pt>
                <c:pt idx="28">
                  <c:v>5.3839287087478978</c:v>
                </c:pt>
                <c:pt idx="29">
                  <c:v>5.252713482224153</c:v>
                </c:pt>
                <c:pt idx="30">
                  <c:v>7.6481862613744767</c:v>
                </c:pt>
                <c:pt idx="31">
                  <c:v>3.4898854409271509</c:v>
                </c:pt>
                <c:pt idx="32">
                  <c:v>6.3126645718024283</c:v>
                </c:pt>
                <c:pt idx="33">
                  <c:v>7.9908586416478062</c:v>
                </c:pt>
                <c:pt idx="34">
                  <c:v>8.4070567366161875</c:v>
                </c:pt>
                <c:pt idx="35">
                  <c:v>7.1320196497251303</c:v>
                </c:pt>
                <c:pt idx="36">
                  <c:v>3.2949211880368927</c:v>
                </c:pt>
                <c:pt idx="37">
                  <c:v>4.5326709061664747</c:v>
                </c:pt>
                <c:pt idx="38">
                  <c:v>7.8194344959994684</c:v>
                </c:pt>
                <c:pt idx="39">
                  <c:v>6.0405795826486344</c:v>
                </c:pt>
                <c:pt idx="40">
                  <c:v>4.1353944834326768</c:v>
                </c:pt>
                <c:pt idx="41">
                  <c:v>6.9429394038013852</c:v>
                </c:pt>
                <c:pt idx="42">
                  <c:v>4.9431668108066082</c:v>
                </c:pt>
                <c:pt idx="43">
                  <c:v>10.012904944812126</c:v>
                </c:pt>
                <c:pt idx="44">
                  <c:v>6.1248563883327485</c:v>
                </c:pt>
                <c:pt idx="45">
                  <c:v>5.7677738992278345</c:v>
                </c:pt>
                <c:pt idx="46">
                  <c:v>5.4892827058420277</c:v>
                </c:pt>
                <c:pt idx="47">
                  <c:v>6.0509545648133898</c:v>
                </c:pt>
                <c:pt idx="48">
                  <c:v>7.8320942726666525</c:v>
                </c:pt>
                <c:pt idx="49">
                  <c:v>5.0960880987085968</c:v>
                </c:pt>
                <c:pt idx="50">
                  <c:v>5.3937961995185812</c:v>
                </c:pt>
                <c:pt idx="51">
                  <c:v>6.8936905444197718</c:v>
                </c:pt>
                <c:pt idx="52">
                  <c:v>4.6759777584243771</c:v>
                </c:pt>
                <c:pt idx="53">
                  <c:v>3.2732214963862631</c:v>
                </c:pt>
                <c:pt idx="54">
                  <c:v>4.6583398480485458</c:v>
                </c:pt>
                <c:pt idx="55">
                  <c:v>4.5407235111988298</c:v>
                </c:pt>
                <c:pt idx="56">
                  <c:v>6.9686829346663375</c:v>
                </c:pt>
                <c:pt idx="57">
                  <c:v>7.2909018177585923</c:v>
                </c:pt>
                <c:pt idx="58">
                  <c:v>8.6957962457594018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31-4A17-8BB4-16E58E9BF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629024"/>
        <c:axId val="809618464"/>
      </c:scatterChart>
      <c:valAx>
        <c:axId val="80962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Frontage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9618464"/>
        <c:crosses val="autoZero"/>
        <c:crossBetween val="midCat"/>
      </c:valAx>
      <c:valAx>
        <c:axId val="8096184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96290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Access Road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Price</c:v>
          </c:tx>
          <c:spPr>
            <a:ln w="19050">
              <a:noFill/>
            </a:ln>
          </c:spPr>
          <c:xVal>
            <c:numRef>
              <c:f>data!$G$3:$G$61</c:f>
              <c:numCache>
                <c:formatCode>General</c:formatCode>
                <c:ptCount val="59"/>
                <c:pt idx="0">
                  <c:v>32</c:v>
                </c:pt>
                <c:pt idx="1">
                  <c:v>6</c:v>
                </c:pt>
                <c:pt idx="2">
                  <c:v>5</c:v>
                </c:pt>
                <c:pt idx="3">
                  <c:v>12</c:v>
                </c:pt>
                <c:pt idx="4">
                  <c:v>13</c:v>
                </c:pt>
                <c:pt idx="5">
                  <c:v>3</c:v>
                </c:pt>
                <c:pt idx="6">
                  <c:v>4.5</c:v>
                </c:pt>
                <c:pt idx="7">
                  <c:v>3</c:v>
                </c:pt>
                <c:pt idx="8">
                  <c:v>12</c:v>
                </c:pt>
                <c:pt idx="9">
                  <c:v>6</c:v>
                </c:pt>
                <c:pt idx="10">
                  <c:v>2</c:v>
                </c:pt>
                <c:pt idx="11">
                  <c:v>6</c:v>
                </c:pt>
                <c:pt idx="12">
                  <c:v>40</c:v>
                </c:pt>
                <c:pt idx="13">
                  <c:v>2.5</c:v>
                </c:pt>
                <c:pt idx="14">
                  <c:v>6</c:v>
                </c:pt>
                <c:pt idx="15">
                  <c:v>22</c:v>
                </c:pt>
                <c:pt idx="16">
                  <c:v>6</c:v>
                </c:pt>
                <c:pt idx="17">
                  <c:v>7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8</c:v>
                </c:pt>
                <c:pt idx="23">
                  <c:v>3</c:v>
                </c:pt>
                <c:pt idx="24">
                  <c:v>12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3</c:v>
                </c:pt>
                <c:pt idx="29">
                  <c:v>5</c:v>
                </c:pt>
                <c:pt idx="30">
                  <c:v>13</c:v>
                </c:pt>
                <c:pt idx="31">
                  <c:v>3</c:v>
                </c:pt>
                <c:pt idx="32">
                  <c:v>10</c:v>
                </c:pt>
                <c:pt idx="33">
                  <c:v>13</c:v>
                </c:pt>
                <c:pt idx="34">
                  <c:v>16</c:v>
                </c:pt>
                <c:pt idx="35">
                  <c:v>3</c:v>
                </c:pt>
                <c:pt idx="36">
                  <c:v>4</c:v>
                </c:pt>
                <c:pt idx="37">
                  <c:v>5</c:v>
                </c:pt>
                <c:pt idx="38">
                  <c:v>15</c:v>
                </c:pt>
                <c:pt idx="39">
                  <c:v>4</c:v>
                </c:pt>
                <c:pt idx="40">
                  <c:v>8</c:v>
                </c:pt>
                <c:pt idx="41">
                  <c:v>9</c:v>
                </c:pt>
                <c:pt idx="42">
                  <c:v>4</c:v>
                </c:pt>
                <c:pt idx="43">
                  <c:v>3</c:v>
                </c:pt>
                <c:pt idx="44">
                  <c:v>2.5</c:v>
                </c:pt>
                <c:pt idx="45">
                  <c:v>3.5</c:v>
                </c:pt>
                <c:pt idx="46">
                  <c:v>3</c:v>
                </c:pt>
                <c:pt idx="47">
                  <c:v>20</c:v>
                </c:pt>
                <c:pt idx="48">
                  <c:v>20</c:v>
                </c:pt>
                <c:pt idx="49">
                  <c:v>10</c:v>
                </c:pt>
                <c:pt idx="50">
                  <c:v>3</c:v>
                </c:pt>
                <c:pt idx="51">
                  <c:v>9</c:v>
                </c:pt>
                <c:pt idx="52">
                  <c:v>3</c:v>
                </c:pt>
                <c:pt idx="53">
                  <c:v>5</c:v>
                </c:pt>
                <c:pt idx="54">
                  <c:v>3</c:v>
                </c:pt>
                <c:pt idx="55">
                  <c:v>3</c:v>
                </c:pt>
                <c:pt idx="56">
                  <c:v>2</c:v>
                </c:pt>
                <c:pt idx="57">
                  <c:v>2.5</c:v>
                </c:pt>
                <c:pt idx="58">
                  <c:v>7</c:v>
                </c:pt>
              </c:numCache>
            </c:numRef>
          </c:xVal>
          <c:yVal>
            <c:numRef>
              <c:f>data!$K$3:$K$61</c:f>
              <c:numCache>
                <c:formatCode>General</c:formatCode>
                <c:ptCount val="59"/>
                <c:pt idx="0">
                  <c:v>9.4</c:v>
                </c:pt>
                <c:pt idx="1">
                  <c:v>7.99</c:v>
                </c:pt>
                <c:pt idx="2">
                  <c:v>5.6</c:v>
                </c:pt>
                <c:pt idx="3">
                  <c:v>6.3</c:v>
                </c:pt>
                <c:pt idx="4">
                  <c:v>8.6300000000000008</c:v>
                </c:pt>
                <c:pt idx="5">
                  <c:v>8.8000000000000007</c:v>
                </c:pt>
                <c:pt idx="6">
                  <c:v>10</c:v>
                </c:pt>
                <c:pt idx="7">
                  <c:v>5.6</c:v>
                </c:pt>
                <c:pt idx="8">
                  <c:v>6.5</c:v>
                </c:pt>
                <c:pt idx="9">
                  <c:v>3.2</c:v>
                </c:pt>
                <c:pt idx="10">
                  <c:v>4.4800000000000004</c:v>
                </c:pt>
                <c:pt idx="11">
                  <c:v>6.78</c:v>
                </c:pt>
                <c:pt idx="12">
                  <c:v>9.6999999999999993</c:v>
                </c:pt>
                <c:pt idx="13">
                  <c:v>4.1500000000000004</c:v>
                </c:pt>
                <c:pt idx="14">
                  <c:v>6.7</c:v>
                </c:pt>
                <c:pt idx="15">
                  <c:v>6.39</c:v>
                </c:pt>
                <c:pt idx="16">
                  <c:v>6.8</c:v>
                </c:pt>
                <c:pt idx="17">
                  <c:v>4.7</c:v>
                </c:pt>
                <c:pt idx="18">
                  <c:v>4.95</c:v>
                </c:pt>
                <c:pt idx="19">
                  <c:v>4.5999999999999996</c:v>
                </c:pt>
                <c:pt idx="20">
                  <c:v>8.5</c:v>
                </c:pt>
                <c:pt idx="21">
                  <c:v>6.3</c:v>
                </c:pt>
                <c:pt idx="22">
                  <c:v>7.2</c:v>
                </c:pt>
                <c:pt idx="23">
                  <c:v>2.1</c:v>
                </c:pt>
                <c:pt idx="24">
                  <c:v>6</c:v>
                </c:pt>
                <c:pt idx="25">
                  <c:v>3.25</c:v>
                </c:pt>
                <c:pt idx="26">
                  <c:v>4.0999999999999996</c:v>
                </c:pt>
                <c:pt idx="27">
                  <c:v>2.65</c:v>
                </c:pt>
                <c:pt idx="28">
                  <c:v>4.55</c:v>
                </c:pt>
                <c:pt idx="29">
                  <c:v>6.5</c:v>
                </c:pt>
                <c:pt idx="30">
                  <c:v>8.6</c:v>
                </c:pt>
                <c:pt idx="31">
                  <c:v>5.6</c:v>
                </c:pt>
                <c:pt idx="32">
                  <c:v>8</c:v>
                </c:pt>
                <c:pt idx="33">
                  <c:v>8.6</c:v>
                </c:pt>
                <c:pt idx="34">
                  <c:v>8.5</c:v>
                </c:pt>
                <c:pt idx="35">
                  <c:v>5.2</c:v>
                </c:pt>
                <c:pt idx="36">
                  <c:v>5.65</c:v>
                </c:pt>
                <c:pt idx="37">
                  <c:v>3</c:v>
                </c:pt>
                <c:pt idx="38">
                  <c:v>6.7</c:v>
                </c:pt>
                <c:pt idx="39">
                  <c:v>5</c:v>
                </c:pt>
                <c:pt idx="40">
                  <c:v>2.25</c:v>
                </c:pt>
                <c:pt idx="41">
                  <c:v>7.6</c:v>
                </c:pt>
                <c:pt idx="42">
                  <c:v>2.4</c:v>
                </c:pt>
                <c:pt idx="43">
                  <c:v>10</c:v>
                </c:pt>
                <c:pt idx="44">
                  <c:v>9.8000000000000007</c:v>
                </c:pt>
                <c:pt idx="45">
                  <c:v>7.5</c:v>
                </c:pt>
                <c:pt idx="46">
                  <c:v>3.2</c:v>
                </c:pt>
                <c:pt idx="47">
                  <c:v>4</c:v>
                </c:pt>
                <c:pt idx="48">
                  <c:v>8.6</c:v>
                </c:pt>
                <c:pt idx="49">
                  <c:v>8.5</c:v>
                </c:pt>
                <c:pt idx="50">
                  <c:v>8.6</c:v>
                </c:pt>
                <c:pt idx="51">
                  <c:v>9.1</c:v>
                </c:pt>
                <c:pt idx="52">
                  <c:v>2.65</c:v>
                </c:pt>
                <c:pt idx="53">
                  <c:v>2.16</c:v>
                </c:pt>
                <c:pt idx="54">
                  <c:v>3.95</c:v>
                </c:pt>
                <c:pt idx="55">
                  <c:v>2.75</c:v>
                </c:pt>
                <c:pt idx="56">
                  <c:v>6.5</c:v>
                </c:pt>
                <c:pt idx="57">
                  <c:v>10</c:v>
                </c:pt>
                <c:pt idx="58">
                  <c:v>8.8000000000000007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A0-4943-A5D7-CF02E934E4D6}"/>
            </c:ext>
          </c:extLst>
        </c:ser>
        <c:ser>
          <c:idx val="1"/>
          <c:order val="1"/>
          <c:tx>
            <c:v>Predicted Price</c:v>
          </c:tx>
          <c:spPr>
            <a:ln w="19050">
              <a:noFill/>
            </a:ln>
          </c:spPr>
          <c:xVal>
            <c:numRef>
              <c:f>data!$G$3:$G$61</c:f>
              <c:numCache>
                <c:formatCode>General</c:formatCode>
                <c:ptCount val="59"/>
                <c:pt idx="0">
                  <c:v>32</c:v>
                </c:pt>
                <c:pt idx="1">
                  <c:v>6</c:v>
                </c:pt>
                <c:pt idx="2">
                  <c:v>5</c:v>
                </c:pt>
                <c:pt idx="3">
                  <c:v>12</c:v>
                </c:pt>
                <c:pt idx="4">
                  <c:v>13</c:v>
                </c:pt>
                <c:pt idx="5">
                  <c:v>3</c:v>
                </c:pt>
                <c:pt idx="6">
                  <c:v>4.5</c:v>
                </c:pt>
                <c:pt idx="7">
                  <c:v>3</c:v>
                </c:pt>
                <c:pt idx="8">
                  <c:v>12</c:v>
                </c:pt>
                <c:pt idx="9">
                  <c:v>6</c:v>
                </c:pt>
                <c:pt idx="10">
                  <c:v>2</c:v>
                </c:pt>
                <c:pt idx="11">
                  <c:v>6</c:v>
                </c:pt>
                <c:pt idx="12">
                  <c:v>40</c:v>
                </c:pt>
                <c:pt idx="13">
                  <c:v>2.5</c:v>
                </c:pt>
                <c:pt idx="14">
                  <c:v>6</c:v>
                </c:pt>
                <c:pt idx="15">
                  <c:v>22</c:v>
                </c:pt>
                <c:pt idx="16">
                  <c:v>6</c:v>
                </c:pt>
                <c:pt idx="17">
                  <c:v>7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8</c:v>
                </c:pt>
                <c:pt idx="23">
                  <c:v>3</c:v>
                </c:pt>
                <c:pt idx="24">
                  <c:v>12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3</c:v>
                </c:pt>
                <c:pt idx="29">
                  <c:v>5</c:v>
                </c:pt>
                <c:pt idx="30">
                  <c:v>13</c:v>
                </c:pt>
                <c:pt idx="31">
                  <c:v>3</c:v>
                </c:pt>
                <c:pt idx="32">
                  <c:v>10</c:v>
                </c:pt>
                <c:pt idx="33">
                  <c:v>13</c:v>
                </c:pt>
                <c:pt idx="34">
                  <c:v>16</c:v>
                </c:pt>
                <c:pt idx="35">
                  <c:v>3</c:v>
                </c:pt>
                <c:pt idx="36">
                  <c:v>4</c:v>
                </c:pt>
                <c:pt idx="37">
                  <c:v>5</c:v>
                </c:pt>
                <c:pt idx="38">
                  <c:v>15</c:v>
                </c:pt>
                <c:pt idx="39">
                  <c:v>4</c:v>
                </c:pt>
                <c:pt idx="40">
                  <c:v>8</c:v>
                </c:pt>
                <c:pt idx="41">
                  <c:v>9</c:v>
                </c:pt>
                <c:pt idx="42">
                  <c:v>4</c:v>
                </c:pt>
                <c:pt idx="43">
                  <c:v>3</c:v>
                </c:pt>
                <c:pt idx="44">
                  <c:v>2.5</c:v>
                </c:pt>
                <c:pt idx="45">
                  <c:v>3.5</c:v>
                </c:pt>
                <c:pt idx="46">
                  <c:v>3</c:v>
                </c:pt>
                <c:pt idx="47">
                  <c:v>20</c:v>
                </c:pt>
                <c:pt idx="48">
                  <c:v>20</c:v>
                </c:pt>
                <c:pt idx="49">
                  <c:v>10</c:v>
                </c:pt>
                <c:pt idx="50">
                  <c:v>3</c:v>
                </c:pt>
                <c:pt idx="51">
                  <c:v>9</c:v>
                </c:pt>
                <c:pt idx="52">
                  <c:v>3</c:v>
                </c:pt>
                <c:pt idx="53">
                  <c:v>5</c:v>
                </c:pt>
                <c:pt idx="54">
                  <c:v>3</c:v>
                </c:pt>
                <c:pt idx="55">
                  <c:v>3</c:v>
                </c:pt>
                <c:pt idx="56">
                  <c:v>2</c:v>
                </c:pt>
                <c:pt idx="57">
                  <c:v>2.5</c:v>
                </c:pt>
                <c:pt idx="58">
                  <c:v>7</c:v>
                </c:pt>
              </c:numCache>
            </c:numRef>
          </c:xVal>
          <c:yVal>
            <c:numRef>
              <c:f>'regression-result'!$B$30:$B$88</c:f>
              <c:numCache>
                <c:formatCode>General</c:formatCode>
                <c:ptCount val="59"/>
                <c:pt idx="0">
                  <c:v>9.4631979359328291</c:v>
                </c:pt>
                <c:pt idx="1">
                  <c:v>6.5589489632584552</c:v>
                </c:pt>
                <c:pt idx="2">
                  <c:v>6.9367327076326273</c:v>
                </c:pt>
                <c:pt idx="3">
                  <c:v>8.456822084527694</c:v>
                </c:pt>
                <c:pt idx="4">
                  <c:v>8.6519968255690181</c:v>
                </c:pt>
                <c:pt idx="5">
                  <c:v>8.0486404772750504</c:v>
                </c:pt>
                <c:pt idx="6">
                  <c:v>5.3117936715083065</c:v>
                </c:pt>
                <c:pt idx="7">
                  <c:v>5.7237767196307683</c:v>
                </c:pt>
                <c:pt idx="8">
                  <c:v>7.7684338902130756</c:v>
                </c:pt>
                <c:pt idx="9">
                  <c:v>5.5434154038790187</c:v>
                </c:pt>
                <c:pt idx="10">
                  <c:v>5.4386615509297336</c:v>
                </c:pt>
                <c:pt idx="11">
                  <c:v>5.4446991248324075</c:v>
                </c:pt>
                <c:pt idx="12">
                  <c:v>8.785183180072174</c:v>
                </c:pt>
                <c:pt idx="13">
                  <c:v>5.5433941992393425</c:v>
                </c:pt>
                <c:pt idx="14">
                  <c:v>6.9132633234474135</c:v>
                </c:pt>
                <c:pt idx="15">
                  <c:v>8.4657145422994873</c:v>
                </c:pt>
                <c:pt idx="16">
                  <c:v>5.1244225534413346</c:v>
                </c:pt>
                <c:pt idx="17">
                  <c:v>4.8971599386253235</c:v>
                </c:pt>
                <c:pt idx="18">
                  <c:v>5.1630418724590355</c:v>
                </c:pt>
                <c:pt idx="19">
                  <c:v>5.8513329785634198</c:v>
                </c:pt>
                <c:pt idx="20">
                  <c:v>5.6865027859774857</c:v>
                </c:pt>
                <c:pt idx="21">
                  <c:v>6.0584715967689959</c:v>
                </c:pt>
                <c:pt idx="22">
                  <c:v>5.5240683229749576</c:v>
                </c:pt>
                <c:pt idx="23">
                  <c:v>4.446925085922607</c:v>
                </c:pt>
                <c:pt idx="24">
                  <c:v>5.2576969521646557</c:v>
                </c:pt>
                <c:pt idx="25">
                  <c:v>6.3375137026573345</c:v>
                </c:pt>
                <c:pt idx="26">
                  <c:v>5.5268131785693546</c:v>
                </c:pt>
                <c:pt idx="27">
                  <c:v>4.6098708370867261</c:v>
                </c:pt>
                <c:pt idx="28">
                  <c:v>5.3839287087478978</c:v>
                </c:pt>
                <c:pt idx="29">
                  <c:v>5.252713482224153</c:v>
                </c:pt>
                <c:pt idx="30">
                  <c:v>7.6481862613744767</c:v>
                </c:pt>
                <c:pt idx="31">
                  <c:v>3.4898854409271509</c:v>
                </c:pt>
                <c:pt idx="32">
                  <c:v>6.3126645718024283</c:v>
                </c:pt>
                <c:pt idx="33">
                  <c:v>7.9908586416478062</c:v>
                </c:pt>
                <c:pt idx="34">
                  <c:v>8.4070567366161875</c:v>
                </c:pt>
                <c:pt idx="35">
                  <c:v>7.1320196497251303</c:v>
                </c:pt>
                <c:pt idx="36">
                  <c:v>3.2949211880368927</c:v>
                </c:pt>
                <c:pt idx="37">
                  <c:v>4.5326709061664747</c:v>
                </c:pt>
                <c:pt idx="38">
                  <c:v>7.8194344959994684</c:v>
                </c:pt>
                <c:pt idx="39">
                  <c:v>6.0405795826486344</c:v>
                </c:pt>
                <c:pt idx="40">
                  <c:v>4.1353944834326768</c:v>
                </c:pt>
                <c:pt idx="41">
                  <c:v>6.9429394038013852</c:v>
                </c:pt>
                <c:pt idx="42">
                  <c:v>4.9431668108066082</c:v>
                </c:pt>
                <c:pt idx="43">
                  <c:v>10.012904944812126</c:v>
                </c:pt>
                <c:pt idx="44">
                  <c:v>6.1248563883327485</c:v>
                </c:pt>
                <c:pt idx="45">
                  <c:v>5.7677738992278345</c:v>
                </c:pt>
                <c:pt idx="46">
                  <c:v>5.4892827058420277</c:v>
                </c:pt>
                <c:pt idx="47">
                  <c:v>6.0509545648133898</c:v>
                </c:pt>
                <c:pt idx="48">
                  <c:v>7.8320942726666525</c:v>
                </c:pt>
                <c:pt idx="49">
                  <c:v>5.0960880987085968</c:v>
                </c:pt>
                <c:pt idx="50">
                  <c:v>5.3937961995185812</c:v>
                </c:pt>
                <c:pt idx="51">
                  <c:v>6.8936905444197718</c:v>
                </c:pt>
                <c:pt idx="52">
                  <c:v>4.6759777584243771</c:v>
                </c:pt>
                <c:pt idx="53">
                  <c:v>3.2732214963862631</c:v>
                </c:pt>
                <c:pt idx="54">
                  <c:v>4.6583398480485458</c:v>
                </c:pt>
                <c:pt idx="55">
                  <c:v>4.5407235111988298</c:v>
                </c:pt>
                <c:pt idx="56">
                  <c:v>6.9686829346663375</c:v>
                </c:pt>
                <c:pt idx="57">
                  <c:v>7.2909018177585923</c:v>
                </c:pt>
                <c:pt idx="58">
                  <c:v>8.6957962457594018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4A0-4943-A5D7-CF02E934E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636224"/>
        <c:axId val="809638144"/>
      </c:scatterChart>
      <c:valAx>
        <c:axId val="809636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Access Road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9638144"/>
        <c:crosses val="autoZero"/>
        <c:crossBetween val="midCat"/>
      </c:valAx>
      <c:valAx>
        <c:axId val="8096381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96362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Floors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Price</c:v>
          </c:tx>
          <c:spPr>
            <a:ln w="19050">
              <a:noFill/>
            </a:ln>
          </c:spPr>
          <c:xVal>
            <c:numRef>
              <c:f>data!$H$3:$H$61</c:f>
              <c:numCache>
                <c:formatCode>General</c:formatCode>
                <c:ptCount val="59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2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6</c:v>
                </c:pt>
                <c:pt idx="26">
                  <c:v>5</c:v>
                </c:pt>
                <c:pt idx="27">
                  <c:v>3</c:v>
                </c:pt>
                <c:pt idx="28">
                  <c:v>5</c:v>
                </c:pt>
                <c:pt idx="29">
                  <c:v>4</c:v>
                </c:pt>
                <c:pt idx="30">
                  <c:v>5</c:v>
                </c:pt>
                <c:pt idx="31">
                  <c:v>1</c:v>
                </c:pt>
                <c:pt idx="32">
                  <c:v>2</c:v>
                </c:pt>
                <c:pt idx="33">
                  <c:v>5</c:v>
                </c:pt>
                <c:pt idx="34">
                  <c:v>4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4</c:v>
                </c:pt>
                <c:pt idx="39">
                  <c:v>5</c:v>
                </c:pt>
                <c:pt idx="40">
                  <c:v>2</c:v>
                </c:pt>
                <c:pt idx="41">
                  <c:v>3</c:v>
                </c:pt>
                <c:pt idx="42">
                  <c:v>3</c:v>
                </c:pt>
                <c:pt idx="43">
                  <c:v>4</c:v>
                </c:pt>
                <c:pt idx="44">
                  <c:v>4</c:v>
                </c:pt>
                <c:pt idx="45">
                  <c:v>6</c:v>
                </c:pt>
                <c:pt idx="46">
                  <c:v>5</c:v>
                </c:pt>
                <c:pt idx="47">
                  <c:v>4</c:v>
                </c:pt>
                <c:pt idx="48">
                  <c:v>5</c:v>
                </c:pt>
                <c:pt idx="49">
                  <c:v>4</c:v>
                </c:pt>
                <c:pt idx="50">
                  <c:v>4</c:v>
                </c:pt>
                <c:pt idx="51">
                  <c:v>3</c:v>
                </c:pt>
                <c:pt idx="52">
                  <c:v>4</c:v>
                </c:pt>
                <c:pt idx="53">
                  <c:v>1</c:v>
                </c:pt>
                <c:pt idx="54">
                  <c:v>4</c:v>
                </c:pt>
                <c:pt idx="55">
                  <c:v>3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</c:numCache>
            </c:numRef>
          </c:xVal>
          <c:yVal>
            <c:numRef>
              <c:f>data!$K$3:$K$61</c:f>
              <c:numCache>
                <c:formatCode>General</c:formatCode>
                <c:ptCount val="59"/>
                <c:pt idx="0">
                  <c:v>9.4</c:v>
                </c:pt>
                <c:pt idx="1">
                  <c:v>7.99</c:v>
                </c:pt>
                <c:pt idx="2">
                  <c:v>5.6</c:v>
                </c:pt>
                <c:pt idx="3">
                  <c:v>6.3</c:v>
                </c:pt>
                <c:pt idx="4">
                  <c:v>8.6300000000000008</c:v>
                </c:pt>
                <c:pt idx="5">
                  <c:v>8.8000000000000007</c:v>
                </c:pt>
                <c:pt idx="6">
                  <c:v>10</c:v>
                </c:pt>
                <c:pt idx="7">
                  <c:v>5.6</c:v>
                </c:pt>
                <c:pt idx="8">
                  <c:v>6.5</c:v>
                </c:pt>
                <c:pt idx="9">
                  <c:v>3.2</c:v>
                </c:pt>
                <c:pt idx="10">
                  <c:v>4.4800000000000004</c:v>
                </c:pt>
                <c:pt idx="11">
                  <c:v>6.78</c:v>
                </c:pt>
                <c:pt idx="12">
                  <c:v>9.6999999999999993</c:v>
                </c:pt>
                <c:pt idx="13">
                  <c:v>4.1500000000000004</c:v>
                </c:pt>
                <c:pt idx="14">
                  <c:v>6.7</c:v>
                </c:pt>
                <c:pt idx="15">
                  <c:v>6.39</c:v>
                </c:pt>
                <c:pt idx="16">
                  <c:v>6.8</c:v>
                </c:pt>
                <c:pt idx="17">
                  <c:v>4.7</c:v>
                </c:pt>
                <c:pt idx="18">
                  <c:v>4.95</c:v>
                </c:pt>
                <c:pt idx="19">
                  <c:v>4.5999999999999996</c:v>
                </c:pt>
                <c:pt idx="20">
                  <c:v>8.5</c:v>
                </c:pt>
                <c:pt idx="21">
                  <c:v>6.3</c:v>
                </c:pt>
                <c:pt idx="22">
                  <c:v>7.2</c:v>
                </c:pt>
                <c:pt idx="23">
                  <c:v>2.1</c:v>
                </c:pt>
                <c:pt idx="24">
                  <c:v>6</c:v>
                </c:pt>
                <c:pt idx="25">
                  <c:v>3.25</c:v>
                </c:pt>
                <c:pt idx="26">
                  <c:v>4.0999999999999996</c:v>
                </c:pt>
                <c:pt idx="27">
                  <c:v>2.65</c:v>
                </c:pt>
                <c:pt idx="28">
                  <c:v>4.55</c:v>
                </c:pt>
                <c:pt idx="29">
                  <c:v>6.5</c:v>
                </c:pt>
                <c:pt idx="30">
                  <c:v>8.6</c:v>
                </c:pt>
                <c:pt idx="31">
                  <c:v>5.6</c:v>
                </c:pt>
                <c:pt idx="32">
                  <c:v>8</c:v>
                </c:pt>
                <c:pt idx="33">
                  <c:v>8.6</c:v>
                </c:pt>
                <c:pt idx="34">
                  <c:v>8.5</c:v>
                </c:pt>
                <c:pt idx="35">
                  <c:v>5.2</c:v>
                </c:pt>
                <c:pt idx="36">
                  <c:v>5.65</c:v>
                </c:pt>
                <c:pt idx="37">
                  <c:v>3</c:v>
                </c:pt>
                <c:pt idx="38">
                  <c:v>6.7</c:v>
                </c:pt>
                <c:pt idx="39">
                  <c:v>5</c:v>
                </c:pt>
                <c:pt idx="40">
                  <c:v>2.25</c:v>
                </c:pt>
                <c:pt idx="41">
                  <c:v>7.6</c:v>
                </c:pt>
                <c:pt idx="42">
                  <c:v>2.4</c:v>
                </c:pt>
                <c:pt idx="43">
                  <c:v>10</c:v>
                </c:pt>
                <c:pt idx="44">
                  <c:v>9.8000000000000007</c:v>
                </c:pt>
                <c:pt idx="45">
                  <c:v>7.5</c:v>
                </c:pt>
                <c:pt idx="46">
                  <c:v>3.2</c:v>
                </c:pt>
                <c:pt idx="47">
                  <c:v>4</c:v>
                </c:pt>
                <c:pt idx="48">
                  <c:v>8.6</c:v>
                </c:pt>
                <c:pt idx="49">
                  <c:v>8.5</c:v>
                </c:pt>
                <c:pt idx="50">
                  <c:v>8.6</c:v>
                </c:pt>
                <c:pt idx="51">
                  <c:v>9.1</c:v>
                </c:pt>
                <c:pt idx="52">
                  <c:v>2.65</c:v>
                </c:pt>
                <c:pt idx="53">
                  <c:v>2.16</c:v>
                </c:pt>
                <c:pt idx="54">
                  <c:v>3.95</c:v>
                </c:pt>
                <c:pt idx="55">
                  <c:v>2.75</c:v>
                </c:pt>
                <c:pt idx="56">
                  <c:v>6.5</c:v>
                </c:pt>
                <c:pt idx="57">
                  <c:v>10</c:v>
                </c:pt>
                <c:pt idx="58">
                  <c:v>8.8000000000000007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B82-4F5B-96AD-5E92C8A496F0}"/>
            </c:ext>
          </c:extLst>
        </c:ser>
        <c:ser>
          <c:idx val="1"/>
          <c:order val="1"/>
          <c:tx>
            <c:v>Predicted Price</c:v>
          </c:tx>
          <c:spPr>
            <a:ln w="19050">
              <a:noFill/>
            </a:ln>
          </c:spPr>
          <c:xVal>
            <c:numRef>
              <c:f>data!$H$3:$H$61</c:f>
              <c:numCache>
                <c:formatCode>General</c:formatCode>
                <c:ptCount val="59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2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6</c:v>
                </c:pt>
                <c:pt idx="26">
                  <c:v>5</c:v>
                </c:pt>
                <c:pt idx="27">
                  <c:v>3</c:v>
                </c:pt>
                <c:pt idx="28">
                  <c:v>5</c:v>
                </c:pt>
                <c:pt idx="29">
                  <c:v>4</c:v>
                </c:pt>
                <c:pt idx="30">
                  <c:v>5</c:v>
                </c:pt>
                <c:pt idx="31">
                  <c:v>1</c:v>
                </c:pt>
                <c:pt idx="32">
                  <c:v>2</c:v>
                </c:pt>
                <c:pt idx="33">
                  <c:v>5</c:v>
                </c:pt>
                <c:pt idx="34">
                  <c:v>4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4</c:v>
                </c:pt>
                <c:pt idx="39">
                  <c:v>5</c:v>
                </c:pt>
                <c:pt idx="40">
                  <c:v>2</c:v>
                </c:pt>
                <c:pt idx="41">
                  <c:v>3</c:v>
                </c:pt>
                <c:pt idx="42">
                  <c:v>3</c:v>
                </c:pt>
                <c:pt idx="43">
                  <c:v>4</c:v>
                </c:pt>
                <c:pt idx="44">
                  <c:v>4</c:v>
                </c:pt>
                <c:pt idx="45">
                  <c:v>6</c:v>
                </c:pt>
                <c:pt idx="46">
                  <c:v>5</c:v>
                </c:pt>
                <c:pt idx="47">
                  <c:v>4</c:v>
                </c:pt>
                <c:pt idx="48">
                  <c:v>5</c:v>
                </c:pt>
                <c:pt idx="49">
                  <c:v>4</c:v>
                </c:pt>
                <c:pt idx="50">
                  <c:v>4</c:v>
                </c:pt>
                <c:pt idx="51">
                  <c:v>3</c:v>
                </c:pt>
                <c:pt idx="52">
                  <c:v>4</c:v>
                </c:pt>
                <c:pt idx="53">
                  <c:v>1</c:v>
                </c:pt>
                <c:pt idx="54">
                  <c:v>4</c:v>
                </c:pt>
                <c:pt idx="55">
                  <c:v>3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</c:numCache>
            </c:numRef>
          </c:xVal>
          <c:yVal>
            <c:numRef>
              <c:f>'regression-result'!$B$30:$B$88</c:f>
              <c:numCache>
                <c:formatCode>General</c:formatCode>
                <c:ptCount val="59"/>
                <c:pt idx="0">
                  <c:v>9.4631979359328291</c:v>
                </c:pt>
                <c:pt idx="1">
                  <c:v>6.5589489632584552</c:v>
                </c:pt>
                <c:pt idx="2">
                  <c:v>6.9367327076326273</c:v>
                </c:pt>
                <c:pt idx="3">
                  <c:v>8.456822084527694</c:v>
                </c:pt>
                <c:pt idx="4">
                  <c:v>8.6519968255690181</c:v>
                </c:pt>
                <c:pt idx="5">
                  <c:v>8.0486404772750504</c:v>
                </c:pt>
                <c:pt idx="6">
                  <c:v>5.3117936715083065</c:v>
                </c:pt>
                <c:pt idx="7">
                  <c:v>5.7237767196307683</c:v>
                </c:pt>
                <c:pt idx="8">
                  <c:v>7.7684338902130756</c:v>
                </c:pt>
                <c:pt idx="9">
                  <c:v>5.5434154038790187</c:v>
                </c:pt>
                <c:pt idx="10">
                  <c:v>5.4386615509297336</c:v>
                </c:pt>
                <c:pt idx="11">
                  <c:v>5.4446991248324075</c:v>
                </c:pt>
                <c:pt idx="12">
                  <c:v>8.785183180072174</c:v>
                </c:pt>
                <c:pt idx="13">
                  <c:v>5.5433941992393425</c:v>
                </c:pt>
                <c:pt idx="14">
                  <c:v>6.9132633234474135</c:v>
                </c:pt>
                <c:pt idx="15">
                  <c:v>8.4657145422994873</c:v>
                </c:pt>
                <c:pt idx="16">
                  <c:v>5.1244225534413346</c:v>
                </c:pt>
                <c:pt idx="17">
                  <c:v>4.8971599386253235</c:v>
                </c:pt>
                <c:pt idx="18">
                  <c:v>5.1630418724590355</c:v>
                </c:pt>
                <c:pt idx="19">
                  <c:v>5.8513329785634198</c:v>
                </c:pt>
                <c:pt idx="20">
                  <c:v>5.6865027859774857</c:v>
                </c:pt>
                <c:pt idx="21">
                  <c:v>6.0584715967689959</c:v>
                </c:pt>
                <c:pt idx="22">
                  <c:v>5.5240683229749576</c:v>
                </c:pt>
                <c:pt idx="23">
                  <c:v>4.446925085922607</c:v>
                </c:pt>
                <c:pt idx="24">
                  <c:v>5.2576969521646557</c:v>
                </c:pt>
                <c:pt idx="25">
                  <c:v>6.3375137026573345</c:v>
                </c:pt>
                <c:pt idx="26">
                  <c:v>5.5268131785693546</c:v>
                </c:pt>
                <c:pt idx="27">
                  <c:v>4.6098708370867261</c:v>
                </c:pt>
                <c:pt idx="28">
                  <c:v>5.3839287087478978</c:v>
                </c:pt>
                <c:pt idx="29">
                  <c:v>5.252713482224153</c:v>
                </c:pt>
                <c:pt idx="30">
                  <c:v>7.6481862613744767</c:v>
                </c:pt>
                <c:pt idx="31">
                  <c:v>3.4898854409271509</c:v>
                </c:pt>
                <c:pt idx="32">
                  <c:v>6.3126645718024283</c:v>
                </c:pt>
                <c:pt idx="33">
                  <c:v>7.9908586416478062</c:v>
                </c:pt>
                <c:pt idx="34">
                  <c:v>8.4070567366161875</c:v>
                </c:pt>
                <c:pt idx="35">
                  <c:v>7.1320196497251303</c:v>
                </c:pt>
                <c:pt idx="36">
                  <c:v>3.2949211880368927</c:v>
                </c:pt>
                <c:pt idx="37">
                  <c:v>4.5326709061664747</c:v>
                </c:pt>
                <c:pt idx="38">
                  <c:v>7.8194344959994684</c:v>
                </c:pt>
                <c:pt idx="39">
                  <c:v>6.0405795826486344</c:v>
                </c:pt>
                <c:pt idx="40">
                  <c:v>4.1353944834326768</c:v>
                </c:pt>
                <c:pt idx="41">
                  <c:v>6.9429394038013852</c:v>
                </c:pt>
                <c:pt idx="42">
                  <c:v>4.9431668108066082</c:v>
                </c:pt>
                <c:pt idx="43">
                  <c:v>10.012904944812126</c:v>
                </c:pt>
                <c:pt idx="44">
                  <c:v>6.1248563883327485</c:v>
                </c:pt>
                <c:pt idx="45">
                  <c:v>5.7677738992278345</c:v>
                </c:pt>
                <c:pt idx="46">
                  <c:v>5.4892827058420277</c:v>
                </c:pt>
                <c:pt idx="47">
                  <c:v>6.0509545648133898</c:v>
                </c:pt>
                <c:pt idx="48">
                  <c:v>7.8320942726666525</c:v>
                </c:pt>
                <c:pt idx="49">
                  <c:v>5.0960880987085968</c:v>
                </c:pt>
                <c:pt idx="50">
                  <c:v>5.3937961995185812</c:v>
                </c:pt>
                <c:pt idx="51">
                  <c:v>6.8936905444197718</c:v>
                </c:pt>
                <c:pt idx="52">
                  <c:v>4.6759777584243771</c:v>
                </c:pt>
                <c:pt idx="53">
                  <c:v>3.2732214963862631</c:v>
                </c:pt>
                <c:pt idx="54">
                  <c:v>4.6583398480485458</c:v>
                </c:pt>
                <c:pt idx="55">
                  <c:v>4.5407235111988298</c:v>
                </c:pt>
                <c:pt idx="56">
                  <c:v>6.9686829346663375</c:v>
                </c:pt>
                <c:pt idx="57">
                  <c:v>7.2909018177585923</c:v>
                </c:pt>
                <c:pt idx="58">
                  <c:v>8.6957962457594018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B82-4F5B-96AD-5E92C8A49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641504"/>
        <c:axId val="809643424"/>
      </c:scatterChart>
      <c:valAx>
        <c:axId val="809641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Floors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9643424"/>
        <c:crosses val="autoZero"/>
        <c:crossBetween val="midCat"/>
      </c:valAx>
      <c:valAx>
        <c:axId val="8096434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9641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Bedrooms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Price</c:v>
          </c:tx>
          <c:spPr>
            <a:ln w="19050">
              <a:noFill/>
            </a:ln>
          </c:spPr>
          <c:xVal>
            <c:numRef>
              <c:f>data!$I$3:$I$61</c:f>
              <c:numCache>
                <c:formatCode>General</c:formatCode>
                <c:ptCount val="59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5</c:v>
                </c:pt>
                <c:pt idx="13">
                  <c:v>3</c:v>
                </c:pt>
                <c:pt idx="14">
                  <c:v>4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2</c:v>
                </c:pt>
                <c:pt idx="32">
                  <c:v>4</c:v>
                </c:pt>
                <c:pt idx="33">
                  <c:v>7</c:v>
                </c:pt>
                <c:pt idx="34">
                  <c:v>5</c:v>
                </c:pt>
                <c:pt idx="35">
                  <c:v>7</c:v>
                </c:pt>
                <c:pt idx="36">
                  <c:v>2</c:v>
                </c:pt>
                <c:pt idx="37">
                  <c:v>3</c:v>
                </c:pt>
                <c:pt idx="38">
                  <c:v>6</c:v>
                </c:pt>
                <c:pt idx="39">
                  <c:v>4</c:v>
                </c:pt>
                <c:pt idx="40">
                  <c:v>3</c:v>
                </c:pt>
                <c:pt idx="41">
                  <c:v>5</c:v>
                </c:pt>
                <c:pt idx="42">
                  <c:v>4</c:v>
                </c:pt>
                <c:pt idx="43">
                  <c:v>7</c:v>
                </c:pt>
                <c:pt idx="44">
                  <c:v>4</c:v>
                </c:pt>
                <c:pt idx="45">
                  <c:v>4</c:v>
                </c:pt>
                <c:pt idx="46">
                  <c:v>3</c:v>
                </c:pt>
                <c:pt idx="47">
                  <c:v>3</c:v>
                </c:pt>
                <c:pt idx="48">
                  <c:v>6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3</c:v>
                </c:pt>
                <c:pt idx="53">
                  <c:v>2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5</c:v>
                </c:pt>
                <c:pt idx="58">
                  <c:v>8</c:v>
                </c:pt>
              </c:numCache>
            </c:numRef>
          </c:xVal>
          <c:yVal>
            <c:numRef>
              <c:f>data!$K$3:$K$61</c:f>
              <c:numCache>
                <c:formatCode>General</c:formatCode>
                <c:ptCount val="59"/>
                <c:pt idx="0">
                  <c:v>9.4</c:v>
                </c:pt>
                <c:pt idx="1">
                  <c:v>7.99</c:v>
                </c:pt>
                <c:pt idx="2">
                  <c:v>5.6</c:v>
                </c:pt>
                <c:pt idx="3">
                  <c:v>6.3</c:v>
                </c:pt>
                <c:pt idx="4">
                  <c:v>8.6300000000000008</c:v>
                </c:pt>
                <c:pt idx="5">
                  <c:v>8.8000000000000007</c:v>
                </c:pt>
                <c:pt idx="6">
                  <c:v>10</c:v>
                </c:pt>
                <c:pt idx="7">
                  <c:v>5.6</c:v>
                </c:pt>
                <c:pt idx="8">
                  <c:v>6.5</c:v>
                </c:pt>
                <c:pt idx="9">
                  <c:v>3.2</c:v>
                </c:pt>
                <c:pt idx="10">
                  <c:v>4.4800000000000004</c:v>
                </c:pt>
                <c:pt idx="11">
                  <c:v>6.78</c:v>
                </c:pt>
                <c:pt idx="12">
                  <c:v>9.6999999999999993</c:v>
                </c:pt>
                <c:pt idx="13">
                  <c:v>4.1500000000000004</c:v>
                </c:pt>
                <c:pt idx="14">
                  <c:v>6.7</c:v>
                </c:pt>
                <c:pt idx="15">
                  <c:v>6.39</c:v>
                </c:pt>
                <c:pt idx="16">
                  <c:v>6.8</c:v>
                </c:pt>
                <c:pt idx="17">
                  <c:v>4.7</c:v>
                </c:pt>
                <c:pt idx="18">
                  <c:v>4.95</c:v>
                </c:pt>
                <c:pt idx="19">
                  <c:v>4.5999999999999996</c:v>
                </c:pt>
                <c:pt idx="20">
                  <c:v>8.5</c:v>
                </c:pt>
                <c:pt idx="21">
                  <c:v>6.3</c:v>
                </c:pt>
                <c:pt idx="22">
                  <c:v>7.2</c:v>
                </c:pt>
                <c:pt idx="23">
                  <c:v>2.1</c:v>
                </c:pt>
                <c:pt idx="24">
                  <c:v>6</c:v>
                </c:pt>
                <c:pt idx="25">
                  <c:v>3.25</c:v>
                </c:pt>
                <c:pt idx="26">
                  <c:v>4.0999999999999996</c:v>
                </c:pt>
                <c:pt idx="27">
                  <c:v>2.65</c:v>
                </c:pt>
                <c:pt idx="28">
                  <c:v>4.55</c:v>
                </c:pt>
                <c:pt idx="29">
                  <c:v>6.5</c:v>
                </c:pt>
                <c:pt idx="30">
                  <c:v>8.6</c:v>
                </c:pt>
                <c:pt idx="31">
                  <c:v>5.6</c:v>
                </c:pt>
                <c:pt idx="32">
                  <c:v>8</c:v>
                </c:pt>
                <c:pt idx="33">
                  <c:v>8.6</c:v>
                </c:pt>
                <c:pt idx="34">
                  <c:v>8.5</c:v>
                </c:pt>
                <c:pt idx="35">
                  <c:v>5.2</c:v>
                </c:pt>
                <c:pt idx="36">
                  <c:v>5.65</c:v>
                </c:pt>
                <c:pt idx="37">
                  <c:v>3</c:v>
                </c:pt>
                <c:pt idx="38">
                  <c:v>6.7</c:v>
                </c:pt>
                <c:pt idx="39">
                  <c:v>5</c:v>
                </c:pt>
                <c:pt idx="40">
                  <c:v>2.25</c:v>
                </c:pt>
                <c:pt idx="41">
                  <c:v>7.6</c:v>
                </c:pt>
                <c:pt idx="42">
                  <c:v>2.4</c:v>
                </c:pt>
                <c:pt idx="43">
                  <c:v>10</c:v>
                </c:pt>
                <c:pt idx="44">
                  <c:v>9.8000000000000007</c:v>
                </c:pt>
                <c:pt idx="45">
                  <c:v>7.5</c:v>
                </c:pt>
                <c:pt idx="46">
                  <c:v>3.2</c:v>
                </c:pt>
                <c:pt idx="47">
                  <c:v>4</c:v>
                </c:pt>
                <c:pt idx="48">
                  <c:v>8.6</c:v>
                </c:pt>
                <c:pt idx="49">
                  <c:v>8.5</c:v>
                </c:pt>
                <c:pt idx="50">
                  <c:v>8.6</c:v>
                </c:pt>
                <c:pt idx="51">
                  <c:v>9.1</c:v>
                </c:pt>
                <c:pt idx="52">
                  <c:v>2.65</c:v>
                </c:pt>
                <c:pt idx="53">
                  <c:v>2.16</c:v>
                </c:pt>
                <c:pt idx="54">
                  <c:v>3.95</c:v>
                </c:pt>
                <c:pt idx="55">
                  <c:v>2.75</c:v>
                </c:pt>
                <c:pt idx="56">
                  <c:v>6.5</c:v>
                </c:pt>
                <c:pt idx="57">
                  <c:v>10</c:v>
                </c:pt>
                <c:pt idx="58">
                  <c:v>8.8000000000000007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EE-40D0-B282-CF5D95D51578}"/>
            </c:ext>
          </c:extLst>
        </c:ser>
        <c:ser>
          <c:idx val="1"/>
          <c:order val="1"/>
          <c:tx>
            <c:v>Predicted Price</c:v>
          </c:tx>
          <c:spPr>
            <a:ln w="19050">
              <a:noFill/>
            </a:ln>
          </c:spPr>
          <c:xVal>
            <c:numRef>
              <c:f>data!$I$3:$I$61</c:f>
              <c:numCache>
                <c:formatCode>General</c:formatCode>
                <c:ptCount val="59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5</c:v>
                </c:pt>
                <c:pt idx="13">
                  <c:v>3</c:v>
                </c:pt>
                <c:pt idx="14">
                  <c:v>4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2</c:v>
                </c:pt>
                <c:pt idx="32">
                  <c:v>4</c:v>
                </c:pt>
                <c:pt idx="33">
                  <c:v>7</c:v>
                </c:pt>
                <c:pt idx="34">
                  <c:v>5</c:v>
                </c:pt>
                <c:pt idx="35">
                  <c:v>7</c:v>
                </c:pt>
                <c:pt idx="36">
                  <c:v>2</c:v>
                </c:pt>
                <c:pt idx="37">
                  <c:v>3</c:v>
                </c:pt>
                <c:pt idx="38">
                  <c:v>6</c:v>
                </c:pt>
                <c:pt idx="39">
                  <c:v>4</c:v>
                </c:pt>
                <c:pt idx="40">
                  <c:v>3</c:v>
                </c:pt>
                <c:pt idx="41">
                  <c:v>5</c:v>
                </c:pt>
                <c:pt idx="42">
                  <c:v>4</c:v>
                </c:pt>
                <c:pt idx="43">
                  <c:v>7</c:v>
                </c:pt>
                <c:pt idx="44">
                  <c:v>4</c:v>
                </c:pt>
                <c:pt idx="45">
                  <c:v>4</c:v>
                </c:pt>
                <c:pt idx="46">
                  <c:v>3</c:v>
                </c:pt>
                <c:pt idx="47">
                  <c:v>3</c:v>
                </c:pt>
                <c:pt idx="48">
                  <c:v>6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3</c:v>
                </c:pt>
                <c:pt idx="53">
                  <c:v>2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5</c:v>
                </c:pt>
                <c:pt idx="58">
                  <c:v>8</c:v>
                </c:pt>
              </c:numCache>
            </c:numRef>
          </c:xVal>
          <c:yVal>
            <c:numRef>
              <c:f>'regression-result'!$B$30:$B$88</c:f>
              <c:numCache>
                <c:formatCode>General</c:formatCode>
                <c:ptCount val="59"/>
                <c:pt idx="0">
                  <c:v>9.4631979359328291</c:v>
                </c:pt>
                <c:pt idx="1">
                  <c:v>6.5589489632584552</c:v>
                </c:pt>
                <c:pt idx="2">
                  <c:v>6.9367327076326273</c:v>
                </c:pt>
                <c:pt idx="3">
                  <c:v>8.456822084527694</c:v>
                </c:pt>
                <c:pt idx="4">
                  <c:v>8.6519968255690181</c:v>
                </c:pt>
                <c:pt idx="5">
                  <c:v>8.0486404772750504</c:v>
                </c:pt>
                <c:pt idx="6">
                  <c:v>5.3117936715083065</c:v>
                </c:pt>
                <c:pt idx="7">
                  <c:v>5.7237767196307683</c:v>
                </c:pt>
                <c:pt idx="8">
                  <c:v>7.7684338902130756</c:v>
                </c:pt>
                <c:pt idx="9">
                  <c:v>5.5434154038790187</c:v>
                </c:pt>
                <c:pt idx="10">
                  <c:v>5.4386615509297336</c:v>
                </c:pt>
                <c:pt idx="11">
                  <c:v>5.4446991248324075</c:v>
                </c:pt>
                <c:pt idx="12">
                  <c:v>8.785183180072174</c:v>
                </c:pt>
                <c:pt idx="13">
                  <c:v>5.5433941992393425</c:v>
                </c:pt>
                <c:pt idx="14">
                  <c:v>6.9132633234474135</c:v>
                </c:pt>
                <c:pt idx="15">
                  <c:v>8.4657145422994873</c:v>
                </c:pt>
                <c:pt idx="16">
                  <c:v>5.1244225534413346</c:v>
                </c:pt>
                <c:pt idx="17">
                  <c:v>4.8971599386253235</c:v>
                </c:pt>
                <c:pt idx="18">
                  <c:v>5.1630418724590355</c:v>
                </c:pt>
                <c:pt idx="19">
                  <c:v>5.8513329785634198</c:v>
                </c:pt>
                <c:pt idx="20">
                  <c:v>5.6865027859774857</c:v>
                </c:pt>
                <c:pt idx="21">
                  <c:v>6.0584715967689959</c:v>
                </c:pt>
                <c:pt idx="22">
                  <c:v>5.5240683229749576</c:v>
                </c:pt>
                <c:pt idx="23">
                  <c:v>4.446925085922607</c:v>
                </c:pt>
                <c:pt idx="24">
                  <c:v>5.2576969521646557</c:v>
                </c:pt>
                <c:pt idx="25">
                  <c:v>6.3375137026573345</c:v>
                </c:pt>
                <c:pt idx="26">
                  <c:v>5.5268131785693546</c:v>
                </c:pt>
                <c:pt idx="27">
                  <c:v>4.6098708370867261</c:v>
                </c:pt>
                <c:pt idx="28">
                  <c:v>5.3839287087478978</c:v>
                </c:pt>
                <c:pt idx="29">
                  <c:v>5.252713482224153</c:v>
                </c:pt>
                <c:pt idx="30">
                  <c:v>7.6481862613744767</c:v>
                </c:pt>
                <c:pt idx="31">
                  <c:v>3.4898854409271509</c:v>
                </c:pt>
                <c:pt idx="32">
                  <c:v>6.3126645718024283</c:v>
                </c:pt>
                <c:pt idx="33">
                  <c:v>7.9908586416478062</c:v>
                </c:pt>
                <c:pt idx="34">
                  <c:v>8.4070567366161875</c:v>
                </c:pt>
                <c:pt idx="35">
                  <c:v>7.1320196497251303</c:v>
                </c:pt>
                <c:pt idx="36">
                  <c:v>3.2949211880368927</c:v>
                </c:pt>
                <c:pt idx="37">
                  <c:v>4.5326709061664747</c:v>
                </c:pt>
                <c:pt idx="38">
                  <c:v>7.8194344959994684</c:v>
                </c:pt>
                <c:pt idx="39">
                  <c:v>6.0405795826486344</c:v>
                </c:pt>
                <c:pt idx="40">
                  <c:v>4.1353944834326768</c:v>
                </c:pt>
                <c:pt idx="41">
                  <c:v>6.9429394038013852</c:v>
                </c:pt>
                <c:pt idx="42">
                  <c:v>4.9431668108066082</c:v>
                </c:pt>
                <c:pt idx="43">
                  <c:v>10.012904944812126</c:v>
                </c:pt>
                <c:pt idx="44">
                  <c:v>6.1248563883327485</c:v>
                </c:pt>
                <c:pt idx="45">
                  <c:v>5.7677738992278345</c:v>
                </c:pt>
                <c:pt idx="46">
                  <c:v>5.4892827058420277</c:v>
                </c:pt>
                <c:pt idx="47">
                  <c:v>6.0509545648133898</c:v>
                </c:pt>
                <c:pt idx="48">
                  <c:v>7.8320942726666525</c:v>
                </c:pt>
                <c:pt idx="49">
                  <c:v>5.0960880987085968</c:v>
                </c:pt>
                <c:pt idx="50">
                  <c:v>5.3937961995185812</c:v>
                </c:pt>
                <c:pt idx="51">
                  <c:v>6.8936905444197718</c:v>
                </c:pt>
                <c:pt idx="52">
                  <c:v>4.6759777584243771</c:v>
                </c:pt>
                <c:pt idx="53">
                  <c:v>3.2732214963862631</c:v>
                </c:pt>
                <c:pt idx="54">
                  <c:v>4.6583398480485458</c:v>
                </c:pt>
                <c:pt idx="55">
                  <c:v>4.5407235111988298</c:v>
                </c:pt>
                <c:pt idx="56">
                  <c:v>6.9686829346663375</c:v>
                </c:pt>
                <c:pt idx="57">
                  <c:v>7.2909018177585923</c:v>
                </c:pt>
                <c:pt idx="58">
                  <c:v>8.6957962457594018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AEE-40D0-B282-CF5D95D51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579104"/>
        <c:axId val="809584384"/>
      </c:scatterChart>
      <c:valAx>
        <c:axId val="809579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Bedrooms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9584384"/>
        <c:crosses val="autoZero"/>
        <c:crossBetween val="midCat"/>
      </c:valAx>
      <c:valAx>
        <c:axId val="8095843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9579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Bathrooms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Price</c:v>
          </c:tx>
          <c:spPr>
            <a:ln w="19050">
              <a:noFill/>
            </a:ln>
          </c:spPr>
          <c:xVal>
            <c:numRef>
              <c:f>data!$J$3:$J$61</c:f>
              <c:numCache>
                <c:formatCode>General</c:formatCode>
                <c:ptCount val="59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5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6</c:v>
                </c:pt>
                <c:pt idx="35">
                  <c:v>4</c:v>
                </c:pt>
                <c:pt idx="36">
                  <c:v>2</c:v>
                </c:pt>
                <c:pt idx="37">
                  <c:v>3</c:v>
                </c:pt>
                <c:pt idx="38">
                  <c:v>4</c:v>
                </c:pt>
                <c:pt idx="39">
                  <c:v>4</c:v>
                </c:pt>
                <c:pt idx="40">
                  <c:v>2</c:v>
                </c:pt>
                <c:pt idx="41">
                  <c:v>5</c:v>
                </c:pt>
                <c:pt idx="42">
                  <c:v>3</c:v>
                </c:pt>
                <c:pt idx="43">
                  <c:v>7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1</c:v>
                </c:pt>
                <c:pt idx="54">
                  <c:v>3</c:v>
                </c:pt>
                <c:pt idx="55">
                  <c:v>3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</c:numCache>
            </c:numRef>
          </c:xVal>
          <c:yVal>
            <c:numRef>
              <c:f>data!$K$3:$K$61</c:f>
              <c:numCache>
                <c:formatCode>General</c:formatCode>
                <c:ptCount val="59"/>
                <c:pt idx="0">
                  <c:v>9.4</c:v>
                </c:pt>
                <c:pt idx="1">
                  <c:v>7.99</c:v>
                </c:pt>
                <c:pt idx="2">
                  <c:v>5.6</c:v>
                </c:pt>
                <c:pt idx="3">
                  <c:v>6.3</c:v>
                </c:pt>
                <c:pt idx="4">
                  <c:v>8.6300000000000008</c:v>
                </c:pt>
                <c:pt idx="5">
                  <c:v>8.8000000000000007</c:v>
                </c:pt>
                <c:pt idx="6">
                  <c:v>10</c:v>
                </c:pt>
                <c:pt idx="7">
                  <c:v>5.6</c:v>
                </c:pt>
                <c:pt idx="8">
                  <c:v>6.5</c:v>
                </c:pt>
                <c:pt idx="9">
                  <c:v>3.2</c:v>
                </c:pt>
                <c:pt idx="10">
                  <c:v>4.4800000000000004</c:v>
                </c:pt>
                <c:pt idx="11">
                  <c:v>6.78</c:v>
                </c:pt>
                <c:pt idx="12">
                  <c:v>9.6999999999999993</c:v>
                </c:pt>
                <c:pt idx="13">
                  <c:v>4.1500000000000004</c:v>
                </c:pt>
                <c:pt idx="14">
                  <c:v>6.7</c:v>
                </c:pt>
                <c:pt idx="15">
                  <c:v>6.39</c:v>
                </c:pt>
                <c:pt idx="16">
                  <c:v>6.8</c:v>
                </c:pt>
                <c:pt idx="17">
                  <c:v>4.7</c:v>
                </c:pt>
                <c:pt idx="18">
                  <c:v>4.95</c:v>
                </c:pt>
                <c:pt idx="19">
                  <c:v>4.5999999999999996</c:v>
                </c:pt>
                <c:pt idx="20">
                  <c:v>8.5</c:v>
                </c:pt>
                <c:pt idx="21">
                  <c:v>6.3</c:v>
                </c:pt>
                <c:pt idx="22">
                  <c:v>7.2</c:v>
                </c:pt>
                <c:pt idx="23">
                  <c:v>2.1</c:v>
                </c:pt>
                <c:pt idx="24">
                  <c:v>6</c:v>
                </c:pt>
                <c:pt idx="25">
                  <c:v>3.25</c:v>
                </c:pt>
                <c:pt idx="26">
                  <c:v>4.0999999999999996</c:v>
                </c:pt>
                <c:pt idx="27">
                  <c:v>2.65</c:v>
                </c:pt>
                <c:pt idx="28">
                  <c:v>4.55</c:v>
                </c:pt>
                <c:pt idx="29">
                  <c:v>6.5</c:v>
                </c:pt>
                <c:pt idx="30">
                  <c:v>8.6</c:v>
                </c:pt>
                <c:pt idx="31">
                  <c:v>5.6</c:v>
                </c:pt>
                <c:pt idx="32">
                  <c:v>8</c:v>
                </c:pt>
                <c:pt idx="33">
                  <c:v>8.6</c:v>
                </c:pt>
                <c:pt idx="34">
                  <c:v>8.5</c:v>
                </c:pt>
                <c:pt idx="35">
                  <c:v>5.2</c:v>
                </c:pt>
                <c:pt idx="36">
                  <c:v>5.65</c:v>
                </c:pt>
                <c:pt idx="37">
                  <c:v>3</c:v>
                </c:pt>
                <c:pt idx="38">
                  <c:v>6.7</c:v>
                </c:pt>
                <c:pt idx="39">
                  <c:v>5</c:v>
                </c:pt>
                <c:pt idx="40">
                  <c:v>2.25</c:v>
                </c:pt>
                <c:pt idx="41">
                  <c:v>7.6</c:v>
                </c:pt>
                <c:pt idx="42">
                  <c:v>2.4</c:v>
                </c:pt>
                <c:pt idx="43">
                  <c:v>10</c:v>
                </c:pt>
                <c:pt idx="44">
                  <c:v>9.8000000000000007</c:v>
                </c:pt>
                <c:pt idx="45">
                  <c:v>7.5</c:v>
                </c:pt>
                <c:pt idx="46">
                  <c:v>3.2</c:v>
                </c:pt>
                <c:pt idx="47">
                  <c:v>4</c:v>
                </c:pt>
                <c:pt idx="48">
                  <c:v>8.6</c:v>
                </c:pt>
                <c:pt idx="49">
                  <c:v>8.5</c:v>
                </c:pt>
                <c:pt idx="50">
                  <c:v>8.6</c:v>
                </c:pt>
                <c:pt idx="51">
                  <c:v>9.1</c:v>
                </c:pt>
                <c:pt idx="52">
                  <c:v>2.65</c:v>
                </c:pt>
                <c:pt idx="53">
                  <c:v>2.16</c:v>
                </c:pt>
                <c:pt idx="54">
                  <c:v>3.95</c:v>
                </c:pt>
                <c:pt idx="55">
                  <c:v>2.75</c:v>
                </c:pt>
                <c:pt idx="56">
                  <c:v>6.5</c:v>
                </c:pt>
                <c:pt idx="57">
                  <c:v>10</c:v>
                </c:pt>
                <c:pt idx="58">
                  <c:v>8.8000000000000007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A28-4042-A271-AF574DB181F2}"/>
            </c:ext>
          </c:extLst>
        </c:ser>
        <c:ser>
          <c:idx val="1"/>
          <c:order val="1"/>
          <c:tx>
            <c:v>Predicted Price</c:v>
          </c:tx>
          <c:spPr>
            <a:ln w="19050">
              <a:noFill/>
            </a:ln>
          </c:spPr>
          <c:xVal>
            <c:numRef>
              <c:f>data!$J$3:$J$61</c:f>
              <c:numCache>
                <c:formatCode>General</c:formatCode>
                <c:ptCount val="59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5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6</c:v>
                </c:pt>
                <c:pt idx="35">
                  <c:v>4</c:v>
                </c:pt>
                <c:pt idx="36">
                  <c:v>2</c:v>
                </c:pt>
                <c:pt idx="37">
                  <c:v>3</c:v>
                </c:pt>
                <c:pt idx="38">
                  <c:v>4</c:v>
                </c:pt>
                <c:pt idx="39">
                  <c:v>4</c:v>
                </c:pt>
                <c:pt idx="40">
                  <c:v>2</c:v>
                </c:pt>
                <c:pt idx="41">
                  <c:v>5</c:v>
                </c:pt>
                <c:pt idx="42">
                  <c:v>3</c:v>
                </c:pt>
                <c:pt idx="43">
                  <c:v>7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1</c:v>
                </c:pt>
                <c:pt idx="54">
                  <c:v>3</c:v>
                </c:pt>
                <c:pt idx="55">
                  <c:v>3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</c:numCache>
            </c:numRef>
          </c:xVal>
          <c:yVal>
            <c:numRef>
              <c:f>'regression-result'!$B$30:$B$88</c:f>
              <c:numCache>
                <c:formatCode>General</c:formatCode>
                <c:ptCount val="59"/>
                <c:pt idx="0">
                  <c:v>9.4631979359328291</c:v>
                </c:pt>
                <c:pt idx="1">
                  <c:v>6.5589489632584552</c:v>
                </c:pt>
                <c:pt idx="2">
                  <c:v>6.9367327076326273</c:v>
                </c:pt>
                <c:pt idx="3">
                  <c:v>8.456822084527694</c:v>
                </c:pt>
                <c:pt idx="4">
                  <c:v>8.6519968255690181</c:v>
                </c:pt>
                <c:pt idx="5">
                  <c:v>8.0486404772750504</c:v>
                </c:pt>
                <c:pt idx="6">
                  <c:v>5.3117936715083065</c:v>
                </c:pt>
                <c:pt idx="7">
                  <c:v>5.7237767196307683</c:v>
                </c:pt>
                <c:pt idx="8">
                  <c:v>7.7684338902130756</c:v>
                </c:pt>
                <c:pt idx="9">
                  <c:v>5.5434154038790187</c:v>
                </c:pt>
                <c:pt idx="10">
                  <c:v>5.4386615509297336</c:v>
                </c:pt>
                <c:pt idx="11">
                  <c:v>5.4446991248324075</c:v>
                </c:pt>
                <c:pt idx="12">
                  <c:v>8.785183180072174</c:v>
                </c:pt>
                <c:pt idx="13">
                  <c:v>5.5433941992393425</c:v>
                </c:pt>
                <c:pt idx="14">
                  <c:v>6.9132633234474135</c:v>
                </c:pt>
                <c:pt idx="15">
                  <c:v>8.4657145422994873</c:v>
                </c:pt>
                <c:pt idx="16">
                  <c:v>5.1244225534413346</c:v>
                </c:pt>
                <c:pt idx="17">
                  <c:v>4.8971599386253235</c:v>
                </c:pt>
                <c:pt idx="18">
                  <c:v>5.1630418724590355</c:v>
                </c:pt>
                <c:pt idx="19">
                  <c:v>5.8513329785634198</c:v>
                </c:pt>
                <c:pt idx="20">
                  <c:v>5.6865027859774857</c:v>
                </c:pt>
                <c:pt idx="21">
                  <c:v>6.0584715967689959</c:v>
                </c:pt>
                <c:pt idx="22">
                  <c:v>5.5240683229749576</c:v>
                </c:pt>
                <c:pt idx="23">
                  <c:v>4.446925085922607</c:v>
                </c:pt>
                <c:pt idx="24">
                  <c:v>5.2576969521646557</c:v>
                </c:pt>
                <c:pt idx="25">
                  <c:v>6.3375137026573345</c:v>
                </c:pt>
                <c:pt idx="26">
                  <c:v>5.5268131785693546</c:v>
                </c:pt>
                <c:pt idx="27">
                  <c:v>4.6098708370867261</c:v>
                </c:pt>
                <c:pt idx="28">
                  <c:v>5.3839287087478978</c:v>
                </c:pt>
                <c:pt idx="29">
                  <c:v>5.252713482224153</c:v>
                </c:pt>
                <c:pt idx="30">
                  <c:v>7.6481862613744767</c:v>
                </c:pt>
                <c:pt idx="31">
                  <c:v>3.4898854409271509</c:v>
                </c:pt>
                <c:pt idx="32">
                  <c:v>6.3126645718024283</c:v>
                </c:pt>
                <c:pt idx="33">
                  <c:v>7.9908586416478062</c:v>
                </c:pt>
                <c:pt idx="34">
                  <c:v>8.4070567366161875</c:v>
                </c:pt>
                <c:pt idx="35">
                  <c:v>7.1320196497251303</c:v>
                </c:pt>
                <c:pt idx="36">
                  <c:v>3.2949211880368927</c:v>
                </c:pt>
                <c:pt idx="37">
                  <c:v>4.5326709061664747</c:v>
                </c:pt>
                <c:pt idx="38">
                  <c:v>7.8194344959994684</c:v>
                </c:pt>
                <c:pt idx="39">
                  <c:v>6.0405795826486344</c:v>
                </c:pt>
                <c:pt idx="40">
                  <c:v>4.1353944834326768</c:v>
                </c:pt>
                <c:pt idx="41">
                  <c:v>6.9429394038013852</c:v>
                </c:pt>
                <c:pt idx="42">
                  <c:v>4.9431668108066082</c:v>
                </c:pt>
                <c:pt idx="43">
                  <c:v>10.012904944812126</c:v>
                </c:pt>
                <c:pt idx="44">
                  <c:v>6.1248563883327485</c:v>
                </c:pt>
                <c:pt idx="45">
                  <c:v>5.7677738992278345</c:v>
                </c:pt>
                <c:pt idx="46">
                  <c:v>5.4892827058420277</c:v>
                </c:pt>
                <c:pt idx="47">
                  <c:v>6.0509545648133898</c:v>
                </c:pt>
                <c:pt idx="48">
                  <c:v>7.8320942726666525</c:v>
                </c:pt>
                <c:pt idx="49">
                  <c:v>5.0960880987085968</c:v>
                </c:pt>
                <c:pt idx="50">
                  <c:v>5.3937961995185812</c:v>
                </c:pt>
                <c:pt idx="51">
                  <c:v>6.8936905444197718</c:v>
                </c:pt>
                <c:pt idx="52">
                  <c:v>4.6759777584243771</c:v>
                </c:pt>
                <c:pt idx="53">
                  <c:v>3.2732214963862631</c:v>
                </c:pt>
                <c:pt idx="54">
                  <c:v>4.6583398480485458</c:v>
                </c:pt>
                <c:pt idx="55">
                  <c:v>4.5407235111988298</c:v>
                </c:pt>
                <c:pt idx="56">
                  <c:v>6.9686829346663375</c:v>
                </c:pt>
                <c:pt idx="57">
                  <c:v>7.2909018177585923</c:v>
                </c:pt>
                <c:pt idx="58">
                  <c:v>8.6957962457594018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A28-4042-A271-AF574DB18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591104"/>
        <c:axId val="809582464"/>
      </c:scatterChart>
      <c:valAx>
        <c:axId val="809591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Bathrooms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9582464"/>
        <c:crosses val="autoZero"/>
        <c:crossBetween val="midCat"/>
      </c:valAx>
      <c:valAx>
        <c:axId val="8095824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9591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'regression-result'!$F$30:$F$88</c:f>
              <c:numCache>
                <c:formatCode>General</c:formatCode>
                <c:ptCount val="59"/>
                <c:pt idx="0">
                  <c:v>0.84745762711864403</c:v>
                </c:pt>
                <c:pt idx="1">
                  <c:v>2.5423728813559321</c:v>
                </c:pt>
                <c:pt idx="2">
                  <c:v>4.2372881355932197</c:v>
                </c:pt>
                <c:pt idx="3">
                  <c:v>5.9322033898305087</c:v>
                </c:pt>
                <c:pt idx="4">
                  <c:v>7.6271186440677958</c:v>
                </c:pt>
                <c:pt idx="5">
                  <c:v>9.322033898305083</c:v>
                </c:pt>
                <c:pt idx="6">
                  <c:v>11.016949152542372</c:v>
                </c:pt>
                <c:pt idx="7">
                  <c:v>12.711864406779661</c:v>
                </c:pt>
                <c:pt idx="8">
                  <c:v>14.406779661016948</c:v>
                </c:pt>
                <c:pt idx="9">
                  <c:v>16.101694915254235</c:v>
                </c:pt>
                <c:pt idx="10">
                  <c:v>17.796610169491522</c:v>
                </c:pt>
                <c:pt idx="11">
                  <c:v>19.491525423728813</c:v>
                </c:pt>
                <c:pt idx="12">
                  <c:v>21.1864406779661</c:v>
                </c:pt>
                <c:pt idx="13">
                  <c:v>22.881355932203387</c:v>
                </c:pt>
                <c:pt idx="14">
                  <c:v>24.576271186440678</c:v>
                </c:pt>
                <c:pt idx="15">
                  <c:v>26.271186440677965</c:v>
                </c:pt>
                <c:pt idx="16">
                  <c:v>27.966101694915253</c:v>
                </c:pt>
                <c:pt idx="17">
                  <c:v>29.66101694915254</c:v>
                </c:pt>
                <c:pt idx="18">
                  <c:v>31.355932203389827</c:v>
                </c:pt>
                <c:pt idx="19">
                  <c:v>33.050847457627114</c:v>
                </c:pt>
                <c:pt idx="20">
                  <c:v>34.745762711864401</c:v>
                </c:pt>
                <c:pt idx="21">
                  <c:v>36.440677966101696</c:v>
                </c:pt>
                <c:pt idx="22">
                  <c:v>38.135593220338983</c:v>
                </c:pt>
                <c:pt idx="23">
                  <c:v>39.83050847457627</c:v>
                </c:pt>
                <c:pt idx="24">
                  <c:v>41.525423728813557</c:v>
                </c:pt>
                <c:pt idx="25">
                  <c:v>43.220338983050844</c:v>
                </c:pt>
                <c:pt idx="26">
                  <c:v>44.915254237288131</c:v>
                </c:pt>
                <c:pt idx="27">
                  <c:v>46.610169491525419</c:v>
                </c:pt>
                <c:pt idx="28">
                  <c:v>48.305084745762713</c:v>
                </c:pt>
                <c:pt idx="29">
                  <c:v>50</c:v>
                </c:pt>
                <c:pt idx="30">
                  <c:v>51.694915254237287</c:v>
                </c:pt>
                <c:pt idx="31">
                  <c:v>53.389830508474574</c:v>
                </c:pt>
                <c:pt idx="32">
                  <c:v>55.084745762711862</c:v>
                </c:pt>
                <c:pt idx="33">
                  <c:v>56.779661016949149</c:v>
                </c:pt>
                <c:pt idx="34">
                  <c:v>58.474576271186436</c:v>
                </c:pt>
                <c:pt idx="35">
                  <c:v>60.169491525423723</c:v>
                </c:pt>
                <c:pt idx="36">
                  <c:v>61.86440677966101</c:v>
                </c:pt>
                <c:pt idx="37">
                  <c:v>63.559322033898304</c:v>
                </c:pt>
                <c:pt idx="38">
                  <c:v>65.254237288135585</c:v>
                </c:pt>
                <c:pt idx="39">
                  <c:v>66.949152542372872</c:v>
                </c:pt>
                <c:pt idx="40">
                  <c:v>68.644067796610159</c:v>
                </c:pt>
                <c:pt idx="41">
                  <c:v>70.33898305084746</c:v>
                </c:pt>
                <c:pt idx="42">
                  <c:v>72.033898305084747</c:v>
                </c:pt>
                <c:pt idx="43">
                  <c:v>73.728813559322035</c:v>
                </c:pt>
                <c:pt idx="44">
                  <c:v>75.423728813559322</c:v>
                </c:pt>
                <c:pt idx="45">
                  <c:v>77.118644067796609</c:v>
                </c:pt>
                <c:pt idx="46">
                  <c:v>78.813559322033896</c:v>
                </c:pt>
                <c:pt idx="47">
                  <c:v>80.508474576271183</c:v>
                </c:pt>
                <c:pt idx="48">
                  <c:v>82.20338983050847</c:v>
                </c:pt>
                <c:pt idx="49">
                  <c:v>83.898305084745758</c:v>
                </c:pt>
                <c:pt idx="50">
                  <c:v>85.593220338983045</c:v>
                </c:pt>
                <c:pt idx="51">
                  <c:v>87.288135593220332</c:v>
                </c:pt>
                <c:pt idx="52">
                  <c:v>88.983050847457619</c:v>
                </c:pt>
                <c:pt idx="53">
                  <c:v>90.677966101694906</c:v>
                </c:pt>
                <c:pt idx="54">
                  <c:v>92.372881355932194</c:v>
                </c:pt>
                <c:pt idx="55">
                  <c:v>94.067796610169481</c:v>
                </c:pt>
                <c:pt idx="56">
                  <c:v>95.762711864406782</c:v>
                </c:pt>
                <c:pt idx="57">
                  <c:v>97.457627118644069</c:v>
                </c:pt>
                <c:pt idx="58">
                  <c:v>99.152542372881356</c:v>
                </c:pt>
              </c:numCache>
            </c:numRef>
          </c:xVal>
          <c:yVal>
            <c:numRef>
              <c:f>'regression-result'!$G$30:$G$88</c:f>
              <c:numCache>
                <c:formatCode>General</c:formatCode>
                <c:ptCount val="59"/>
                <c:pt idx="0">
                  <c:v>2.1</c:v>
                </c:pt>
                <c:pt idx="1">
                  <c:v>2.16</c:v>
                </c:pt>
                <c:pt idx="2">
                  <c:v>2.25</c:v>
                </c:pt>
                <c:pt idx="3">
                  <c:v>2.4</c:v>
                </c:pt>
                <c:pt idx="4">
                  <c:v>2.65</c:v>
                </c:pt>
                <c:pt idx="5">
                  <c:v>2.65</c:v>
                </c:pt>
                <c:pt idx="6">
                  <c:v>2.75</c:v>
                </c:pt>
                <c:pt idx="7">
                  <c:v>3</c:v>
                </c:pt>
                <c:pt idx="8">
                  <c:v>3.2</c:v>
                </c:pt>
                <c:pt idx="9">
                  <c:v>3.2</c:v>
                </c:pt>
                <c:pt idx="10">
                  <c:v>3.25</c:v>
                </c:pt>
                <c:pt idx="11">
                  <c:v>3.95</c:v>
                </c:pt>
                <c:pt idx="12">
                  <c:v>4</c:v>
                </c:pt>
                <c:pt idx="13">
                  <c:v>4.0999999999999996</c:v>
                </c:pt>
                <c:pt idx="14">
                  <c:v>4.1500000000000004</c:v>
                </c:pt>
                <c:pt idx="15">
                  <c:v>4.4800000000000004</c:v>
                </c:pt>
                <c:pt idx="16">
                  <c:v>4.55</c:v>
                </c:pt>
                <c:pt idx="17">
                  <c:v>4.5999999999999996</c:v>
                </c:pt>
                <c:pt idx="18">
                  <c:v>4.7</c:v>
                </c:pt>
                <c:pt idx="19">
                  <c:v>4.95</c:v>
                </c:pt>
                <c:pt idx="20">
                  <c:v>5</c:v>
                </c:pt>
                <c:pt idx="21">
                  <c:v>5.2</c:v>
                </c:pt>
                <c:pt idx="22">
                  <c:v>5.6</c:v>
                </c:pt>
                <c:pt idx="23">
                  <c:v>5.6</c:v>
                </c:pt>
                <c:pt idx="24">
                  <c:v>5.6</c:v>
                </c:pt>
                <c:pt idx="25">
                  <c:v>5.65</c:v>
                </c:pt>
                <c:pt idx="26">
                  <c:v>6</c:v>
                </c:pt>
                <c:pt idx="27">
                  <c:v>6.3</c:v>
                </c:pt>
                <c:pt idx="28">
                  <c:v>6.3</c:v>
                </c:pt>
                <c:pt idx="29">
                  <c:v>6.39</c:v>
                </c:pt>
                <c:pt idx="30">
                  <c:v>6.5</c:v>
                </c:pt>
                <c:pt idx="31">
                  <c:v>6.5</c:v>
                </c:pt>
                <c:pt idx="32">
                  <c:v>6.5</c:v>
                </c:pt>
                <c:pt idx="33">
                  <c:v>6.7</c:v>
                </c:pt>
                <c:pt idx="34">
                  <c:v>6.7</c:v>
                </c:pt>
                <c:pt idx="35">
                  <c:v>6.78</c:v>
                </c:pt>
                <c:pt idx="36">
                  <c:v>6.8</c:v>
                </c:pt>
                <c:pt idx="37">
                  <c:v>7.2</c:v>
                </c:pt>
                <c:pt idx="38">
                  <c:v>7.5</c:v>
                </c:pt>
                <c:pt idx="39">
                  <c:v>7.6</c:v>
                </c:pt>
                <c:pt idx="40">
                  <c:v>7.99</c:v>
                </c:pt>
                <c:pt idx="41">
                  <c:v>8</c:v>
                </c:pt>
                <c:pt idx="42">
                  <c:v>8.5</c:v>
                </c:pt>
                <c:pt idx="43">
                  <c:v>8.5</c:v>
                </c:pt>
                <c:pt idx="44">
                  <c:v>8.5</c:v>
                </c:pt>
                <c:pt idx="45">
                  <c:v>8.6</c:v>
                </c:pt>
                <c:pt idx="46">
                  <c:v>8.6</c:v>
                </c:pt>
                <c:pt idx="47">
                  <c:v>8.6</c:v>
                </c:pt>
                <c:pt idx="48">
                  <c:v>8.6</c:v>
                </c:pt>
                <c:pt idx="49">
                  <c:v>8.6300000000000008</c:v>
                </c:pt>
                <c:pt idx="50">
                  <c:v>8.8000000000000007</c:v>
                </c:pt>
                <c:pt idx="51">
                  <c:v>8.8000000000000007</c:v>
                </c:pt>
                <c:pt idx="52">
                  <c:v>9.1</c:v>
                </c:pt>
                <c:pt idx="53">
                  <c:v>9.4</c:v>
                </c:pt>
                <c:pt idx="54">
                  <c:v>9.6999999999999993</c:v>
                </c:pt>
                <c:pt idx="55">
                  <c:v>9.8000000000000007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7F-4794-B754-4D31453D3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598784"/>
        <c:axId val="809584864"/>
      </c:scatterChart>
      <c:valAx>
        <c:axId val="809598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9584864"/>
        <c:crosses val="autoZero"/>
        <c:crossBetween val="midCat"/>
      </c:valAx>
      <c:valAx>
        <c:axId val="8095848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959878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DF9514-7F94-8DB6-0820-95E1462E9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2</xdr:row>
      <xdr:rowOff>175260</xdr:rowOff>
    </xdr:from>
    <xdr:to>
      <xdr:col>16</xdr:col>
      <xdr:colOff>251460</xdr:colOff>
      <xdr:row>12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5F6F20-634B-33D5-6127-01AB9A268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251460</xdr:colOff>
      <xdr:row>4</xdr:row>
      <xdr:rowOff>175260</xdr:rowOff>
    </xdr:from>
    <xdr:to>
      <xdr:col>17</xdr:col>
      <xdr:colOff>251460</xdr:colOff>
      <xdr:row>14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42B816-90F2-1C7C-9B4E-749C69662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251460</xdr:colOff>
      <xdr:row>6</xdr:row>
      <xdr:rowOff>175260</xdr:rowOff>
    </xdr:from>
    <xdr:to>
      <xdr:col>18</xdr:col>
      <xdr:colOff>251460</xdr:colOff>
      <xdr:row>16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3C0A02-CEBA-60A5-1CCA-3BA5E63B4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251460</xdr:colOff>
      <xdr:row>8</xdr:row>
      <xdr:rowOff>175260</xdr:rowOff>
    </xdr:from>
    <xdr:to>
      <xdr:col>19</xdr:col>
      <xdr:colOff>251460</xdr:colOff>
      <xdr:row>18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C9F0D4-DE05-83F5-6651-723BA3F09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251460</xdr:colOff>
      <xdr:row>10</xdr:row>
      <xdr:rowOff>175260</xdr:rowOff>
    </xdr:from>
    <xdr:to>
      <xdr:col>20</xdr:col>
      <xdr:colOff>251460</xdr:colOff>
      <xdr:row>20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E13E72-2A93-603F-713D-D9A9A44DF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251460</xdr:colOff>
      <xdr:row>12</xdr:row>
      <xdr:rowOff>175260</xdr:rowOff>
    </xdr:from>
    <xdr:to>
      <xdr:col>21</xdr:col>
      <xdr:colOff>251461</xdr:colOff>
      <xdr:row>22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04EB1EF-C64F-9157-9C0C-F23BB7AE6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251460</xdr:colOff>
      <xdr:row>14</xdr:row>
      <xdr:rowOff>175260</xdr:rowOff>
    </xdr:from>
    <xdr:to>
      <xdr:col>22</xdr:col>
      <xdr:colOff>251461</xdr:colOff>
      <xdr:row>24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06E9F07-0569-7AF0-A552-3EAF1B819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251460</xdr:colOff>
      <xdr:row>16</xdr:row>
      <xdr:rowOff>175260</xdr:rowOff>
    </xdr:from>
    <xdr:to>
      <xdr:col>23</xdr:col>
      <xdr:colOff>251461</xdr:colOff>
      <xdr:row>26</xdr:row>
      <xdr:rowOff>175260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DD61351-812D-417C-C786-8933723CB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251460</xdr:colOff>
      <xdr:row>18</xdr:row>
      <xdr:rowOff>175260</xdr:rowOff>
    </xdr:from>
    <xdr:to>
      <xdr:col>24</xdr:col>
      <xdr:colOff>251461</xdr:colOff>
      <xdr:row>28</xdr:row>
      <xdr:rowOff>175260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6F5C3AA-F485-8DF2-F39D-3EBB3D3F6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251460</xdr:colOff>
      <xdr:row>20</xdr:row>
      <xdr:rowOff>175260</xdr:rowOff>
    </xdr:from>
    <xdr:to>
      <xdr:col>25</xdr:col>
      <xdr:colOff>251461</xdr:colOff>
      <xdr:row>30</xdr:row>
      <xdr:rowOff>175260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3C4BF2A-F3F7-5983-4CD4-6A6F734D2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251460</xdr:colOff>
      <xdr:row>22</xdr:row>
      <xdr:rowOff>175260</xdr:rowOff>
    </xdr:from>
    <xdr:to>
      <xdr:col>26</xdr:col>
      <xdr:colOff>251461</xdr:colOff>
      <xdr:row>32</xdr:row>
      <xdr:rowOff>175260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1484714-4F87-AFD9-3FFE-DE2875266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251461</xdr:colOff>
      <xdr:row>24</xdr:row>
      <xdr:rowOff>175260</xdr:rowOff>
    </xdr:from>
    <xdr:to>
      <xdr:col>27</xdr:col>
      <xdr:colOff>251461</xdr:colOff>
      <xdr:row>34</xdr:row>
      <xdr:rowOff>175260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653129F-6C54-3AB2-C443-7CA3BB16D9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5</xdr:col>
      <xdr:colOff>31532</xdr:colOff>
      <xdr:row>4</xdr:row>
      <xdr:rowOff>43518</xdr:rowOff>
    </xdr:from>
    <xdr:to>
      <xdr:col>7</xdr:col>
      <xdr:colOff>31532</xdr:colOff>
      <xdr:row>7</xdr:row>
      <xdr:rowOff>157829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83692E8-B480-7706-7561-311C20C94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981904" y="784497"/>
          <a:ext cx="1744718" cy="6661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0</xdr:row>
      <xdr:rowOff>0</xdr:rowOff>
    </xdr:from>
    <xdr:to>
      <xdr:col>16</xdr:col>
      <xdr:colOff>15317</xdr:colOff>
      <xdr:row>1</xdr:row>
      <xdr:rowOff>76223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171A7B-FD87-11EA-7716-626324A45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58700" y="0"/>
          <a:ext cx="891617" cy="266723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1648689</xdr:colOff>
      <xdr:row>1</xdr:row>
      <xdr:rowOff>22860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87F9BE-56A0-B1A2-6786-B5545736A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5000" y="0"/>
          <a:ext cx="1648689" cy="213360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38100</xdr:colOff>
      <xdr:row>0</xdr:row>
      <xdr:rowOff>22860</xdr:rowOff>
    </xdr:from>
    <xdr:to>
      <xdr:col>17</xdr:col>
      <xdr:colOff>716280</xdr:colOff>
      <xdr:row>1</xdr:row>
      <xdr:rowOff>27453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A52D26-A2D4-FE05-BCA9-9E7D7C21C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23820" y="22860"/>
          <a:ext cx="678180" cy="195093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18</xdr:col>
      <xdr:colOff>586791</xdr:colOff>
      <xdr:row>1</xdr:row>
      <xdr:rowOff>22878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778A47-85AC-7846-3DBD-8123738B9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895320" y="0"/>
          <a:ext cx="586791" cy="2133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381001</xdr:colOff>
      <xdr:row>0</xdr:row>
      <xdr:rowOff>0</xdr:rowOff>
    </xdr:from>
    <xdr:to>
      <xdr:col>25</xdr:col>
      <xdr:colOff>68580</xdr:colOff>
      <xdr:row>16</xdr:row>
      <xdr:rowOff>144620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ABAE09-03BD-8DFA-060F-CD967B410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27081" y="0"/>
          <a:ext cx="6393179" cy="3070700"/>
        </a:xfrm>
        <a:prstGeom prst="rect">
          <a:avLst/>
        </a:prstGeom>
      </xdr:spPr>
    </xdr:pic>
    <xdr:clientData/>
  </xdr:twoCellAnchor>
  <xdr:twoCellAnchor editAs="oneCell">
    <xdr:from>
      <xdr:col>13</xdr:col>
      <xdr:colOff>182881</xdr:colOff>
      <xdr:row>17</xdr:row>
      <xdr:rowOff>30480</xdr:rowOff>
    </xdr:from>
    <xdr:to>
      <xdr:col>22</xdr:col>
      <xdr:colOff>473013</xdr:colOff>
      <xdr:row>34</xdr:row>
      <xdr:rowOff>99440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821B19-8FE5-1E12-05B9-44B77AB4F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19361" y="3139440"/>
          <a:ext cx="5776532" cy="3177920"/>
        </a:xfrm>
        <a:prstGeom prst="rect">
          <a:avLst/>
        </a:prstGeom>
      </xdr:spPr>
    </xdr:pic>
    <xdr:clientData/>
  </xdr:twoCellAnchor>
  <xdr:twoCellAnchor editAs="oneCell">
    <xdr:from>
      <xdr:col>8</xdr:col>
      <xdr:colOff>353355</xdr:colOff>
      <xdr:row>57</xdr:row>
      <xdr:rowOff>114300</xdr:rowOff>
    </xdr:from>
    <xdr:to>
      <xdr:col>20</xdr:col>
      <xdr:colOff>84725</xdr:colOff>
      <xdr:row>75</xdr:row>
      <xdr:rowOff>137586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944FB4-3E5C-A9BB-CC5C-42FFC5CF7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1835" y="10538460"/>
          <a:ext cx="7046570" cy="3315126"/>
        </a:xfrm>
        <a:prstGeom prst="rect">
          <a:avLst/>
        </a:prstGeom>
      </xdr:spPr>
    </xdr:pic>
    <xdr:clientData/>
  </xdr:twoCellAnchor>
  <xdr:twoCellAnchor editAs="oneCell">
    <xdr:from>
      <xdr:col>9</xdr:col>
      <xdr:colOff>373380</xdr:colOff>
      <xdr:row>2</xdr:row>
      <xdr:rowOff>104608</xdr:rowOff>
    </xdr:from>
    <xdr:to>
      <xdr:col>19</xdr:col>
      <xdr:colOff>176120</xdr:colOff>
      <xdr:row>13</xdr:row>
      <xdr:rowOff>278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9DF90B-1438-BFA1-7D7F-A47DF1CA7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71460" y="470368"/>
          <a:ext cx="5898740" cy="190735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</xdr:colOff>
      <xdr:row>13</xdr:row>
      <xdr:rowOff>15240</xdr:rowOff>
    </xdr:from>
    <xdr:to>
      <xdr:col>19</xdr:col>
      <xdr:colOff>274605</xdr:colOff>
      <xdr:row>17</xdr:row>
      <xdr:rowOff>167717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D36A70-28AB-4312-82A6-74E21B6A9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76560" y="2392680"/>
          <a:ext cx="3292125" cy="883997"/>
        </a:xfrm>
        <a:prstGeom prst="rect">
          <a:avLst/>
        </a:prstGeom>
      </xdr:spPr>
    </xdr:pic>
    <xdr:clientData/>
  </xdr:twoCellAnchor>
  <xdr:twoCellAnchor editAs="oneCell">
    <xdr:from>
      <xdr:col>11</xdr:col>
      <xdr:colOff>556260</xdr:colOff>
      <xdr:row>20</xdr:row>
      <xdr:rowOff>144780</xdr:rowOff>
    </xdr:from>
    <xdr:to>
      <xdr:col>19</xdr:col>
      <xdr:colOff>411890</xdr:colOff>
      <xdr:row>25</xdr:row>
      <xdr:rowOff>76273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A68279-C7F9-98C9-4EDB-C3828C9C9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3540" y="3802380"/>
          <a:ext cx="4732430" cy="845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ceb.net.vn/ML/scor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C4CFA-06CC-416C-BD16-9B43C10624FC}">
  <dimension ref="A1:I86"/>
  <sheetViews>
    <sheetView tabSelected="1" topLeftCell="A3" zoomScale="160" zoomScaleNormal="160" workbookViewId="0">
      <selection activeCell="H9" sqref="H9"/>
    </sheetView>
  </sheetViews>
  <sheetFormatPr defaultRowHeight="14.4" x14ac:dyDescent="0.3"/>
  <cols>
    <col min="1" max="1" width="11.88671875" customWidth="1"/>
    <col min="4" max="4" width="15.33203125" customWidth="1"/>
    <col min="6" max="6" width="12.88671875" customWidth="1"/>
    <col min="7" max="7" width="12.44140625" customWidth="1"/>
    <col min="8" max="8" width="12.88671875" bestFit="1" customWidth="1"/>
    <col min="9" max="9" width="12.21875" bestFit="1" customWidth="1"/>
  </cols>
  <sheetData>
    <row r="1" spans="1:9" x14ac:dyDescent="0.3">
      <c r="A1" t="s">
        <v>31</v>
      </c>
    </row>
    <row r="2" spans="1:9" ht="15" thickBot="1" x14ac:dyDescent="0.35"/>
    <row r="3" spans="1:9" x14ac:dyDescent="0.3">
      <c r="A3" s="7" t="s">
        <v>32</v>
      </c>
      <c r="B3" s="7"/>
    </row>
    <row r="4" spans="1:9" x14ac:dyDescent="0.3">
      <c r="A4" s="4" t="s">
        <v>33</v>
      </c>
      <c r="B4" s="4">
        <v>0.68224766135530512</v>
      </c>
    </row>
    <row r="5" spans="1:9" x14ac:dyDescent="0.3">
      <c r="A5" s="4" t="s">
        <v>34</v>
      </c>
      <c r="B5" s="4">
        <v>0.46546187142478312</v>
      </c>
    </row>
    <row r="6" spans="1:9" x14ac:dyDescent="0.3">
      <c r="A6" s="4" t="s">
        <v>35</v>
      </c>
      <c r="B6" s="4">
        <v>0.41406397444639692</v>
      </c>
    </row>
    <row r="7" spans="1:9" x14ac:dyDescent="0.3">
      <c r="A7" s="4" t="s">
        <v>36</v>
      </c>
      <c r="B7" s="4">
        <v>1.7996766416605614</v>
      </c>
    </row>
    <row r="8" spans="1:9" ht="15" thickBot="1" x14ac:dyDescent="0.35">
      <c r="A8" s="5" t="s">
        <v>37</v>
      </c>
      <c r="B8" s="5">
        <v>58</v>
      </c>
    </row>
    <row r="10" spans="1:9" ht="15" thickBot="1" x14ac:dyDescent="0.35">
      <c r="A10" t="s">
        <v>38</v>
      </c>
    </row>
    <row r="11" spans="1:9" x14ac:dyDescent="0.3">
      <c r="A11" s="6"/>
      <c r="B11" s="6" t="s">
        <v>43</v>
      </c>
      <c r="C11" s="6" t="s">
        <v>44</v>
      </c>
      <c r="D11" s="6" t="s">
        <v>45</v>
      </c>
      <c r="E11" s="6" t="s">
        <v>46</v>
      </c>
      <c r="F11" s="6" t="s">
        <v>47</v>
      </c>
    </row>
    <row r="12" spans="1:9" x14ac:dyDescent="0.3">
      <c r="A12" s="4" t="s">
        <v>39</v>
      </c>
      <c r="B12" s="4">
        <v>5</v>
      </c>
      <c r="C12" s="4">
        <v>146.65528758881851</v>
      </c>
      <c r="D12" s="4">
        <v>29.331057517763703</v>
      </c>
      <c r="E12" s="4">
        <v>9.0560489589781952</v>
      </c>
      <c r="F12" s="4">
        <v>3.0621313621790618E-6</v>
      </c>
    </row>
    <row r="13" spans="1:9" x14ac:dyDescent="0.3">
      <c r="A13" s="4" t="s">
        <v>40</v>
      </c>
      <c r="B13" s="4">
        <v>52</v>
      </c>
      <c r="C13" s="4">
        <v>168.4194727560091</v>
      </c>
      <c r="D13" s="4">
        <v>3.2388360145386366</v>
      </c>
      <c r="E13" s="4"/>
      <c r="F13" s="4"/>
    </row>
    <row r="14" spans="1:9" ht="15" thickBot="1" x14ac:dyDescent="0.35">
      <c r="A14" s="5" t="s">
        <v>41</v>
      </c>
      <c r="B14" s="5">
        <v>57</v>
      </c>
      <c r="C14" s="5">
        <v>315.07476034482761</v>
      </c>
      <c r="D14" s="5"/>
      <c r="E14" s="5"/>
      <c r="F14" s="5"/>
    </row>
    <row r="15" spans="1:9" ht="15" thickBot="1" x14ac:dyDescent="0.35"/>
    <row r="16" spans="1:9" x14ac:dyDescent="0.3">
      <c r="A16" s="6"/>
      <c r="B16" s="6" t="s">
        <v>48</v>
      </c>
      <c r="C16" s="6" t="s">
        <v>36</v>
      </c>
      <c r="D16" s="6" t="s">
        <v>49</v>
      </c>
      <c r="E16" s="6" t="s">
        <v>50</v>
      </c>
      <c r="F16" s="6" t="s">
        <v>51</v>
      </c>
      <c r="G16" s="6" t="s">
        <v>52</v>
      </c>
      <c r="H16" s="6" t="s">
        <v>53</v>
      </c>
      <c r="I16" s="6" t="s">
        <v>54</v>
      </c>
    </row>
    <row r="17" spans="1:9" x14ac:dyDescent="0.3">
      <c r="A17" s="4" t="s">
        <v>42</v>
      </c>
      <c r="B17" s="4">
        <v>-0.22132542887964002</v>
      </c>
      <c r="C17" s="4">
        <v>1.1160959359887417</v>
      </c>
      <c r="D17" s="4">
        <v>-0.19830322980575082</v>
      </c>
      <c r="E17" s="4">
        <v>0.84358107312609976</v>
      </c>
      <c r="F17" s="4">
        <v>-2.4609357729737806</v>
      </c>
      <c r="G17" s="4">
        <v>2.0182849152145006</v>
      </c>
      <c r="H17" s="4">
        <v>-2.4609357729737806</v>
      </c>
      <c r="I17" s="4">
        <v>2.0182849152145006</v>
      </c>
    </row>
    <row r="18" spans="1:9" x14ac:dyDescent="0.3">
      <c r="A18" s="4" t="s">
        <v>3</v>
      </c>
      <c r="B18" s="4">
        <v>8.8655073951668904E-3</v>
      </c>
      <c r="C18" s="4">
        <v>4.9051892548400882E-3</v>
      </c>
      <c r="D18" s="4">
        <v>1.8073731582158721</v>
      </c>
      <c r="E18" s="4">
        <v>7.6490390911118242E-2</v>
      </c>
      <c r="F18" s="4">
        <v>-9.7747495128088467E-4</v>
      </c>
      <c r="G18" s="4">
        <v>1.8708489741614667E-2</v>
      </c>
      <c r="H18" s="4">
        <v>-9.7747495128088467E-4</v>
      </c>
      <c r="I18" s="4">
        <v>1.8708489741614667E-2</v>
      </c>
    </row>
    <row r="19" spans="1:9" x14ac:dyDescent="0.3">
      <c r="A19" s="4" t="s">
        <v>5</v>
      </c>
      <c r="B19" s="4">
        <v>4.665747309586013E-2</v>
      </c>
      <c r="C19" s="4">
        <v>3.8647173939384973E-2</v>
      </c>
      <c r="D19" s="4">
        <v>1.2072673973273875</v>
      </c>
      <c r="E19" s="27">
        <v>0.2327920987191445</v>
      </c>
      <c r="F19" s="4">
        <v>-3.0893755014269983E-2</v>
      </c>
      <c r="G19" s="4">
        <v>0.12420870120599024</v>
      </c>
      <c r="H19" s="4">
        <v>-3.0893755014269983E-2</v>
      </c>
      <c r="I19" s="4">
        <v>0.12420870120599024</v>
      </c>
    </row>
    <row r="20" spans="1:9" x14ac:dyDescent="0.3">
      <c r="A20" s="4" t="s">
        <v>6</v>
      </c>
      <c r="B20" s="4">
        <v>0.33350321261391047</v>
      </c>
      <c r="C20" s="4">
        <v>0.23941350316359086</v>
      </c>
      <c r="D20" s="4">
        <v>1.3930008466816854</v>
      </c>
      <c r="E20" s="4">
        <v>0.16954648929406002</v>
      </c>
      <c r="F20" s="4">
        <v>-0.14691512859793504</v>
      </c>
      <c r="G20" s="4">
        <v>0.81392155382575604</v>
      </c>
      <c r="H20" s="4">
        <v>-0.14691512859793504</v>
      </c>
      <c r="I20" s="4">
        <v>0.81392155382575604</v>
      </c>
    </row>
    <row r="21" spans="1:9" x14ac:dyDescent="0.3">
      <c r="A21" s="4" t="s">
        <v>7</v>
      </c>
      <c r="B21" s="4">
        <v>0.52487559174521425</v>
      </c>
      <c r="C21" s="4">
        <v>0.23858344627870171</v>
      </c>
      <c r="D21" s="4">
        <v>2.1999665103842947</v>
      </c>
      <c r="E21" s="4">
        <v>3.2276760539633381E-2</v>
      </c>
      <c r="F21" s="4">
        <v>4.6122881529451043E-2</v>
      </c>
      <c r="G21" s="4">
        <v>1.0036283019609775</v>
      </c>
      <c r="H21" s="4">
        <v>4.6122881529451043E-2</v>
      </c>
      <c r="I21" s="4">
        <v>1.0036283019609775</v>
      </c>
    </row>
    <row r="22" spans="1:9" ht="15" thickBot="1" x14ac:dyDescent="0.35">
      <c r="A22" s="5" t="s">
        <v>8</v>
      </c>
      <c r="B22" s="5">
        <v>0.49542350925478568</v>
      </c>
      <c r="C22" s="5">
        <v>0.29639289440349226</v>
      </c>
      <c r="D22" s="5">
        <v>1.6715094005605431</v>
      </c>
      <c r="E22" s="5">
        <v>0.10062922349786557</v>
      </c>
      <c r="F22" s="5">
        <v>-9.9332345342967809E-2</v>
      </c>
      <c r="G22" s="5">
        <v>1.0901793638525392</v>
      </c>
      <c r="H22" s="5">
        <v>-9.9332345342967809E-2</v>
      </c>
      <c r="I22" s="5">
        <v>1.0901793638525392</v>
      </c>
    </row>
    <row r="26" spans="1:9" x14ac:dyDescent="0.3">
      <c r="A26" t="s">
        <v>55</v>
      </c>
    </row>
    <row r="27" spans="1:9" ht="15" thickBot="1" x14ac:dyDescent="0.35"/>
    <row r="28" spans="1:9" x14ac:dyDescent="0.3">
      <c r="A28" s="6" t="s">
        <v>56</v>
      </c>
      <c r="B28" s="6" t="s">
        <v>57</v>
      </c>
      <c r="C28" s="6" t="s">
        <v>58</v>
      </c>
      <c r="D28" s="6" t="s">
        <v>59</v>
      </c>
    </row>
    <row r="29" spans="1:9" x14ac:dyDescent="0.3">
      <c r="A29" s="4">
        <v>1</v>
      </c>
      <c r="B29" s="4">
        <v>9.5673996448153247</v>
      </c>
      <c r="C29" s="4">
        <v>-0.16739964481532432</v>
      </c>
      <c r="D29" s="4">
        <v>-9.7385838584208267E-2</v>
      </c>
    </row>
    <row r="30" spans="1:9" x14ac:dyDescent="0.3">
      <c r="A30" s="4">
        <v>2</v>
      </c>
      <c r="B30" s="4">
        <v>6.3770655135836254</v>
      </c>
      <c r="C30" s="4">
        <v>1.6129344864163748</v>
      </c>
      <c r="D30" s="4">
        <v>0.93833519010351318</v>
      </c>
    </row>
    <row r="31" spans="1:9" x14ac:dyDescent="0.3">
      <c r="A31" s="4">
        <v>3</v>
      </c>
      <c r="B31" s="4">
        <v>6.8372699022827081</v>
      </c>
      <c r="C31" s="4">
        <v>-1.2372699022827085</v>
      </c>
      <c r="D31" s="4">
        <v>-0.71978986049660176</v>
      </c>
    </row>
    <row r="32" spans="1:9" x14ac:dyDescent="0.3">
      <c r="A32" s="4">
        <v>4</v>
      </c>
      <c r="B32" s="4">
        <v>8.3581393063150848</v>
      </c>
      <c r="C32" s="4">
        <v>-2.058139306315085</v>
      </c>
      <c r="D32" s="4">
        <v>-1.1973360068340293</v>
      </c>
    </row>
    <row r="33" spans="1:4" x14ac:dyDescent="0.3">
      <c r="A33" s="4">
        <v>5</v>
      </c>
      <c r="B33" s="4">
        <v>8.5325387546452003</v>
      </c>
      <c r="C33" s="4">
        <v>9.7461245354800496E-2</v>
      </c>
      <c r="D33" s="4">
        <v>5.6698717125770445E-2</v>
      </c>
    </row>
    <row r="34" spans="1:4" x14ac:dyDescent="0.3">
      <c r="A34" s="4">
        <v>6</v>
      </c>
      <c r="B34" s="4">
        <v>7.8531918462025931</v>
      </c>
      <c r="C34" s="4">
        <v>0.94680815379740757</v>
      </c>
      <c r="D34" s="4">
        <v>0.55081183796804423</v>
      </c>
    </row>
    <row r="35" spans="1:4" x14ac:dyDescent="0.3">
      <c r="A35" s="4">
        <v>7</v>
      </c>
      <c r="B35" s="4">
        <v>5.4616421319582855</v>
      </c>
      <c r="C35" s="4">
        <v>0.13835786804171413</v>
      </c>
      <c r="D35" s="4">
        <v>8.0490594940211574E-2</v>
      </c>
    </row>
    <row r="36" spans="1:4" x14ac:dyDescent="0.3">
      <c r="A36" s="4">
        <v>8</v>
      </c>
      <c r="B36" s="4">
        <v>6.8022445388838886</v>
      </c>
      <c r="C36" s="4">
        <v>-0.30224453888388858</v>
      </c>
      <c r="D36" s="4">
        <v>-0.17583273793189264</v>
      </c>
    </row>
    <row r="37" spans="1:4" x14ac:dyDescent="0.3">
      <c r="A37" s="4">
        <v>9</v>
      </c>
      <c r="B37" s="4">
        <v>5.6500903463387564</v>
      </c>
      <c r="C37" s="4">
        <v>-2.4500903463387562</v>
      </c>
      <c r="D37" s="4">
        <v>-1.4253560887091585</v>
      </c>
    </row>
    <row r="38" spans="1:4" x14ac:dyDescent="0.3">
      <c r="A38" s="4">
        <v>10</v>
      </c>
      <c r="B38" s="4">
        <v>5.3883881366769248</v>
      </c>
      <c r="C38" s="4">
        <v>-0.90838813667692442</v>
      </c>
      <c r="D38" s="4">
        <v>-0.5284607416450765</v>
      </c>
    </row>
    <row r="39" spans="1:4" x14ac:dyDescent="0.3">
      <c r="A39" s="4">
        <v>11</v>
      </c>
      <c r="B39" s="4">
        <v>5.2858423534222894</v>
      </c>
      <c r="C39" s="4">
        <v>1.4941576465777109</v>
      </c>
      <c r="D39" s="4">
        <v>0.86923598642938693</v>
      </c>
    </row>
    <row r="40" spans="1:4" x14ac:dyDescent="0.3">
      <c r="A40" s="4">
        <v>12</v>
      </c>
      <c r="B40" s="4">
        <v>8.8473464596717513</v>
      </c>
      <c r="C40" s="4">
        <v>0.85265354032824803</v>
      </c>
      <c r="D40" s="4">
        <v>0.49603677557539866</v>
      </c>
    </row>
    <row r="41" spans="1:4" x14ac:dyDescent="0.3">
      <c r="A41" s="4">
        <v>13</v>
      </c>
      <c r="B41" s="4">
        <v>5.4117168732248553</v>
      </c>
      <c r="C41" s="4">
        <v>-1.2617168732248549</v>
      </c>
      <c r="D41" s="4">
        <v>-0.73401204578660761</v>
      </c>
    </row>
    <row r="42" spans="1:4" x14ac:dyDescent="0.3">
      <c r="A42" s="4">
        <v>14</v>
      </c>
      <c r="B42" s="4">
        <v>6.8701478593105403</v>
      </c>
      <c r="C42" s="4">
        <v>-0.17014785931054011</v>
      </c>
      <c r="D42" s="4">
        <v>-9.8984630347005151E-2</v>
      </c>
    </row>
    <row r="43" spans="1:4" x14ac:dyDescent="0.3">
      <c r="A43" s="4">
        <v>15</v>
      </c>
      <c r="B43" s="4">
        <v>8.5688980309878939</v>
      </c>
      <c r="C43" s="4">
        <v>-2.1788980309878943</v>
      </c>
      <c r="D43" s="4">
        <v>-1.2675881849769095</v>
      </c>
    </row>
    <row r="44" spans="1:4" x14ac:dyDescent="0.3">
      <c r="A44" s="4">
        <v>16</v>
      </c>
      <c r="B44" s="4">
        <v>4.9197326715326399</v>
      </c>
      <c r="C44" s="4">
        <v>1.8802673284673599</v>
      </c>
      <c r="D44" s="4">
        <v>1.0938578199929381</v>
      </c>
    </row>
    <row r="45" spans="1:4" x14ac:dyDescent="0.3">
      <c r="A45" s="4">
        <v>17</v>
      </c>
      <c r="B45" s="4">
        <v>4.74294180431896</v>
      </c>
      <c r="C45" s="4">
        <v>-4.2941804318959775E-2</v>
      </c>
      <c r="D45" s="4">
        <v>-2.4981675609493569E-2</v>
      </c>
    </row>
    <row r="46" spans="1:4" x14ac:dyDescent="0.3">
      <c r="A46" s="4">
        <v>18</v>
      </c>
      <c r="B46" s="4">
        <v>5.1907230952954464</v>
      </c>
      <c r="C46" s="4">
        <v>-0.24072309529544622</v>
      </c>
      <c r="D46" s="4">
        <v>-0.14004223562000806</v>
      </c>
    </row>
    <row r="47" spans="1:4" x14ac:dyDescent="0.3">
      <c r="A47" s="4">
        <v>19</v>
      </c>
      <c r="B47" s="4">
        <v>5.695294827105335</v>
      </c>
      <c r="C47" s="4">
        <v>-1.0952948271053353</v>
      </c>
      <c r="D47" s="4">
        <v>-0.63719493163962737</v>
      </c>
    </row>
    <row r="48" spans="1:4" x14ac:dyDescent="0.3">
      <c r="A48" s="4">
        <v>20</v>
      </c>
      <c r="B48" s="4">
        <v>5.5148351763292869</v>
      </c>
      <c r="C48" s="4">
        <v>2.9851648236707131</v>
      </c>
      <c r="D48" s="4">
        <v>1.7366391666240846</v>
      </c>
    </row>
    <row r="49" spans="1:4" x14ac:dyDescent="0.3">
      <c r="A49" s="4">
        <v>21</v>
      </c>
      <c r="B49" s="4">
        <v>6.0219797532841675</v>
      </c>
      <c r="C49" s="4">
        <v>0.27802024671583236</v>
      </c>
      <c r="D49" s="4">
        <v>0.16174009747559065</v>
      </c>
    </row>
    <row r="50" spans="1:4" x14ac:dyDescent="0.3">
      <c r="A50" s="4">
        <v>22</v>
      </c>
      <c r="B50" s="4">
        <v>5.5327264856367746</v>
      </c>
      <c r="C50" s="4">
        <v>1.6672735143632256</v>
      </c>
      <c r="D50" s="4">
        <v>0.96994727512491674</v>
      </c>
    </row>
    <row r="51" spans="1:4" x14ac:dyDescent="0.3">
      <c r="A51" s="4">
        <v>23</v>
      </c>
      <c r="B51" s="4">
        <v>4.2814811826853454</v>
      </c>
      <c r="C51" s="4">
        <v>-2.1814811826853453</v>
      </c>
      <c r="D51" s="4">
        <v>-1.2690909503771828</v>
      </c>
    </row>
    <row r="52" spans="1:4" x14ac:dyDescent="0.3">
      <c r="A52" s="4">
        <v>24</v>
      </c>
      <c r="B52" s="4">
        <v>5.0140323629067991</v>
      </c>
      <c r="C52" s="4">
        <v>0.9859676370932009</v>
      </c>
      <c r="D52" s="4">
        <v>0.5735931235764592</v>
      </c>
    </row>
    <row r="53" spans="1:4" x14ac:dyDescent="0.3">
      <c r="A53" s="4">
        <v>25</v>
      </c>
      <c r="B53" s="4">
        <v>6.4021404389939391</v>
      </c>
      <c r="C53" s="4">
        <v>-3.1521404389939391</v>
      </c>
      <c r="D53" s="4">
        <v>-1.8337783232770499</v>
      </c>
    </row>
    <row r="54" spans="1:4" x14ac:dyDescent="0.3">
      <c r="A54" s="4">
        <v>26</v>
      </c>
      <c r="B54" s="4">
        <v>5.455106560683145</v>
      </c>
      <c r="C54" s="4">
        <v>-1.3551065606831454</v>
      </c>
      <c r="D54" s="4">
        <v>-0.78834210746789835</v>
      </c>
    </row>
    <row r="55" spans="1:4" x14ac:dyDescent="0.3">
      <c r="A55" s="4">
        <v>27</v>
      </c>
      <c r="B55" s="4">
        <v>4.4723167102239021</v>
      </c>
      <c r="C55" s="4">
        <v>-1.8223167102239022</v>
      </c>
      <c r="D55" s="4">
        <v>-1.0601446686876386</v>
      </c>
    </row>
    <row r="56" spans="1:4" x14ac:dyDescent="0.3">
      <c r="A56" s="4">
        <v>28</v>
      </c>
      <c r="B56" s="4">
        <v>5.4467666774728798</v>
      </c>
      <c r="C56" s="4">
        <v>-0.89676667747287997</v>
      </c>
      <c r="D56" s="4">
        <v>-0.52169988171967696</v>
      </c>
    </row>
    <row r="57" spans="1:4" x14ac:dyDescent="0.3">
      <c r="A57" s="4">
        <v>29</v>
      </c>
      <c r="B57" s="4">
        <v>5.2420404406313574</v>
      </c>
      <c r="C57" s="4">
        <v>1.2579595593686426</v>
      </c>
      <c r="D57" s="4">
        <v>0.73182620386851405</v>
      </c>
    </row>
    <row r="58" spans="1:4" x14ac:dyDescent="0.3">
      <c r="A58" s="4">
        <v>30</v>
      </c>
      <c r="B58" s="4">
        <v>7.6861637331461079</v>
      </c>
      <c r="C58" s="4">
        <v>0.91383626685389174</v>
      </c>
      <c r="D58" s="4">
        <v>0.53163022701994223</v>
      </c>
    </row>
    <row r="59" spans="1:4" x14ac:dyDescent="0.3">
      <c r="A59" s="4">
        <v>31</v>
      </c>
      <c r="B59" s="4">
        <v>3.2023494637659735</v>
      </c>
      <c r="C59" s="4">
        <v>2.3976505362340261</v>
      </c>
      <c r="D59" s="4">
        <v>1.3948488860930495</v>
      </c>
    </row>
    <row r="60" spans="1:4" x14ac:dyDescent="0.3">
      <c r="A60" s="4">
        <v>32</v>
      </c>
      <c r="B60" s="4">
        <v>6.2578318399926234</v>
      </c>
      <c r="C60" s="4">
        <v>1.7421681600073766</v>
      </c>
      <c r="D60" s="4">
        <v>1.0135177252269416</v>
      </c>
    </row>
    <row r="61" spans="1:4" x14ac:dyDescent="0.3">
      <c r="A61" s="4">
        <v>33</v>
      </c>
      <c r="B61" s="4">
        <v>8.2404914073817501</v>
      </c>
      <c r="C61" s="4">
        <v>0.35950859261824952</v>
      </c>
      <c r="D61" s="4">
        <v>0.209146475842174</v>
      </c>
    </row>
    <row r="62" spans="1:4" x14ac:dyDescent="0.3">
      <c r="A62" s="4">
        <v>34</v>
      </c>
      <c r="B62" s="4">
        <v>8.2611140768457023</v>
      </c>
      <c r="C62" s="4">
        <v>0.23888592315429769</v>
      </c>
      <c r="D62" s="4">
        <v>0.13897344870718831</v>
      </c>
    </row>
    <row r="63" spans="1:4" x14ac:dyDescent="0.3">
      <c r="A63" s="4">
        <v>35</v>
      </c>
      <c r="B63" s="4">
        <v>7.1165021747743751</v>
      </c>
      <c r="C63" s="4">
        <v>-1.9165021747743749</v>
      </c>
      <c r="D63" s="4">
        <v>-1.1149376788986813</v>
      </c>
    </row>
    <row r="64" spans="1:4" x14ac:dyDescent="0.3">
      <c r="A64" s="4">
        <v>36</v>
      </c>
      <c r="B64" s="4">
        <v>3.1516464900706334</v>
      </c>
      <c r="C64" s="4">
        <v>2.498353509929367</v>
      </c>
      <c r="D64" s="4">
        <v>1.453433499889951</v>
      </c>
    </row>
    <row r="65" spans="1:6" x14ac:dyDescent="0.3">
      <c r="A65" s="4">
        <v>37</v>
      </c>
      <c r="B65" s="4">
        <v>4.3925271436674</v>
      </c>
      <c r="C65" s="4">
        <v>-1.3925271436674</v>
      </c>
      <c r="D65" s="4">
        <v>-0.810111776443313</v>
      </c>
    </row>
    <row r="66" spans="1:6" x14ac:dyDescent="0.3">
      <c r="A66" s="4">
        <v>38</v>
      </c>
      <c r="B66" s="4">
        <v>7.8743753819968552</v>
      </c>
      <c r="C66" s="4">
        <v>-1.174375381996855</v>
      </c>
      <c r="D66" s="4">
        <v>-0.68320056183263811</v>
      </c>
    </row>
    <row r="67" spans="1:6" x14ac:dyDescent="0.3">
      <c r="A67" s="4">
        <v>39</v>
      </c>
      <c r="B67" s="4">
        <v>6.0065786746138592</v>
      </c>
      <c r="C67" s="4">
        <v>-1.0065786746138592</v>
      </c>
      <c r="D67" s="4">
        <v>-0.58558372950190341</v>
      </c>
    </row>
    <row r="68" spans="1:6" x14ac:dyDescent="0.3">
      <c r="A68" s="4">
        <v>40</v>
      </c>
      <c r="B68" s="4">
        <v>4.0493276294977925</v>
      </c>
      <c r="C68" s="4">
        <v>-1.7993276294977925</v>
      </c>
      <c r="D68" s="4">
        <v>-1.046770620569065</v>
      </c>
    </row>
    <row r="69" spans="1:6" x14ac:dyDescent="0.3">
      <c r="A69" s="4">
        <v>41</v>
      </c>
      <c r="B69" s="4">
        <v>6.8325274155348463</v>
      </c>
      <c r="C69" s="4">
        <v>0.76747258446515332</v>
      </c>
      <c r="D69" s="4">
        <v>0.44648219720527466</v>
      </c>
    </row>
    <row r="70" spans="1:6" x14ac:dyDescent="0.3">
      <c r="A70" s="4">
        <v>42</v>
      </c>
      <c r="B70" s="4">
        <v>4.8618797549215875</v>
      </c>
      <c r="C70" s="4">
        <v>-2.4618797549215876</v>
      </c>
      <c r="D70" s="4">
        <v>-1.4322146542844767</v>
      </c>
    </row>
    <row r="71" spans="1:6" x14ac:dyDescent="0.3">
      <c r="A71" s="4">
        <v>43</v>
      </c>
      <c r="B71" s="4">
        <v>9.7866382089047832</v>
      </c>
      <c r="C71" s="4">
        <v>0.2133617910952168</v>
      </c>
      <c r="D71" s="4">
        <v>0.12412461789007465</v>
      </c>
    </row>
    <row r="72" spans="1:6" x14ac:dyDescent="0.3">
      <c r="A72" s="27">
        <v>44</v>
      </c>
      <c r="B72" s="27">
        <v>5.9311130259773339</v>
      </c>
      <c r="C72" s="27">
        <v>3.8688869740226668</v>
      </c>
      <c r="D72" s="27">
        <v>2.2507503093472883</v>
      </c>
      <c r="E72" s="20" t="s">
        <v>100</v>
      </c>
      <c r="F72" t="s">
        <v>101</v>
      </c>
    </row>
    <row r="73" spans="1:6" x14ac:dyDescent="0.3">
      <c r="A73" s="4">
        <v>45</v>
      </c>
      <c r="B73" s="4">
        <v>5.8567916710057224</v>
      </c>
      <c r="C73" s="4">
        <v>1.6432083289942776</v>
      </c>
      <c r="D73" s="4">
        <v>0.95594719608995293</v>
      </c>
    </row>
    <row r="74" spans="1:6" x14ac:dyDescent="0.3">
      <c r="A74" s="4">
        <v>46</v>
      </c>
      <c r="B74" s="4">
        <v>5.4084490875872842</v>
      </c>
      <c r="C74" s="4">
        <v>-2.208449087587284</v>
      </c>
      <c r="D74" s="4">
        <v>-1.2847797054915189</v>
      </c>
    </row>
    <row r="75" spans="1:6" x14ac:dyDescent="0.3">
      <c r="A75" s="4">
        <v>47</v>
      </c>
      <c r="B75" s="4">
        <v>5.9213159619739981</v>
      </c>
      <c r="C75" s="4">
        <v>-1.9213159619739981</v>
      </c>
      <c r="D75" s="4">
        <v>-1.1177381310962855</v>
      </c>
    </row>
    <row r="76" spans="1:6" x14ac:dyDescent="0.3">
      <c r="A76" s="4">
        <v>48</v>
      </c>
      <c r="B76" s="4">
        <v>8.0422181273075566</v>
      </c>
      <c r="C76" s="4">
        <v>0.55778187269244306</v>
      </c>
      <c r="D76" s="4">
        <v>0.32449325372912036</v>
      </c>
    </row>
    <row r="77" spans="1:6" x14ac:dyDescent="0.3">
      <c r="A77" s="27">
        <v>49</v>
      </c>
      <c r="B77" s="27">
        <v>5.030241780921946</v>
      </c>
      <c r="C77" s="27">
        <v>3.469758219078054</v>
      </c>
      <c r="D77" s="27">
        <v>2.0185545448566704</v>
      </c>
      <c r="E77" s="20" t="s">
        <v>100</v>
      </c>
    </row>
    <row r="78" spans="1:6" x14ac:dyDescent="0.3">
      <c r="A78" s="4">
        <v>50</v>
      </c>
      <c r="B78" s="4">
        <v>5.3969597015043105</v>
      </c>
      <c r="C78" s="4">
        <v>3.2030402984956892</v>
      </c>
      <c r="D78" s="4">
        <v>1.8633896495547417</v>
      </c>
    </row>
    <row r="79" spans="1:6" x14ac:dyDescent="0.3">
      <c r="A79" s="4">
        <v>51</v>
      </c>
      <c r="B79" s="4">
        <v>6.8612137474694661</v>
      </c>
      <c r="C79" s="4">
        <v>2.2387862525305335</v>
      </c>
      <c r="D79" s="4">
        <v>1.3024285496782859</v>
      </c>
    </row>
    <row r="80" spans="1:6" x14ac:dyDescent="0.3">
      <c r="A80" s="4">
        <v>52</v>
      </c>
      <c r="B80" s="4">
        <v>4.5839551194161716</v>
      </c>
      <c r="C80" s="4">
        <v>-1.9339551194161717</v>
      </c>
      <c r="D80" s="4">
        <v>-1.1250910436300117</v>
      </c>
    </row>
    <row r="81" spans="1:4" x14ac:dyDescent="0.3">
      <c r="A81" s="4">
        <v>53</v>
      </c>
      <c r="B81" s="4">
        <v>3.0165592811449802</v>
      </c>
      <c r="C81" s="4">
        <v>-0.85655928114498003</v>
      </c>
      <c r="D81" s="4">
        <v>-0.49830896584885853</v>
      </c>
    </row>
    <row r="82" spans="1:4" x14ac:dyDescent="0.3">
      <c r="A82" s="4">
        <v>54</v>
      </c>
      <c r="B82" s="4">
        <v>4.5972533805089224</v>
      </c>
      <c r="C82" s="4">
        <v>-0.64725338050892223</v>
      </c>
      <c r="D82" s="4">
        <v>-0.37654388876908029</v>
      </c>
    </row>
    <row r="83" spans="1:4" x14ac:dyDescent="0.3">
      <c r="A83" s="4">
        <v>55</v>
      </c>
      <c r="B83" s="4">
        <v>4.4233293010080157</v>
      </c>
      <c r="C83" s="4">
        <v>-1.6733293010080157</v>
      </c>
      <c r="D83" s="4">
        <v>-0.97347026862553343</v>
      </c>
    </row>
    <row r="84" spans="1:4" x14ac:dyDescent="0.3">
      <c r="A84" s="4">
        <v>56</v>
      </c>
      <c r="B84" s="4">
        <v>6.8929040760086728</v>
      </c>
      <c r="C84" s="4">
        <v>-0.39290407600867283</v>
      </c>
      <c r="D84" s="4">
        <v>-0.22857451679464591</v>
      </c>
    </row>
    <row r="85" spans="1:4" x14ac:dyDescent="0.3">
      <c r="A85" s="4">
        <v>57</v>
      </c>
      <c r="B85" s="4">
        <v>7.2849153395912456</v>
      </c>
      <c r="C85" s="4">
        <v>2.7150846604087544</v>
      </c>
      <c r="D85" s="4">
        <v>1.579518264645815</v>
      </c>
    </row>
    <row r="86" spans="1:4" ht="15" thickBot="1" x14ac:dyDescent="0.35">
      <c r="A86" s="5">
        <v>58</v>
      </c>
      <c r="B86" s="5">
        <v>8.9187871180404219</v>
      </c>
      <c r="C86" s="5">
        <v>-0.11878711804042119</v>
      </c>
      <c r="D86" s="5">
        <v>-6.9105183085243688E-2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6DB1-B250-4993-A2FE-D2A3C3011B5B}">
  <dimension ref="A1:K60"/>
  <sheetViews>
    <sheetView topLeftCell="D2" workbookViewId="0">
      <selection activeCell="M3" sqref="M3"/>
    </sheetView>
  </sheetViews>
  <sheetFormatPr defaultRowHeight="14.4" x14ac:dyDescent="0.3"/>
  <cols>
    <col min="1" max="3" width="16.44140625" customWidth="1"/>
    <col min="4" max="4" width="11" customWidth="1"/>
    <col min="6" max="6" width="11.33203125" bestFit="1" customWidth="1"/>
    <col min="7" max="7" width="6" bestFit="1" customWidth="1"/>
    <col min="8" max="8" width="9.5546875" bestFit="1" customWidth="1"/>
    <col min="9" max="9" width="12.6640625" customWidth="1"/>
    <col min="11" max="11" width="10.6640625" customWidth="1"/>
  </cols>
  <sheetData>
    <row r="1" spans="1:11" ht="15" thickBot="1" x14ac:dyDescent="0.35">
      <c r="D1" s="4">
        <v>-6.0916210729478948E-2</v>
      </c>
      <c r="E1" s="4">
        <v>6.7290085550254595E-3</v>
      </c>
      <c r="F1" s="4">
        <v>4.3076757369000809E-2</v>
      </c>
      <c r="G1" s="4">
        <v>0.26646991404854403</v>
      </c>
      <c r="H1" s="4">
        <v>0.46030167056415933</v>
      </c>
      <c r="I1" s="5">
        <v>0.57793096085498874</v>
      </c>
    </row>
    <row r="2" spans="1:11" x14ac:dyDescent="0.3">
      <c r="A2" s="1" t="s">
        <v>0</v>
      </c>
      <c r="B2" s="1" t="s">
        <v>1</v>
      </c>
      <c r="C2" s="1" t="s">
        <v>2</v>
      </c>
      <c r="D2" s="1"/>
      <c r="E2" s="2" t="s">
        <v>3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</row>
    <row r="3" spans="1:11" x14ac:dyDescent="0.3">
      <c r="A3" t="s">
        <v>10</v>
      </c>
      <c r="B3" t="s">
        <v>11</v>
      </c>
      <c r="C3" t="s">
        <v>12</v>
      </c>
      <c r="E3">
        <v>300</v>
      </c>
      <c r="F3">
        <v>32</v>
      </c>
      <c r="G3">
        <v>3</v>
      </c>
      <c r="H3">
        <v>6</v>
      </c>
      <c r="I3">
        <v>3</v>
      </c>
      <c r="J3">
        <v>9.4</v>
      </c>
    </row>
    <row r="4" spans="1:11" x14ac:dyDescent="0.3">
      <c r="A4" t="s">
        <v>13</v>
      </c>
      <c r="B4" t="s">
        <v>14</v>
      </c>
      <c r="C4" t="s">
        <v>14</v>
      </c>
      <c r="E4">
        <v>46</v>
      </c>
      <c r="F4">
        <v>6</v>
      </c>
      <c r="G4">
        <v>4</v>
      </c>
      <c r="H4">
        <v>4</v>
      </c>
      <c r="I4">
        <v>5</v>
      </c>
      <c r="J4">
        <v>7.99</v>
      </c>
      <c r="K4" s="15"/>
    </row>
    <row r="5" spans="1:11" x14ac:dyDescent="0.3">
      <c r="A5" t="s">
        <v>13</v>
      </c>
      <c r="B5" t="s">
        <v>14</v>
      </c>
      <c r="C5" t="s">
        <v>11</v>
      </c>
      <c r="E5">
        <v>60</v>
      </c>
      <c r="F5">
        <v>5</v>
      </c>
      <c r="G5">
        <v>2</v>
      </c>
      <c r="H5">
        <v>6</v>
      </c>
      <c r="I5">
        <v>5</v>
      </c>
      <c r="J5">
        <v>5.6</v>
      </c>
      <c r="K5" s="15"/>
    </row>
    <row r="6" spans="1:11" x14ac:dyDescent="0.3">
      <c r="A6" t="s">
        <v>15</v>
      </c>
      <c r="B6" t="s">
        <v>14</v>
      </c>
      <c r="C6" t="s">
        <v>14</v>
      </c>
      <c r="E6">
        <v>369</v>
      </c>
      <c r="F6">
        <v>12</v>
      </c>
      <c r="G6">
        <v>2</v>
      </c>
      <c r="H6">
        <v>4</v>
      </c>
      <c r="I6">
        <v>4</v>
      </c>
      <c r="J6">
        <v>6.3</v>
      </c>
      <c r="K6" s="15"/>
    </row>
    <row r="7" spans="1:11" x14ac:dyDescent="0.3">
      <c r="A7" t="s">
        <v>16</v>
      </c>
      <c r="B7" t="s">
        <v>14</v>
      </c>
      <c r="C7" t="s">
        <v>14</v>
      </c>
      <c r="E7">
        <v>78</v>
      </c>
      <c r="F7">
        <v>13</v>
      </c>
      <c r="G7">
        <v>4</v>
      </c>
      <c r="H7">
        <v>6</v>
      </c>
      <c r="I7">
        <v>6</v>
      </c>
      <c r="J7">
        <v>8.6300000000000008</v>
      </c>
      <c r="K7" s="15"/>
    </row>
    <row r="8" spans="1:11" x14ac:dyDescent="0.3">
      <c r="A8" t="s">
        <v>17</v>
      </c>
      <c r="B8" t="s">
        <v>18</v>
      </c>
      <c r="C8" t="s">
        <v>18</v>
      </c>
      <c r="E8">
        <v>54</v>
      </c>
      <c r="F8">
        <v>3</v>
      </c>
      <c r="G8">
        <v>4</v>
      </c>
      <c r="H8">
        <v>6</v>
      </c>
      <c r="I8">
        <v>6</v>
      </c>
      <c r="J8">
        <v>8.8000000000000007</v>
      </c>
      <c r="K8" s="15"/>
    </row>
    <row r="9" spans="1:11" x14ac:dyDescent="0.3">
      <c r="A9" t="s">
        <v>17</v>
      </c>
      <c r="B9" t="s">
        <v>20</v>
      </c>
      <c r="C9" t="s">
        <v>20</v>
      </c>
      <c r="E9">
        <v>36</v>
      </c>
      <c r="F9">
        <v>3</v>
      </c>
      <c r="G9">
        <v>5</v>
      </c>
      <c r="H9">
        <v>3</v>
      </c>
      <c r="I9">
        <v>4</v>
      </c>
      <c r="J9">
        <v>5.6</v>
      </c>
    </row>
    <row r="10" spans="1:11" x14ac:dyDescent="0.3">
      <c r="A10" t="s">
        <v>13</v>
      </c>
      <c r="B10" t="s">
        <v>21</v>
      </c>
      <c r="C10" t="s">
        <v>21</v>
      </c>
      <c r="E10">
        <v>100</v>
      </c>
      <c r="F10">
        <v>12</v>
      </c>
      <c r="G10">
        <v>3</v>
      </c>
      <c r="H10">
        <v>4</v>
      </c>
      <c r="I10">
        <v>5</v>
      </c>
      <c r="J10">
        <v>6.5</v>
      </c>
    </row>
    <row r="11" spans="1:11" x14ac:dyDescent="0.3">
      <c r="A11" t="s">
        <v>22</v>
      </c>
      <c r="B11" t="s">
        <v>23</v>
      </c>
      <c r="C11" t="s">
        <v>23</v>
      </c>
      <c r="E11">
        <v>151</v>
      </c>
      <c r="F11">
        <v>6</v>
      </c>
      <c r="G11">
        <v>2</v>
      </c>
      <c r="H11">
        <v>4</v>
      </c>
      <c r="I11">
        <v>3</v>
      </c>
      <c r="J11">
        <v>3.2</v>
      </c>
    </row>
    <row r="12" spans="1:11" x14ac:dyDescent="0.3">
      <c r="A12" t="s">
        <v>17</v>
      </c>
      <c r="B12" t="s">
        <v>18</v>
      </c>
      <c r="C12" t="s">
        <v>18</v>
      </c>
      <c r="E12">
        <v>33</v>
      </c>
      <c r="F12">
        <v>2</v>
      </c>
      <c r="G12">
        <v>5</v>
      </c>
      <c r="H12">
        <v>3</v>
      </c>
      <c r="I12">
        <v>4</v>
      </c>
      <c r="J12">
        <v>4.4800000000000004</v>
      </c>
    </row>
    <row r="13" spans="1:11" x14ac:dyDescent="0.3">
      <c r="A13" t="s">
        <v>13</v>
      </c>
      <c r="B13" t="s">
        <v>19</v>
      </c>
      <c r="C13" t="s">
        <v>19</v>
      </c>
      <c r="E13">
        <v>38</v>
      </c>
      <c r="F13">
        <v>6</v>
      </c>
      <c r="G13">
        <v>4</v>
      </c>
      <c r="H13">
        <v>3</v>
      </c>
      <c r="I13">
        <v>4</v>
      </c>
      <c r="J13">
        <v>6.78</v>
      </c>
    </row>
    <row r="14" spans="1:11" x14ac:dyDescent="0.3">
      <c r="A14" t="s">
        <v>24</v>
      </c>
      <c r="B14" t="s">
        <v>12</v>
      </c>
      <c r="C14" t="s">
        <v>12</v>
      </c>
      <c r="E14">
        <v>180</v>
      </c>
      <c r="F14">
        <v>40</v>
      </c>
      <c r="G14">
        <v>3</v>
      </c>
      <c r="H14">
        <v>5</v>
      </c>
      <c r="I14">
        <v>4</v>
      </c>
      <c r="J14">
        <v>9.6999999999999993</v>
      </c>
    </row>
    <row r="15" spans="1:11" x14ac:dyDescent="0.3">
      <c r="A15" t="s">
        <v>17</v>
      </c>
      <c r="B15" t="s">
        <v>12</v>
      </c>
      <c r="C15" t="s">
        <v>12</v>
      </c>
      <c r="E15">
        <v>33</v>
      </c>
      <c r="F15">
        <v>2.5</v>
      </c>
      <c r="G15">
        <v>5</v>
      </c>
      <c r="H15">
        <v>3</v>
      </c>
      <c r="I15">
        <v>4</v>
      </c>
      <c r="J15">
        <v>4.1500000000000004</v>
      </c>
    </row>
    <row r="16" spans="1:11" x14ac:dyDescent="0.3">
      <c r="A16" t="s">
        <v>13</v>
      </c>
      <c r="B16" t="s">
        <v>23</v>
      </c>
      <c r="C16" t="s">
        <v>23</v>
      </c>
      <c r="E16">
        <v>64</v>
      </c>
      <c r="F16">
        <v>6</v>
      </c>
      <c r="G16">
        <v>5</v>
      </c>
      <c r="H16">
        <v>4</v>
      </c>
      <c r="I16">
        <v>5</v>
      </c>
      <c r="J16">
        <v>6.7</v>
      </c>
    </row>
    <row r="17" spans="1:10" x14ac:dyDescent="0.3">
      <c r="A17" t="s">
        <v>17</v>
      </c>
      <c r="B17" t="s">
        <v>11</v>
      </c>
      <c r="C17" t="s">
        <v>11</v>
      </c>
      <c r="E17">
        <v>53</v>
      </c>
      <c r="F17">
        <v>22</v>
      </c>
      <c r="G17">
        <v>5</v>
      </c>
      <c r="H17">
        <v>6</v>
      </c>
      <c r="I17">
        <v>5</v>
      </c>
      <c r="J17">
        <v>6.39</v>
      </c>
    </row>
    <row r="18" spans="1:10" x14ac:dyDescent="0.3">
      <c r="A18" t="s">
        <v>13</v>
      </c>
      <c r="B18" t="s">
        <v>18</v>
      </c>
      <c r="C18" t="s">
        <v>18</v>
      </c>
      <c r="E18">
        <v>31</v>
      </c>
      <c r="F18">
        <v>6</v>
      </c>
      <c r="G18">
        <v>3</v>
      </c>
      <c r="H18">
        <v>4</v>
      </c>
      <c r="I18">
        <v>3</v>
      </c>
      <c r="J18">
        <v>6.8</v>
      </c>
    </row>
    <row r="19" spans="1:10" x14ac:dyDescent="0.3">
      <c r="A19" t="s">
        <v>25</v>
      </c>
      <c r="B19" t="s">
        <v>20</v>
      </c>
      <c r="C19" t="s">
        <v>20</v>
      </c>
      <c r="E19">
        <v>65</v>
      </c>
      <c r="F19">
        <v>7</v>
      </c>
      <c r="G19">
        <v>3</v>
      </c>
      <c r="H19">
        <v>3</v>
      </c>
      <c r="I19">
        <v>3</v>
      </c>
      <c r="J19">
        <v>4.7</v>
      </c>
    </row>
    <row r="20" spans="1:10" x14ac:dyDescent="0.3">
      <c r="A20" t="s">
        <v>17</v>
      </c>
      <c r="B20" t="s">
        <v>14</v>
      </c>
      <c r="C20" t="s">
        <v>19</v>
      </c>
      <c r="E20">
        <v>45</v>
      </c>
      <c r="F20">
        <v>2</v>
      </c>
      <c r="G20">
        <v>4</v>
      </c>
      <c r="H20">
        <v>4</v>
      </c>
      <c r="I20">
        <v>3</v>
      </c>
      <c r="J20">
        <v>4.95</v>
      </c>
    </row>
    <row r="21" spans="1:10" x14ac:dyDescent="0.3">
      <c r="A21" t="s">
        <v>17</v>
      </c>
      <c r="B21" t="s">
        <v>11</v>
      </c>
      <c r="C21" t="s">
        <v>11</v>
      </c>
      <c r="E21">
        <v>30</v>
      </c>
      <c r="F21">
        <v>2</v>
      </c>
      <c r="G21">
        <v>6</v>
      </c>
      <c r="H21">
        <v>3</v>
      </c>
      <c r="I21">
        <v>4</v>
      </c>
      <c r="J21">
        <v>4.5999999999999996</v>
      </c>
    </row>
    <row r="22" spans="1:10" x14ac:dyDescent="0.3">
      <c r="A22" t="s">
        <v>17</v>
      </c>
      <c r="B22" t="s">
        <v>11</v>
      </c>
      <c r="C22" t="s">
        <v>11</v>
      </c>
      <c r="E22">
        <v>42</v>
      </c>
      <c r="F22">
        <v>3</v>
      </c>
      <c r="G22">
        <v>5</v>
      </c>
      <c r="H22">
        <v>3</v>
      </c>
      <c r="I22">
        <v>4</v>
      </c>
      <c r="J22">
        <v>8.5</v>
      </c>
    </row>
    <row r="23" spans="1:10" x14ac:dyDescent="0.3">
      <c r="A23" t="s">
        <v>17</v>
      </c>
      <c r="B23" t="s">
        <v>20</v>
      </c>
      <c r="C23" t="s">
        <v>20</v>
      </c>
      <c r="E23">
        <v>40</v>
      </c>
      <c r="F23">
        <v>3</v>
      </c>
      <c r="G23">
        <v>5</v>
      </c>
      <c r="H23">
        <v>4</v>
      </c>
      <c r="I23">
        <v>4</v>
      </c>
      <c r="J23">
        <v>6.3</v>
      </c>
    </row>
    <row r="24" spans="1:10" x14ac:dyDescent="0.3">
      <c r="A24" t="s">
        <v>13</v>
      </c>
      <c r="B24" t="s">
        <v>21</v>
      </c>
      <c r="C24" t="s">
        <v>21</v>
      </c>
      <c r="E24">
        <v>52</v>
      </c>
      <c r="F24">
        <v>8</v>
      </c>
      <c r="G24">
        <v>4</v>
      </c>
      <c r="H24">
        <v>4</v>
      </c>
      <c r="I24">
        <v>3</v>
      </c>
      <c r="J24">
        <v>7.2</v>
      </c>
    </row>
    <row r="25" spans="1:10" x14ac:dyDescent="0.3">
      <c r="A25" t="s">
        <v>17</v>
      </c>
      <c r="B25" t="s">
        <v>21</v>
      </c>
      <c r="C25" t="s">
        <v>21</v>
      </c>
      <c r="E25">
        <v>34</v>
      </c>
      <c r="F25">
        <v>3</v>
      </c>
      <c r="G25">
        <v>3</v>
      </c>
      <c r="H25">
        <v>3</v>
      </c>
      <c r="I25">
        <v>3</v>
      </c>
      <c r="J25">
        <v>2.1</v>
      </c>
    </row>
    <row r="26" spans="1:10" x14ac:dyDescent="0.3">
      <c r="A26" t="s">
        <v>13</v>
      </c>
      <c r="B26" t="s">
        <v>20</v>
      </c>
      <c r="C26" t="s">
        <v>20</v>
      </c>
      <c r="E26">
        <v>51</v>
      </c>
      <c r="F26">
        <v>12</v>
      </c>
      <c r="G26">
        <v>2</v>
      </c>
      <c r="H26">
        <v>3</v>
      </c>
      <c r="I26">
        <v>4</v>
      </c>
      <c r="J26">
        <v>6</v>
      </c>
    </row>
    <row r="27" spans="1:10" x14ac:dyDescent="0.3">
      <c r="A27" t="s">
        <v>17</v>
      </c>
      <c r="B27" t="s">
        <v>14</v>
      </c>
      <c r="C27" t="s">
        <v>14</v>
      </c>
      <c r="E27">
        <v>40</v>
      </c>
      <c r="F27">
        <v>4</v>
      </c>
      <c r="G27">
        <v>6</v>
      </c>
      <c r="H27">
        <v>4</v>
      </c>
      <c r="I27">
        <v>4</v>
      </c>
      <c r="J27">
        <v>3.25</v>
      </c>
    </row>
    <row r="28" spans="1:10" x14ac:dyDescent="0.3">
      <c r="A28" t="s">
        <v>17</v>
      </c>
      <c r="B28" t="s">
        <v>20</v>
      </c>
      <c r="C28" t="s">
        <v>20</v>
      </c>
      <c r="E28">
        <v>30</v>
      </c>
      <c r="F28">
        <v>4</v>
      </c>
      <c r="G28">
        <v>5</v>
      </c>
      <c r="H28">
        <v>3</v>
      </c>
      <c r="I28">
        <v>4</v>
      </c>
      <c r="J28">
        <v>4.0999999999999996</v>
      </c>
    </row>
    <row r="29" spans="1:10" x14ac:dyDescent="0.3">
      <c r="A29" t="s">
        <v>17</v>
      </c>
      <c r="B29" t="s">
        <v>12</v>
      </c>
      <c r="C29" t="s">
        <v>12</v>
      </c>
      <c r="E29">
        <v>45</v>
      </c>
      <c r="F29">
        <v>5</v>
      </c>
      <c r="G29">
        <v>3</v>
      </c>
      <c r="H29">
        <v>3</v>
      </c>
      <c r="I29">
        <v>3</v>
      </c>
      <c r="J29">
        <v>2.65</v>
      </c>
    </row>
    <row r="30" spans="1:10" x14ac:dyDescent="0.3">
      <c r="A30" t="s">
        <v>17</v>
      </c>
      <c r="B30" t="s">
        <v>18</v>
      </c>
      <c r="C30" t="s">
        <v>18</v>
      </c>
      <c r="E30">
        <v>31</v>
      </c>
      <c r="F30">
        <v>3</v>
      </c>
      <c r="G30">
        <v>5</v>
      </c>
      <c r="H30">
        <v>4</v>
      </c>
      <c r="I30">
        <v>3</v>
      </c>
      <c r="J30">
        <v>4.55</v>
      </c>
    </row>
    <row r="31" spans="1:10" x14ac:dyDescent="0.3">
      <c r="A31" t="s">
        <v>17</v>
      </c>
      <c r="B31" t="s">
        <v>11</v>
      </c>
      <c r="C31" t="s">
        <v>11</v>
      </c>
      <c r="E31">
        <v>35</v>
      </c>
      <c r="F31">
        <v>5</v>
      </c>
      <c r="G31">
        <v>4</v>
      </c>
      <c r="H31">
        <v>4</v>
      </c>
      <c r="I31">
        <v>3</v>
      </c>
      <c r="J31">
        <v>6.5</v>
      </c>
    </row>
    <row r="32" spans="1:10" x14ac:dyDescent="0.3">
      <c r="A32" t="s">
        <v>16</v>
      </c>
      <c r="B32" t="s">
        <v>14</v>
      </c>
      <c r="C32" t="s">
        <v>14</v>
      </c>
      <c r="E32">
        <v>60</v>
      </c>
      <c r="F32">
        <v>13</v>
      </c>
      <c r="G32">
        <v>5</v>
      </c>
      <c r="H32">
        <v>5</v>
      </c>
      <c r="I32">
        <v>5</v>
      </c>
      <c r="J32">
        <v>8.6</v>
      </c>
    </row>
    <row r="33" spans="1:10" x14ac:dyDescent="0.3">
      <c r="A33" t="s">
        <v>13</v>
      </c>
      <c r="B33" t="s">
        <v>11</v>
      </c>
      <c r="C33" t="s">
        <v>11</v>
      </c>
      <c r="E33">
        <v>102.6</v>
      </c>
      <c r="F33">
        <v>3</v>
      </c>
      <c r="G33">
        <v>1</v>
      </c>
      <c r="H33">
        <v>2</v>
      </c>
      <c r="I33">
        <v>2</v>
      </c>
      <c r="J33">
        <v>5.6</v>
      </c>
    </row>
    <row r="34" spans="1:10" x14ac:dyDescent="0.3">
      <c r="A34" t="s">
        <v>26</v>
      </c>
      <c r="B34" t="s">
        <v>14</v>
      </c>
      <c r="C34" t="s">
        <v>14</v>
      </c>
      <c r="E34">
        <v>198.5</v>
      </c>
      <c r="F34">
        <v>10</v>
      </c>
      <c r="G34">
        <v>2</v>
      </c>
      <c r="H34">
        <v>4</v>
      </c>
      <c r="I34">
        <v>3</v>
      </c>
      <c r="J34">
        <v>8</v>
      </c>
    </row>
    <row r="35" spans="1:10" x14ac:dyDescent="0.3">
      <c r="A35" t="s">
        <v>16</v>
      </c>
      <c r="B35" t="s">
        <v>18</v>
      </c>
      <c r="C35" t="s">
        <v>18</v>
      </c>
      <c r="E35">
        <v>60</v>
      </c>
      <c r="F35">
        <v>13</v>
      </c>
      <c r="G35">
        <v>5</v>
      </c>
      <c r="H35">
        <v>7</v>
      </c>
      <c r="I35">
        <v>4</v>
      </c>
      <c r="J35">
        <v>8.6</v>
      </c>
    </row>
    <row r="36" spans="1:10" x14ac:dyDescent="0.3">
      <c r="A36" t="s">
        <v>27</v>
      </c>
      <c r="B36" t="s">
        <v>19</v>
      </c>
      <c r="C36" t="s">
        <v>19</v>
      </c>
      <c r="E36">
        <v>90.8</v>
      </c>
      <c r="F36">
        <v>16</v>
      </c>
      <c r="G36">
        <v>4</v>
      </c>
      <c r="H36">
        <v>5</v>
      </c>
      <c r="I36">
        <v>6</v>
      </c>
      <c r="J36">
        <v>8.5</v>
      </c>
    </row>
    <row r="37" spans="1:10" x14ac:dyDescent="0.3">
      <c r="A37" t="s">
        <v>13</v>
      </c>
      <c r="B37" t="s">
        <v>14</v>
      </c>
      <c r="C37" t="s">
        <v>14</v>
      </c>
      <c r="E37">
        <v>98.7</v>
      </c>
      <c r="F37">
        <v>3</v>
      </c>
      <c r="G37">
        <v>2</v>
      </c>
      <c r="H37">
        <v>7</v>
      </c>
      <c r="I37">
        <v>4</v>
      </c>
      <c r="J37">
        <v>5.2</v>
      </c>
    </row>
    <row r="38" spans="1:10" x14ac:dyDescent="0.3">
      <c r="A38" t="s">
        <v>13</v>
      </c>
      <c r="B38" t="s">
        <v>23</v>
      </c>
      <c r="C38" t="s">
        <v>23</v>
      </c>
      <c r="E38">
        <v>54</v>
      </c>
      <c r="F38">
        <v>4</v>
      </c>
      <c r="G38">
        <v>2</v>
      </c>
      <c r="H38">
        <v>2</v>
      </c>
      <c r="I38">
        <v>2</v>
      </c>
      <c r="J38">
        <v>5.65</v>
      </c>
    </row>
    <row r="39" spans="1:10" x14ac:dyDescent="0.3">
      <c r="A39" t="s">
        <v>17</v>
      </c>
      <c r="B39" t="s">
        <v>19</v>
      </c>
      <c r="C39" t="s">
        <v>20</v>
      </c>
      <c r="E39">
        <v>36</v>
      </c>
      <c r="F39">
        <v>5</v>
      </c>
      <c r="G39">
        <v>3</v>
      </c>
      <c r="H39">
        <v>3</v>
      </c>
      <c r="I39">
        <v>3</v>
      </c>
      <c r="J39">
        <v>3</v>
      </c>
    </row>
    <row r="40" spans="1:10" x14ac:dyDescent="0.3">
      <c r="A40" t="s">
        <v>28</v>
      </c>
      <c r="B40" t="s">
        <v>11</v>
      </c>
      <c r="C40" t="s">
        <v>11</v>
      </c>
      <c r="E40">
        <v>105</v>
      </c>
      <c r="F40">
        <v>15</v>
      </c>
      <c r="G40">
        <v>4</v>
      </c>
      <c r="H40">
        <v>6</v>
      </c>
      <c r="I40">
        <v>4</v>
      </c>
      <c r="J40">
        <v>6.7</v>
      </c>
    </row>
    <row r="41" spans="1:10" x14ac:dyDescent="0.3">
      <c r="A41" t="s">
        <v>17</v>
      </c>
      <c r="B41" t="s">
        <v>12</v>
      </c>
      <c r="C41" t="s">
        <v>12</v>
      </c>
      <c r="E41">
        <v>33</v>
      </c>
      <c r="F41">
        <v>4</v>
      </c>
      <c r="G41">
        <v>5</v>
      </c>
      <c r="H41">
        <v>4</v>
      </c>
      <c r="I41">
        <v>4</v>
      </c>
      <c r="J41">
        <v>5</v>
      </c>
    </row>
    <row r="42" spans="1:10" x14ac:dyDescent="0.3">
      <c r="A42" t="s">
        <v>13</v>
      </c>
      <c r="B42" t="s">
        <v>14</v>
      </c>
      <c r="C42" t="s">
        <v>14</v>
      </c>
      <c r="E42">
        <v>75</v>
      </c>
      <c r="F42">
        <v>8</v>
      </c>
      <c r="G42">
        <v>2</v>
      </c>
      <c r="H42">
        <v>3</v>
      </c>
      <c r="I42">
        <v>2</v>
      </c>
      <c r="J42">
        <v>2.25</v>
      </c>
    </row>
    <row r="43" spans="1:10" x14ac:dyDescent="0.3">
      <c r="A43" t="s">
        <v>13</v>
      </c>
      <c r="B43" t="s">
        <v>11</v>
      </c>
      <c r="C43" t="s">
        <v>11</v>
      </c>
      <c r="E43">
        <v>60</v>
      </c>
      <c r="F43">
        <v>9</v>
      </c>
      <c r="G43">
        <v>3</v>
      </c>
      <c r="H43">
        <v>5</v>
      </c>
      <c r="I43">
        <v>5</v>
      </c>
      <c r="J43">
        <v>7.6</v>
      </c>
    </row>
    <row r="44" spans="1:10" x14ac:dyDescent="0.3">
      <c r="A44" t="s">
        <v>17</v>
      </c>
      <c r="B44" t="s">
        <v>19</v>
      </c>
      <c r="C44" t="s">
        <v>19</v>
      </c>
      <c r="E44">
        <v>35</v>
      </c>
      <c r="F44">
        <v>4</v>
      </c>
      <c r="G44">
        <v>3</v>
      </c>
      <c r="H44">
        <v>4</v>
      </c>
      <c r="I44">
        <v>3</v>
      </c>
      <c r="J44">
        <v>2.4</v>
      </c>
    </row>
    <row r="45" spans="1:10" x14ac:dyDescent="0.3">
      <c r="A45" t="s">
        <v>13</v>
      </c>
      <c r="B45" t="s">
        <v>14</v>
      </c>
      <c r="C45" t="s">
        <v>20</v>
      </c>
      <c r="E45">
        <v>157</v>
      </c>
      <c r="F45">
        <v>3</v>
      </c>
      <c r="G45">
        <v>4</v>
      </c>
      <c r="H45">
        <v>7</v>
      </c>
      <c r="I45">
        <v>7</v>
      </c>
      <c r="J45">
        <v>10</v>
      </c>
    </row>
    <row r="46" spans="1:10" x14ac:dyDescent="0.3">
      <c r="A46" t="s">
        <v>17</v>
      </c>
      <c r="B46" t="s">
        <v>18</v>
      </c>
      <c r="C46" t="s">
        <v>20</v>
      </c>
      <c r="E46">
        <v>70</v>
      </c>
      <c r="F46">
        <v>2.5</v>
      </c>
      <c r="G46">
        <v>4</v>
      </c>
      <c r="H46">
        <v>4</v>
      </c>
      <c r="I46">
        <v>4</v>
      </c>
      <c r="J46">
        <v>9.8000000000000007</v>
      </c>
    </row>
    <row r="47" spans="1:10" x14ac:dyDescent="0.3">
      <c r="A47" t="s">
        <v>17</v>
      </c>
      <c r="B47" t="s">
        <v>21</v>
      </c>
      <c r="C47" t="s">
        <v>21</v>
      </c>
      <c r="E47">
        <v>37</v>
      </c>
      <c r="F47">
        <v>3.5</v>
      </c>
      <c r="G47">
        <v>6</v>
      </c>
      <c r="H47">
        <v>4</v>
      </c>
      <c r="I47">
        <v>3</v>
      </c>
      <c r="J47">
        <v>7.5</v>
      </c>
    </row>
    <row r="48" spans="1:10" x14ac:dyDescent="0.3">
      <c r="A48" t="s">
        <v>17</v>
      </c>
      <c r="B48" t="s">
        <v>20</v>
      </c>
      <c r="C48" t="s">
        <v>20</v>
      </c>
      <c r="E48">
        <v>30</v>
      </c>
      <c r="F48">
        <v>3</v>
      </c>
      <c r="G48">
        <v>5</v>
      </c>
      <c r="H48">
        <v>3</v>
      </c>
      <c r="I48">
        <v>4</v>
      </c>
      <c r="J48">
        <v>3.2</v>
      </c>
    </row>
    <row r="49" spans="1:10" x14ac:dyDescent="0.3">
      <c r="A49" t="s">
        <v>17</v>
      </c>
      <c r="B49" t="s">
        <v>11</v>
      </c>
      <c r="C49" t="s">
        <v>11</v>
      </c>
      <c r="E49">
        <v>36</v>
      </c>
      <c r="F49">
        <v>20</v>
      </c>
      <c r="G49">
        <v>4</v>
      </c>
      <c r="H49">
        <v>3</v>
      </c>
      <c r="I49">
        <v>4</v>
      </c>
      <c r="J49">
        <v>4</v>
      </c>
    </row>
    <row r="50" spans="1:10" x14ac:dyDescent="0.3">
      <c r="A50" t="s">
        <v>16</v>
      </c>
      <c r="B50" t="s">
        <v>18</v>
      </c>
      <c r="C50" t="s">
        <v>18</v>
      </c>
      <c r="E50">
        <v>60</v>
      </c>
      <c r="F50">
        <v>20</v>
      </c>
      <c r="G50">
        <v>5</v>
      </c>
      <c r="H50">
        <v>6</v>
      </c>
      <c r="I50">
        <v>4</v>
      </c>
      <c r="J50">
        <v>8.6</v>
      </c>
    </row>
    <row r="51" spans="1:10" x14ac:dyDescent="0.3">
      <c r="A51" t="s">
        <v>25</v>
      </c>
      <c r="B51" t="s">
        <v>14</v>
      </c>
      <c r="C51" t="s">
        <v>14</v>
      </c>
      <c r="E51">
        <v>44</v>
      </c>
      <c r="F51">
        <v>10</v>
      </c>
      <c r="G51">
        <v>4</v>
      </c>
      <c r="H51">
        <v>3</v>
      </c>
      <c r="I51">
        <v>3</v>
      </c>
      <c r="J51">
        <v>8.5</v>
      </c>
    </row>
    <row r="52" spans="1:10" x14ac:dyDescent="0.3">
      <c r="A52" t="s">
        <v>17</v>
      </c>
      <c r="B52" t="s">
        <v>12</v>
      </c>
      <c r="C52" t="s">
        <v>12</v>
      </c>
      <c r="E52">
        <v>63</v>
      </c>
      <c r="F52">
        <v>3</v>
      </c>
      <c r="G52">
        <v>4</v>
      </c>
      <c r="H52">
        <v>4</v>
      </c>
      <c r="I52">
        <v>3</v>
      </c>
      <c r="J52">
        <v>8.6</v>
      </c>
    </row>
    <row r="53" spans="1:10" x14ac:dyDescent="0.3">
      <c r="A53" t="s">
        <v>29</v>
      </c>
      <c r="B53" t="s">
        <v>11</v>
      </c>
      <c r="C53" t="s">
        <v>11</v>
      </c>
      <c r="E53">
        <v>175</v>
      </c>
      <c r="F53">
        <v>9</v>
      </c>
      <c r="G53">
        <v>3</v>
      </c>
      <c r="H53">
        <v>5</v>
      </c>
      <c r="I53">
        <v>3</v>
      </c>
      <c r="J53">
        <v>9.1</v>
      </c>
    </row>
    <row r="54" spans="1:10" x14ac:dyDescent="0.3">
      <c r="A54" t="s">
        <v>17</v>
      </c>
      <c r="B54" t="s">
        <v>20</v>
      </c>
      <c r="C54" t="s">
        <v>20</v>
      </c>
      <c r="E54">
        <v>30.5</v>
      </c>
      <c r="F54">
        <v>3</v>
      </c>
      <c r="G54">
        <v>4</v>
      </c>
      <c r="H54">
        <v>3</v>
      </c>
      <c r="I54">
        <v>3</v>
      </c>
      <c r="J54">
        <v>2.65</v>
      </c>
    </row>
    <row r="55" spans="1:10" x14ac:dyDescent="0.3">
      <c r="A55" t="s">
        <v>10</v>
      </c>
      <c r="B55" t="s">
        <v>21</v>
      </c>
      <c r="C55" t="s">
        <v>19</v>
      </c>
      <c r="E55">
        <v>127</v>
      </c>
      <c r="F55">
        <v>5</v>
      </c>
      <c r="G55">
        <v>1</v>
      </c>
      <c r="H55">
        <v>2</v>
      </c>
      <c r="I55">
        <v>1</v>
      </c>
      <c r="J55">
        <v>2.16</v>
      </c>
    </row>
    <row r="56" spans="1:10" x14ac:dyDescent="0.3">
      <c r="A56" t="s">
        <v>17</v>
      </c>
      <c r="B56" t="s">
        <v>14</v>
      </c>
      <c r="C56" t="s">
        <v>14</v>
      </c>
      <c r="E56">
        <v>32</v>
      </c>
      <c r="F56">
        <v>3</v>
      </c>
      <c r="G56">
        <v>4</v>
      </c>
      <c r="H56">
        <v>3</v>
      </c>
      <c r="I56">
        <v>3</v>
      </c>
      <c r="J56">
        <v>3.95</v>
      </c>
    </row>
    <row r="57" spans="1:10" x14ac:dyDescent="0.3">
      <c r="A57" t="s">
        <v>30</v>
      </c>
      <c r="B57" t="s">
        <v>20</v>
      </c>
      <c r="C57" t="s">
        <v>20</v>
      </c>
      <c r="E57">
        <v>50</v>
      </c>
      <c r="F57">
        <v>3</v>
      </c>
      <c r="G57">
        <v>3</v>
      </c>
      <c r="H57">
        <v>3</v>
      </c>
      <c r="I57">
        <v>3</v>
      </c>
      <c r="J57">
        <v>2.75</v>
      </c>
    </row>
    <row r="58" spans="1:10" x14ac:dyDescent="0.3">
      <c r="A58" t="s">
        <v>17</v>
      </c>
      <c r="B58" t="s">
        <v>18</v>
      </c>
      <c r="C58" t="s">
        <v>18</v>
      </c>
      <c r="E58">
        <v>50</v>
      </c>
      <c r="F58">
        <v>2</v>
      </c>
      <c r="G58">
        <v>6</v>
      </c>
      <c r="H58">
        <v>4</v>
      </c>
      <c r="I58">
        <v>5</v>
      </c>
      <c r="J58">
        <v>6.5</v>
      </c>
    </row>
    <row r="59" spans="1:10" x14ac:dyDescent="0.3">
      <c r="A59" t="s">
        <v>17</v>
      </c>
      <c r="B59" t="s">
        <v>18</v>
      </c>
      <c r="C59" t="s">
        <v>18</v>
      </c>
      <c r="E59">
        <v>70</v>
      </c>
      <c r="F59">
        <v>2.5</v>
      </c>
      <c r="G59">
        <v>5</v>
      </c>
      <c r="H59">
        <v>5</v>
      </c>
      <c r="I59">
        <v>5</v>
      </c>
      <c r="J59">
        <v>10</v>
      </c>
    </row>
    <row r="60" spans="1:10" x14ac:dyDescent="0.3">
      <c r="A60" t="s">
        <v>17</v>
      </c>
      <c r="B60" t="s">
        <v>18</v>
      </c>
      <c r="C60" t="s">
        <v>18</v>
      </c>
      <c r="E60">
        <v>53</v>
      </c>
      <c r="F60">
        <v>7</v>
      </c>
      <c r="G60">
        <v>5</v>
      </c>
      <c r="H60">
        <v>8</v>
      </c>
      <c r="I60">
        <v>5</v>
      </c>
      <c r="J60">
        <v>8.8000000000000007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5456-A5E1-41CC-8E8A-4B5BB0E55BC1}">
  <dimension ref="A1:J88"/>
  <sheetViews>
    <sheetView zoomScale="145" zoomScaleNormal="145" workbookViewId="0">
      <selection activeCell="A36" sqref="A36:XFD36"/>
    </sheetView>
  </sheetViews>
  <sheetFormatPr defaultRowHeight="14.4" x14ac:dyDescent="0.3"/>
  <cols>
    <col min="1" max="1" width="17.5546875" bestFit="1" customWidth="1"/>
    <col min="2" max="2" width="14.109375" bestFit="1" customWidth="1"/>
    <col min="3" max="3" width="13.88671875" bestFit="1" customWidth="1"/>
    <col min="4" max="4" width="17.77734375" bestFit="1" customWidth="1"/>
    <col min="5" max="5" width="17.77734375" customWidth="1"/>
    <col min="6" max="6" width="14.33203125" customWidth="1"/>
    <col min="7" max="7" width="11.109375" customWidth="1"/>
    <col min="8" max="8" width="13.44140625" customWidth="1"/>
  </cols>
  <sheetData>
    <row r="1" spans="1:9" x14ac:dyDescent="0.3">
      <c r="A1" t="s">
        <v>31</v>
      </c>
      <c r="D1" s="26" t="s">
        <v>91</v>
      </c>
    </row>
    <row r="2" spans="1:9" ht="15" thickBot="1" x14ac:dyDescent="0.35"/>
    <row r="3" spans="1:9" x14ac:dyDescent="0.3">
      <c r="A3" s="7" t="s">
        <v>32</v>
      </c>
      <c r="B3" s="7"/>
    </row>
    <row r="4" spans="1:9" x14ac:dyDescent="0.3">
      <c r="A4" s="4" t="s">
        <v>33</v>
      </c>
      <c r="B4" s="4">
        <v>0.65140168876868887</v>
      </c>
      <c r="D4">
        <f>SQRT(B5)</f>
        <v>0.65140168876868887</v>
      </c>
    </row>
    <row r="5" spans="1:9" x14ac:dyDescent="0.3">
      <c r="A5" s="10" t="s">
        <v>34</v>
      </c>
      <c r="B5" s="10">
        <v>0.42432416013069973</v>
      </c>
    </row>
    <row r="6" spans="1:9" x14ac:dyDescent="0.3">
      <c r="A6" s="4" t="s">
        <v>35</v>
      </c>
      <c r="B6" s="4">
        <v>0.35790002476116511</v>
      </c>
    </row>
    <row r="7" spans="1:9" x14ac:dyDescent="0.3">
      <c r="A7" s="4" t="s">
        <v>36</v>
      </c>
      <c r="B7" s="9">
        <v>1.9107481336934073</v>
      </c>
      <c r="C7" t="s">
        <v>92</v>
      </c>
    </row>
    <row r="8" spans="1:9" ht="15" thickBot="1" x14ac:dyDescent="0.35">
      <c r="A8" s="5" t="s">
        <v>37</v>
      </c>
      <c r="B8" s="5">
        <v>59</v>
      </c>
      <c r="C8" t="s">
        <v>93</v>
      </c>
    </row>
    <row r="9" spans="1:9" x14ac:dyDescent="0.3">
      <c r="B9" t="s">
        <v>94</v>
      </c>
      <c r="E9" t="s">
        <v>98</v>
      </c>
      <c r="F9" t="s">
        <v>97</v>
      </c>
    </row>
    <row r="10" spans="1:9" ht="15" thickBot="1" x14ac:dyDescent="0.35">
      <c r="A10" t="s">
        <v>38</v>
      </c>
    </row>
    <row r="11" spans="1:9" x14ac:dyDescent="0.3">
      <c r="A11" s="6"/>
      <c r="B11" s="6" t="s">
        <v>43</v>
      </c>
      <c r="C11" s="6" t="s">
        <v>44</v>
      </c>
      <c r="D11" s="6" t="s">
        <v>45</v>
      </c>
      <c r="E11" s="6" t="s">
        <v>46</v>
      </c>
      <c r="F11" s="6" t="s">
        <v>47</v>
      </c>
    </row>
    <row r="12" spans="1:9" x14ac:dyDescent="0.3">
      <c r="A12" s="4" t="s">
        <v>95</v>
      </c>
      <c r="B12" s="4">
        <v>6</v>
      </c>
      <c r="C12" s="4">
        <v>139.9361717880239</v>
      </c>
      <c r="D12" s="4">
        <v>23.322695298003982</v>
      </c>
      <c r="E12" s="4">
        <v>6.3881021223697481</v>
      </c>
      <c r="F12" s="4">
        <v>4.3754329382986958E-5</v>
      </c>
    </row>
    <row r="13" spans="1:9" x14ac:dyDescent="0.3">
      <c r="A13" s="4" t="s">
        <v>96</v>
      </c>
      <c r="B13" s="4">
        <v>52</v>
      </c>
      <c r="C13" s="4">
        <v>189.84983838146763</v>
      </c>
      <c r="D13" s="4">
        <v>3.6509584304128393</v>
      </c>
      <c r="E13" s="4"/>
      <c r="F13" s="4"/>
    </row>
    <row r="14" spans="1:9" ht="15" thickBot="1" x14ac:dyDescent="0.35">
      <c r="A14" s="5" t="s">
        <v>41</v>
      </c>
      <c r="B14" s="5">
        <v>58</v>
      </c>
      <c r="C14" s="5">
        <v>329.78601016949153</v>
      </c>
      <c r="D14" s="5"/>
      <c r="E14" s="5"/>
      <c r="F14" s="5"/>
    </row>
    <row r="15" spans="1:9" ht="15" thickBot="1" x14ac:dyDescent="0.35">
      <c r="E15" t="s">
        <v>99</v>
      </c>
    </row>
    <row r="16" spans="1:9" x14ac:dyDescent="0.3">
      <c r="A16" s="6"/>
      <c r="B16" s="6" t="s">
        <v>48</v>
      </c>
      <c r="C16" s="6" t="s">
        <v>36</v>
      </c>
      <c r="D16" s="6" t="s">
        <v>49</v>
      </c>
      <c r="E16" s="8" t="s">
        <v>50</v>
      </c>
      <c r="F16" s="6" t="s">
        <v>51</v>
      </c>
      <c r="G16" s="6" t="s">
        <v>52</v>
      </c>
      <c r="H16" s="6" t="s">
        <v>53</v>
      </c>
      <c r="I16" s="6" t="s">
        <v>54</v>
      </c>
    </row>
    <row r="17" spans="1:10" x14ac:dyDescent="0.3">
      <c r="A17" s="4" t="s">
        <v>42</v>
      </c>
      <c r="B17" s="4">
        <v>-6.0916210729478948E-2</v>
      </c>
      <c r="C17" s="4">
        <v>1.2226927840187352</v>
      </c>
      <c r="D17" s="4">
        <v>-4.982135457548062E-2</v>
      </c>
      <c r="E17" s="4">
        <v>0.96045562824440378</v>
      </c>
      <c r="F17" s="4">
        <v>-2.5144287793526523</v>
      </c>
      <c r="G17" s="4">
        <v>2.3925963578936944</v>
      </c>
      <c r="H17" s="4">
        <v>-2.5144287793526523</v>
      </c>
      <c r="I17" s="4">
        <v>2.3925963578936944</v>
      </c>
    </row>
    <row r="18" spans="1:10" x14ac:dyDescent="0.3">
      <c r="A18" s="4" t="s">
        <v>3</v>
      </c>
      <c r="B18" s="4">
        <v>6.7290085550254595E-3</v>
      </c>
      <c r="C18" s="4">
        <v>6.9191690832477361E-3</v>
      </c>
      <c r="D18" s="4">
        <v>0.97251685485144723</v>
      </c>
      <c r="E18" s="4">
        <v>0.33529577573020886</v>
      </c>
      <c r="F18" s="4">
        <v>-7.1553199795552063E-3</v>
      </c>
      <c r="G18" s="4">
        <v>2.0613337089606124E-2</v>
      </c>
      <c r="H18" s="4">
        <v>-7.1553199795552063E-3</v>
      </c>
      <c r="I18" s="4">
        <v>2.0613337089606124E-2</v>
      </c>
    </row>
    <row r="19" spans="1:10" x14ac:dyDescent="0.3">
      <c r="A19" s="9" t="s">
        <v>4</v>
      </c>
      <c r="B19" s="4">
        <v>5.5462846416739285E-2</v>
      </c>
      <c r="C19" s="4">
        <v>0.12394650503921184</v>
      </c>
      <c r="D19" s="4">
        <v>0.44747406471197393</v>
      </c>
      <c r="E19" s="27">
        <v>0.65639135300495655</v>
      </c>
      <c r="F19" s="4">
        <v>-0.19325401191875732</v>
      </c>
      <c r="G19" s="4">
        <v>0.30417970475223588</v>
      </c>
      <c r="H19" s="4">
        <v>-0.19325401191875732</v>
      </c>
      <c r="I19" s="4">
        <v>0.30417970475223588</v>
      </c>
    </row>
    <row r="20" spans="1:10" x14ac:dyDescent="0.3">
      <c r="A20" s="4" t="s">
        <v>5</v>
      </c>
      <c r="B20" s="4">
        <v>4.3076757369000809E-2</v>
      </c>
      <c r="C20" s="4">
        <v>4.1143913875239704E-2</v>
      </c>
      <c r="D20" s="4">
        <v>1.0469776283224306</v>
      </c>
      <c r="E20" s="4">
        <v>0.29995219145916102</v>
      </c>
      <c r="F20" s="4">
        <v>-3.9484545956482126E-2</v>
      </c>
      <c r="G20" s="4">
        <v>0.12563806069448374</v>
      </c>
      <c r="H20" s="4">
        <v>-3.9484545956482126E-2</v>
      </c>
      <c r="I20" s="4">
        <v>0.12563806069448374</v>
      </c>
    </row>
    <row r="21" spans="1:10" x14ac:dyDescent="0.3">
      <c r="A21" s="4" t="s">
        <v>6</v>
      </c>
      <c r="B21" s="4">
        <v>0.26646991404854403</v>
      </c>
      <c r="C21" s="4">
        <v>0.25272117333294675</v>
      </c>
      <c r="D21" s="4">
        <v>1.0544028050134289</v>
      </c>
      <c r="E21" s="4">
        <v>0.29657320151448552</v>
      </c>
      <c r="F21" s="4">
        <v>-0.24065222099145411</v>
      </c>
      <c r="G21" s="4">
        <v>0.77359204908854218</v>
      </c>
      <c r="H21" s="4">
        <v>-0.24065222099145411</v>
      </c>
      <c r="I21" s="4">
        <v>0.77359204908854218</v>
      </c>
    </row>
    <row r="22" spans="1:10" x14ac:dyDescent="0.3">
      <c r="A22" s="4" t="s">
        <v>7</v>
      </c>
      <c r="B22" s="4">
        <v>0.46030167056415933</v>
      </c>
      <c r="C22" s="4">
        <v>0.25617748043039601</v>
      </c>
      <c r="D22" s="4">
        <v>1.796807704528987</v>
      </c>
      <c r="E22" s="4">
        <v>7.8175167721881197E-2</v>
      </c>
      <c r="F22" s="4">
        <v>-5.3756052070247418E-2</v>
      </c>
      <c r="G22" s="4">
        <v>0.97435939319856613</v>
      </c>
      <c r="H22" s="4">
        <v>-5.3756052070247418E-2</v>
      </c>
      <c r="I22" s="4">
        <v>0.97435939319856613</v>
      </c>
    </row>
    <row r="23" spans="1:10" ht="15" thickBot="1" x14ac:dyDescent="0.35">
      <c r="A23" s="5" t="s">
        <v>8</v>
      </c>
      <c r="B23" s="5">
        <v>0.57793096085498874</v>
      </c>
      <c r="C23" s="5">
        <v>0.31884488034633907</v>
      </c>
      <c r="D23" s="5">
        <v>1.8125772012623269</v>
      </c>
      <c r="E23" s="5">
        <v>7.5671811994914073E-2</v>
      </c>
      <c r="F23" s="5">
        <v>-6.1878099602268199E-2</v>
      </c>
      <c r="G23" s="5">
        <v>1.2177400213122458</v>
      </c>
      <c r="H23" s="5">
        <v>-6.1878099602268199E-2</v>
      </c>
      <c r="I23" s="5">
        <v>1.2177400213122458</v>
      </c>
    </row>
    <row r="25" spans="1:10" x14ac:dyDescent="0.3">
      <c r="E25">
        <f>MAX(E18:E23)</f>
        <v>0.65639135300495655</v>
      </c>
    </row>
    <row r="26" spans="1:10" x14ac:dyDescent="0.3">
      <c r="J26" t="e" cm="1">
        <f t="array" ref="J26">cor</f>
        <v>#NAME?</v>
      </c>
    </row>
    <row r="27" spans="1:10" x14ac:dyDescent="0.3">
      <c r="A27" t="s">
        <v>55</v>
      </c>
      <c r="F27" t="s">
        <v>60</v>
      </c>
    </row>
    <row r="28" spans="1:10" ht="15" thickBot="1" x14ac:dyDescent="0.35"/>
    <row r="29" spans="1:10" x14ac:dyDescent="0.3">
      <c r="A29" s="6" t="s">
        <v>56</v>
      </c>
      <c r="B29" s="6" t="s">
        <v>57</v>
      </c>
      <c r="C29" s="6" t="s">
        <v>58</v>
      </c>
      <c r="D29" s="6" t="s">
        <v>59</v>
      </c>
      <c r="E29">
        <f>AVERAGE(C30:C88)</f>
        <v>-1.3172137580298468E-15</v>
      </c>
      <c r="F29" s="6" t="s">
        <v>61</v>
      </c>
      <c r="G29" s="6" t="s">
        <v>9</v>
      </c>
    </row>
    <row r="30" spans="1:10" x14ac:dyDescent="0.3">
      <c r="A30" s="4">
        <v>1</v>
      </c>
      <c r="B30" s="4">
        <v>9.4631979359328291</v>
      </c>
      <c r="C30" s="4">
        <v>-6.3197935932828742E-2</v>
      </c>
      <c r="D30" s="4">
        <v>-3.4931060843440283E-2</v>
      </c>
      <c r="E30">
        <f>(C30-$E$29)/$B$7</f>
        <v>-3.3074969337098387E-2</v>
      </c>
      <c r="F30" s="4">
        <v>0.84745762711864403</v>
      </c>
      <c r="G30" s="4">
        <v>2.1</v>
      </c>
    </row>
    <row r="31" spans="1:10" x14ac:dyDescent="0.3">
      <c r="A31" s="4">
        <v>2</v>
      </c>
      <c r="B31" s="4">
        <v>6.5589489632584552</v>
      </c>
      <c r="C31" s="4">
        <v>1.431051036741545</v>
      </c>
      <c r="D31" s="4">
        <v>0.79097727001113038</v>
      </c>
      <c r="E31">
        <f t="shared" ref="E31:E88" si="0">(C31-$E$29)/$B$7</f>
        <v>0.74894802277021</v>
      </c>
      <c r="F31" s="4">
        <v>2.5423728813559321</v>
      </c>
      <c r="G31" s="4">
        <v>2.16</v>
      </c>
    </row>
    <row r="32" spans="1:10" x14ac:dyDescent="0.3">
      <c r="A32" s="4">
        <v>3</v>
      </c>
      <c r="B32" s="4">
        <v>6.9367327076326273</v>
      </c>
      <c r="C32" s="4">
        <v>-1.3367327076326276</v>
      </c>
      <c r="D32" s="4">
        <v>-0.73884519885841116</v>
      </c>
      <c r="E32">
        <f t="shared" si="0"/>
        <v>-0.69958603337676439</v>
      </c>
      <c r="F32" s="4">
        <v>4.2372881355932197</v>
      </c>
      <c r="G32" s="4">
        <v>2.25</v>
      </c>
    </row>
    <row r="33" spans="1:7" x14ac:dyDescent="0.3">
      <c r="A33" s="4">
        <v>4</v>
      </c>
      <c r="B33" s="4">
        <v>8.456822084527694</v>
      </c>
      <c r="C33" s="4">
        <v>-2.1568220845276942</v>
      </c>
      <c r="D33" s="4">
        <v>-1.1921288622968538</v>
      </c>
      <c r="E33">
        <f t="shared" si="0"/>
        <v>-1.1287840854035709</v>
      </c>
      <c r="F33" s="4">
        <v>5.9322033898305087</v>
      </c>
      <c r="G33" s="4">
        <v>2.4</v>
      </c>
    </row>
    <row r="34" spans="1:7" x14ac:dyDescent="0.3">
      <c r="A34" s="4">
        <v>5</v>
      </c>
      <c r="B34" s="4">
        <v>8.6519968255690181</v>
      </c>
      <c r="C34" s="4">
        <v>-2.1996825569017275E-2</v>
      </c>
      <c r="D34" s="4">
        <v>-1.2158189044822068E-2</v>
      </c>
      <c r="E34">
        <f t="shared" si="0"/>
        <v>-1.1512153371306393E-2</v>
      </c>
      <c r="F34" s="4">
        <v>7.6271186440677958</v>
      </c>
      <c r="G34" s="4">
        <v>2.65</v>
      </c>
    </row>
    <row r="35" spans="1:7" x14ac:dyDescent="0.3">
      <c r="A35" s="4">
        <v>6</v>
      </c>
      <c r="B35" s="4">
        <v>8.0486404772750504</v>
      </c>
      <c r="C35" s="4">
        <v>0.75135952272495032</v>
      </c>
      <c r="D35" s="4">
        <v>0.41529497468872045</v>
      </c>
      <c r="E35">
        <f t="shared" si="0"/>
        <v>0.39322792443219651</v>
      </c>
      <c r="F35" s="4">
        <v>9.322033898305083</v>
      </c>
      <c r="G35" s="4">
        <v>2.65</v>
      </c>
    </row>
    <row r="36" spans="1:7" x14ac:dyDescent="0.3">
      <c r="A36" s="4">
        <v>7</v>
      </c>
      <c r="B36" s="4">
        <v>5.3117936715083065</v>
      </c>
      <c r="C36" s="9">
        <v>4.6882063284916935</v>
      </c>
      <c r="D36" s="4">
        <v>2.5912874857369577</v>
      </c>
      <c r="E36">
        <f t="shared" si="0"/>
        <v>2.4535972302270737</v>
      </c>
      <c r="F36" s="4">
        <v>11.016949152542372</v>
      </c>
      <c r="G36" s="4">
        <v>2.75</v>
      </c>
    </row>
    <row r="37" spans="1:7" x14ac:dyDescent="0.3">
      <c r="A37" s="4">
        <v>8</v>
      </c>
      <c r="B37" s="4">
        <v>5.7237767196307683</v>
      </c>
      <c r="C37" s="4">
        <v>-0.12377671963076864</v>
      </c>
      <c r="D37" s="4">
        <v>-6.841445152606429E-2</v>
      </c>
      <c r="E37">
        <f t="shared" si="0"/>
        <v>-6.4779191693628072E-2</v>
      </c>
      <c r="F37" s="4">
        <v>12.711864406779661</v>
      </c>
      <c r="G37" s="4">
        <v>3</v>
      </c>
    </row>
    <row r="38" spans="1:7" x14ac:dyDescent="0.3">
      <c r="A38" s="4">
        <v>9</v>
      </c>
      <c r="B38" s="4">
        <v>7.7684338902130756</v>
      </c>
      <c r="C38" s="4">
        <v>-1.2684338902130756</v>
      </c>
      <c r="D38" s="4">
        <v>-0.70109475477186489</v>
      </c>
      <c r="E38">
        <f t="shared" si="0"/>
        <v>-0.66384149111334589</v>
      </c>
      <c r="F38" s="4">
        <v>14.406779661016948</v>
      </c>
      <c r="G38" s="4">
        <v>3.2</v>
      </c>
    </row>
    <row r="39" spans="1:7" x14ac:dyDescent="0.3">
      <c r="A39" s="4">
        <v>10</v>
      </c>
      <c r="B39" s="4">
        <v>5.5434154038790187</v>
      </c>
      <c r="C39" s="4">
        <v>-2.3434154038790185</v>
      </c>
      <c r="D39" s="4">
        <v>-1.2952636007188219</v>
      </c>
      <c r="E39">
        <f t="shared" si="0"/>
        <v>-1.226438672139001</v>
      </c>
      <c r="F39" s="4">
        <v>16.101694915254235</v>
      </c>
      <c r="G39" s="4">
        <v>3.2</v>
      </c>
    </row>
    <row r="40" spans="1:7" x14ac:dyDescent="0.3">
      <c r="A40" s="4">
        <v>11</v>
      </c>
      <c r="B40" s="4">
        <v>5.4386615509297336</v>
      </c>
      <c r="C40" s="4">
        <v>-0.95866155092973315</v>
      </c>
      <c r="D40" s="4">
        <v>-0.52987592821679752</v>
      </c>
      <c r="E40">
        <f t="shared" si="0"/>
        <v>-0.50172052193853178</v>
      </c>
      <c r="F40" s="4">
        <v>17.796610169491522</v>
      </c>
      <c r="G40" s="4">
        <v>3.25</v>
      </c>
    </row>
    <row r="41" spans="1:7" x14ac:dyDescent="0.3">
      <c r="A41" s="4">
        <v>12</v>
      </c>
      <c r="B41" s="4">
        <v>5.4446991248324075</v>
      </c>
      <c r="C41" s="4">
        <v>1.3353008751675928</v>
      </c>
      <c r="D41" s="4">
        <v>0.73805378967367286</v>
      </c>
      <c r="E41">
        <f t="shared" si="0"/>
        <v>0.69883667638942326</v>
      </c>
      <c r="F41" s="4">
        <v>19.491525423728813</v>
      </c>
      <c r="G41" s="4">
        <v>3.95</v>
      </c>
    </row>
    <row r="42" spans="1:7" x14ac:dyDescent="0.3">
      <c r="A42" s="4">
        <v>13</v>
      </c>
      <c r="B42" s="4">
        <v>8.785183180072174</v>
      </c>
      <c r="C42" s="4">
        <v>0.91481681992782526</v>
      </c>
      <c r="D42" s="4">
        <v>0.50564186196628347</v>
      </c>
      <c r="E42">
        <f t="shared" si="0"/>
        <v>0.47877415332575446</v>
      </c>
      <c r="F42" s="4">
        <v>21.1864406779661</v>
      </c>
      <c r="G42" s="4">
        <v>4</v>
      </c>
    </row>
    <row r="43" spans="1:7" x14ac:dyDescent="0.3">
      <c r="A43" s="4">
        <v>14</v>
      </c>
      <c r="B43" s="4">
        <v>5.5433941992393425</v>
      </c>
      <c r="C43" s="4">
        <v>-1.3933941992393422</v>
      </c>
      <c r="D43" s="4">
        <v>-0.77016340540392103</v>
      </c>
      <c r="E43">
        <f t="shared" si="0"/>
        <v>-0.72924012048932896</v>
      </c>
      <c r="F43" s="4">
        <v>22.881355932203387</v>
      </c>
      <c r="G43" s="4">
        <v>4.0999999999999996</v>
      </c>
    </row>
    <row r="44" spans="1:7" x14ac:dyDescent="0.3">
      <c r="A44" s="4">
        <v>15</v>
      </c>
      <c r="B44" s="4">
        <v>6.9132633234474135</v>
      </c>
      <c r="C44" s="4">
        <v>-0.21326332344741328</v>
      </c>
      <c r="D44" s="4">
        <v>-0.11787590871533764</v>
      </c>
      <c r="E44">
        <f t="shared" si="0"/>
        <v>-0.11161247245872309</v>
      </c>
      <c r="F44" s="4">
        <v>24.576271186440678</v>
      </c>
      <c r="G44" s="4">
        <v>4.1500000000000004</v>
      </c>
    </row>
    <row r="45" spans="1:7" x14ac:dyDescent="0.3">
      <c r="A45" s="4">
        <v>16</v>
      </c>
      <c r="B45" s="4">
        <v>8.4657145422994873</v>
      </c>
      <c r="C45" s="4">
        <v>-2.0757145422994876</v>
      </c>
      <c r="D45" s="4">
        <v>-1.1472987194984134</v>
      </c>
      <c r="E45">
        <f t="shared" si="0"/>
        <v>-1.086336030216188</v>
      </c>
      <c r="F45" s="4">
        <v>26.271186440677965</v>
      </c>
      <c r="G45" s="4">
        <v>4.4800000000000004</v>
      </c>
    </row>
    <row r="46" spans="1:7" x14ac:dyDescent="0.3">
      <c r="A46" s="4">
        <v>17</v>
      </c>
      <c r="B46" s="4">
        <v>5.1244225534413346</v>
      </c>
      <c r="C46" s="4">
        <v>1.6755774465586653</v>
      </c>
      <c r="D46" s="4">
        <v>0.92613305908988175</v>
      </c>
      <c r="E46">
        <f t="shared" si="0"/>
        <v>0.87692219451228026</v>
      </c>
      <c r="F46" s="4">
        <v>27.966101694915253</v>
      </c>
      <c r="G46" s="4">
        <v>4.55</v>
      </c>
    </row>
    <row r="47" spans="1:7" x14ac:dyDescent="0.3">
      <c r="A47" s="4">
        <v>18</v>
      </c>
      <c r="B47" s="4">
        <v>4.8971599386253235</v>
      </c>
      <c r="C47" s="4">
        <v>-0.19715993862532333</v>
      </c>
      <c r="D47" s="4">
        <v>-0.10897517000128168</v>
      </c>
      <c r="E47">
        <f t="shared" si="0"/>
        <v>-0.10318468203562704</v>
      </c>
      <c r="F47" s="4">
        <v>29.66101694915254</v>
      </c>
      <c r="G47" s="4">
        <v>4.5999999999999996</v>
      </c>
    </row>
    <row r="48" spans="1:7" x14ac:dyDescent="0.3">
      <c r="A48" s="4">
        <v>19</v>
      </c>
      <c r="B48" s="4">
        <v>5.1630418724590355</v>
      </c>
      <c r="C48" s="4">
        <v>-0.21304187245903528</v>
      </c>
      <c r="D48" s="4">
        <v>-0.11775350728189377</v>
      </c>
      <c r="E48">
        <f t="shared" si="0"/>
        <v>-0.11149657492912564</v>
      </c>
      <c r="F48" s="4">
        <v>31.355932203389827</v>
      </c>
      <c r="G48" s="4">
        <v>4.7</v>
      </c>
    </row>
    <row r="49" spans="1:7" x14ac:dyDescent="0.3">
      <c r="A49" s="4">
        <v>20</v>
      </c>
      <c r="B49" s="4">
        <v>5.8513329785634198</v>
      </c>
      <c r="C49" s="4">
        <v>-1.2513329785634202</v>
      </c>
      <c r="D49" s="4">
        <v>-0.69164265833081462</v>
      </c>
      <c r="E49">
        <f t="shared" si="0"/>
        <v>-0.65489163982310805</v>
      </c>
      <c r="F49" s="4">
        <v>33.050847457627114</v>
      </c>
      <c r="G49" s="4">
        <v>4.95</v>
      </c>
    </row>
    <row r="50" spans="1:7" x14ac:dyDescent="0.3">
      <c r="A50" s="4">
        <v>21</v>
      </c>
      <c r="B50" s="4">
        <v>5.6865027859774857</v>
      </c>
      <c r="C50" s="4">
        <v>2.8134972140225143</v>
      </c>
      <c r="D50" s="4">
        <v>1.5550894331474288</v>
      </c>
      <c r="E50">
        <f t="shared" si="0"/>
        <v>1.472458438875524</v>
      </c>
      <c r="F50" s="4">
        <v>34.745762711864401</v>
      </c>
      <c r="G50" s="4">
        <v>5</v>
      </c>
    </row>
    <row r="51" spans="1:7" x14ac:dyDescent="0.3">
      <c r="A51" s="4">
        <v>22</v>
      </c>
      <c r="B51" s="4">
        <v>6.0584715967689959</v>
      </c>
      <c r="C51" s="4">
        <v>0.24152840323100389</v>
      </c>
      <c r="D51" s="4">
        <v>0.13349871675632652</v>
      </c>
      <c r="E51">
        <f t="shared" si="0"/>
        <v>0.12640514936112457</v>
      </c>
      <c r="F51" s="4">
        <v>36.440677966101696</v>
      </c>
      <c r="G51" s="4">
        <v>5.2</v>
      </c>
    </row>
    <row r="52" spans="1:7" x14ac:dyDescent="0.3">
      <c r="A52" s="4">
        <v>23</v>
      </c>
      <c r="B52" s="4">
        <v>5.5240683229749576</v>
      </c>
      <c r="C52" s="4">
        <v>1.6759316770250425</v>
      </c>
      <c r="D52" s="4">
        <v>0.92632885102186469</v>
      </c>
      <c r="E52">
        <f t="shared" si="0"/>
        <v>0.87710758287411139</v>
      </c>
      <c r="F52" s="4">
        <v>38.135593220338983</v>
      </c>
      <c r="G52" s="4">
        <v>5.6</v>
      </c>
    </row>
    <row r="53" spans="1:7" x14ac:dyDescent="0.3">
      <c r="A53" s="4">
        <v>24</v>
      </c>
      <c r="B53" s="4">
        <v>4.446925085922607</v>
      </c>
      <c r="C53" s="4">
        <v>-2.346925085922607</v>
      </c>
      <c r="D53" s="4">
        <v>-1.2972034887103541</v>
      </c>
      <c r="E53">
        <f t="shared" si="0"/>
        <v>-1.2282754825389173</v>
      </c>
      <c r="F53" s="4">
        <v>39.83050847457627</v>
      </c>
      <c r="G53" s="4">
        <v>5.6</v>
      </c>
    </row>
    <row r="54" spans="1:7" x14ac:dyDescent="0.3">
      <c r="A54" s="4">
        <v>25</v>
      </c>
      <c r="B54" s="4">
        <v>5.2576969521646557</v>
      </c>
      <c r="C54" s="4">
        <v>0.74230304783534429</v>
      </c>
      <c r="D54" s="4">
        <v>0.41028923722710209</v>
      </c>
      <c r="E54">
        <f t="shared" si="0"/>
        <v>0.38848817107072114</v>
      </c>
      <c r="F54" s="4">
        <v>41.525423728813557</v>
      </c>
      <c r="G54" s="4">
        <v>5.6</v>
      </c>
    </row>
    <row r="55" spans="1:7" x14ac:dyDescent="0.3">
      <c r="A55" s="4">
        <v>26</v>
      </c>
      <c r="B55" s="4">
        <v>6.3375137026573345</v>
      </c>
      <c r="C55" s="4">
        <v>-3.0875137026573345</v>
      </c>
      <c r="D55" s="4">
        <v>-1.7065451175036748</v>
      </c>
      <c r="E55">
        <f t="shared" si="0"/>
        <v>-1.615866397152659</v>
      </c>
      <c r="F55" s="4">
        <v>43.220338983050844</v>
      </c>
      <c r="G55" s="4">
        <v>5.65</v>
      </c>
    </row>
    <row r="56" spans="1:7" x14ac:dyDescent="0.3">
      <c r="A56" s="4">
        <v>27</v>
      </c>
      <c r="B56" s="4">
        <v>5.5268131785693546</v>
      </c>
      <c r="C56" s="4">
        <v>-1.426813178569355</v>
      </c>
      <c r="D56" s="4">
        <v>-0.78863490107971501</v>
      </c>
      <c r="E56">
        <f t="shared" si="0"/>
        <v>-0.74673011759607222</v>
      </c>
      <c r="F56" s="4">
        <v>44.915254237288131</v>
      </c>
      <c r="G56" s="4">
        <v>6</v>
      </c>
    </row>
    <row r="57" spans="1:7" x14ac:dyDescent="0.3">
      <c r="A57" s="4">
        <v>28</v>
      </c>
      <c r="B57" s="4">
        <v>4.6098708370867261</v>
      </c>
      <c r="C57" s="4">
        <v>-1.9598708370867262</v>
      </c>
      <c r="D57" s="4">
        <v>-1.0832690410700312</v>
      </c>
      <c r="E57">
        <f t="shared" si="0"/>
        <v>-1.0257086229875652</v>
      </c>
      <c r="F57" s="4">
        <v>46.610169491525419</v>
      </c>
      <c r="G57" s="4">
        <v>6.3</v>
      </c>
    </row>
    <row r="58" spans="1:7" x14ac:dyDescent="0.3">
      <c r="A58" s="4">
        <v>29</v>
      </c>
      <c r="B58" s="4">
        <v>5.3839287087478978</v>
      </c>
      <c r="C58" s="4">
        <v>-0.83392870874789793</v>
      </c>
      <c r="D58" s="4">
        <v>-0.46093300413048077</v>
      </c>
      <c r="E58">
        <f t="shared" si="0"/>
        <v>-0.43644093852178334</v>
      </c>
      <c r="F58" s="4">
        <v>48.305084745762713</v>
      </c>
      <c r="G58" s="4">
        <v>6.3</v>
      </c>
    </row>
    <row r="59" spans="1:7" x14ac:dyDescent="0.3">
      <c r="A59" s="4">
        <v>30</v>
      </c>
      <c r="B59" s="4">
        <v>5.252713482224153</v>
      </c>
      <c r="C59" s="4">
        <v>1.247286517775847</v>
      </c>
      <c r="D59" s="4">
        <v>0.68940607946340438</v>
      </c>
      <c r="E59">
        <f t="shared" si="0"/>
        <v>0.65277390346831765</v>
      </c>
      <c r="F59" s="4">
        <v>50</v>
      </c>
      <c r="G59" s="4">
        <v>6.39</v>
      </c>
    </row>
    <row r="60" spans="1:7" x14ac:dyDescent="0.3">
      <c r="A60" s="4">
        <v>31</v>
      </c>
      <c r="B60" s="4">
        <v>7.6481862613744767</v>
      </c>
      <c r="C60" s="4">
        <v>0.95181373862552299</v>
      </c>
      <c r="D60" s="4">
        <v>0.52609097314331121</v>
      </c>
      <c r="E60">
        <f t="shared" si="0"/>
        <v>0.49813668365893032</v>
      </c>
      <c r="F60" s="4">
        <v>51.694915254237287</v>
      </c>
      <c r="G60" s="4">
        <v>6.5</v>
      </c>
    </row>
    <row r="61" spans="1:7" x14ac:dyDescent="0.3">
      <c r="A61" s="4">
        <v>32</v>
      </c>
      <c r="B61" s="4">
        <v>3.4898854409271509</v>
      </c>
      <c r="C61" s="4">
        <v>2.1101145590728487</v>
      </c>
      <c r="D61" s="4">
        <v>1.1663124588110838</v>
      </c>
      <c r="E61">
        <f t="shared" si="0"/>
        <v>1.1043394583848551</v>
      </c>
      <c r="F61" s="4">
        <v>53.389830508474574</v>
      </c>
      <c r="G61" s="4">
        <v>6.5</v>
      </c>
    </row>
    <row r="62" spans="1:7" x14ac:dyDescent="0.3">
      <c r="A62" s="4">
        <v>33</v>
      </c>
      <c r="B62" s="4">
        <v>6.3126645718024283</v>
      </c>
      <c r="C62" s="4">
        <v>1.6873354281975717</v>
      </c>
      <c r="D62" s="4">
        <v>0.93263198608745379</v>
      </c>
      <c r="E62">
        <f t="shared" si="0"/>
        <v>0.88307579551890725</v>
      </c>
      <c r="F62" s="4">
        <v>55.084745762711862</v>
      </c>
      <c r="G62" s="4">
        <v>6.5</v>
      </c>
    </row>
    <row r="63" spans="1:7" x14ac:dyDescent="0.3">
      <c r="A63" s="4">
        <v>34</v>
      </c>
      <c r="B63" s="4">
        <v>7.9908586416478062</v>
      </c>
      <c r="C63" s="4">
        <v>0.60914135835219341</v>
      </c>
      <c r="D63" s="4">
        <v>0.33668748095621426</v>
      </c>
      <c r="E63">
        <f t="shared" si="0"/>
        <v>0.31879730646380194</v>
      </c>
      <c r="F63" s="4">
        <v>56.779661016949149</v>
      </c>
      <c r="G63" s="4">
        <v>6.7</v>
      </c>
    </row>
    <row r="64" spans="1:7" x14ac:dyDescent="0.3">
      <c r="A64" s="4">
        <v>35</v>
      </c>
      <c r="B64" s="4">
        <v>8.4070567366161875</v>
      </c>
      <c r="C64" s="4">
        <v>9.2943263383812535E-2</v>
      </c>
      <c r="D64" s="4">
        <v>5.1372038347875397E-2</v>
      </c>
      <c r="E64">
        <f t="shared" si="0"/>
        <v>4.8642341575473827E-2</v>
      </c>
      <c r="F64" s="4">
        <v>58.474576271186436</v>
      </c>
      <c r="G64" s="4">
        <v>6.7</v>
      </c>
    </row>
    <row r="65" spans="1:7" x14ac:dyDescent="0.3">
      <c r="A65" s="4">
        <v>36</v>
      </c>
      <c r="B65" s="4">
        <v>7.1320196497251303</v>
      </c>
      <c r="C65" s="4">
        <v>-1.9320196497251301</v>
      </c>
      <c r="D65" s="4">
        <v>-1.0678750015981724</v>
      </c>
      <c r="E65">
        <f t="shared" si="0"/>
        <v>-1.0111325588425955</v>
      </c>
      <c r="F65" s="4">
        <v>60.169491525423723</v>
      </c>
      <c r="G65" s="4">
        <v>6.78</v>
      </c>
    </row>
    <row r="66" spans="1:7" x14ac:dyDescent="0.3">
      <c r="A66" s="4">
        <v>37</v>
      </c>
      <c r="B66" s="4">
        <v>3.2949211880368927</v>
      </c>
      <c r="C66" s="4">
        <v>2.3550788119631076</v>
      </c>
      <c r="D66" s="4">
        <v>1.3017102545756856</v>
      </c>
      <c r="E66">
        <f t="shared" si="0"/>
        <v>1.2325427775825306</v>
      </c>
      <c r="F66" s="4">
        <v>61.86440677966101</v>
      </c>
      <c r="G66" s="4">
        <v>6.8</v>
      </c>
    </row>
    <row r="67" spans="1:7" x14ac:dyDescent="0.3">
      <c r="A67" s="4">
        <v>38</v>
      </c>
      <c r="B67" s="4">
        <v>4.5326709061664747</v>
      </c>
      <c r="C67" s="4">
        <v>-1.5326709061664747</v>
      </c>
      <c r="D67" s="4">
        <v>-0.84714508292131052</v>
      </c>
      <c r="E67">
        <f t="shared" si="0"/>
        <v>-0.80213131136434801</v>
      </c>
      <c r="F67" s="4">
        <v>63.559322033898304</v>
      </c>
      <c r="G67" s="4">
        <v>7.2</v>
      </c>
    </row>
    <row r="68" spans="1:7" x14ac:dyDescent="0.3">
      <c r="A68" s="4">
        <v>39</v>
      </c>
      <c r="B68" s="4">
        <v>7.8194344959994684</v>
      </c>
      <c r="C68" s="4">
        <v>-1.1194344959994682</v>
      </c>
      <c r="D68" s="4">
        <v>-0.61873910773865803</v>
      </c>
      <c r="E68">
        <f t="shared" si="0"/>
        <v>-0.58586188114476412</v>
      </c>
      <c r="F68" s="4">
        <v>65.254237288135585</v>
      </c>
      <c r="G68" s="4">
        <v>7.5</v>
      </c>
    </row>
    <row r="69" spans="1:7" x14ac:dyDescent="0.3">
      <c r="A69" s="4">
        <v>40</v>
      </c>
      <c r="B69" s="4">
        <v>6.0405795826486344</v>
      </c>
      <c r="C69" s="4">
        <v>-1.0405795826486344</v>
      </c>
      <c r="D69" s="4">
        <v>-0.57515404858435504</v>
      </c>
      <c r="E69">
        <f t="shared" si="0"/>
        <v>-0.54459275102743665</v>
      </c>
      <c r="F69" s="4">
        <v>66.949152542372872</v>
      </c>
      <c r="G69" s="4">
        <v>7.6</v>
      </c>
    </row>
    <row r="70" spans="1:7" x14ac:dyDescent="0.3">
      <c r="A70" s="4">
        <v>41</v>
      </c>
      <c r="B70" s="4">
        <v>4.1353944834326768</v>
      </c>
      <c r="C70" s="4">
        <v>-1.8853944834326768</v>
      </c>
      <c r="D70" s="4">
        <v>-1.0421041200565939</v>
      </c>
      <c r="E70">
        <f t="shared" si="0"/>
        <v>-0.98673103492100545</v>
      </c>
      <c r="F70" s="4">
        <v>68.644067796610159</v>
      </c>
      <c r="G70" s="4">
        <v>7.99</v>
      </c>
    </row>
    <row r="71" spans="1:7" x14ac:dyDescent="0.3">
      <c r="A71" s="4">
        <v>42</v>
      </c>
      <c r="B71" s="4">
        <v>6.9429394038013852</v>
      </c>
      <c r="C71" s="4">
        <v>0.65706059619861445</v>
      </c>
      <c r="D71" s="4">
        <v>0.36317362782284179</v>
      </c>
      <c r="E71">
        <f t="shared" si="0"/>
        <v>0.34387608948152748</v>
      </c>
      <c r="F71" s="4">
        <v>70.33898305084746</v>
      </c>
      <c r="G71" s="4">
        <v>8</v>
      </c>
    </row>
    <row r="72" spans="1:7" x14ac:dyDescent="0.3">
      <c r="A72" s="4">
        <v>43</v>
      </c>
      <c r="B72" s="4">
        <v>4.9431668108066082</v>
      </c>
      <c r="C72" s="4">
        <v>-2.5431668108066083</v>
      </c>
      <c r="D72" s="4">
        <v>-1.4056711392872754</v>
      </c>
      <c r="E72">
        <f t="shared" si="0"/>
        <v>-1.3309796126246933</v>
      </c>
      <c r="F72" s="4">
        <v>72.033898305084747</v>
      </c>
      <c r="G72" s="4">
        <v>8.5</v>
      </c>
    </row>
    <row r="73" spans="1:7" x14ac:dyDescent="0.3">
      <c r="A73" s="4">
        <v>44</v>
      </c>
      <c r="B73" s="4">
        <v>10.012904944812126</v>
      </c>
      <c r="C73" s="4">
        <v>-1.2904944812126118E-2</v>
      </c>
      <c r="D73" s="4">
        <v>-7.1328818854581111E-3</v>
      </c>
      <c r="E73">
        <f t="shared" si="0"/>
        <v>-6.7538701645517285E-3</v>
      </c>
      <c r="F73" s="4">
        <v>73.728813559322035</v>
      </c>
      <c r="G73" s="4">
        <v>8.5</v>
      </c>
    </row>
    <row r="74" spans="1:7" x14ac:dyDescent="0.3">
      <c r="A74" s="4">
        <v>45</v>
      </c>
      <c r="B74" s="4">
        <v>6.1248563883327485</v>
      </c>
      <c r="C74" s="4">
        <v>3.6751436116672522</v>
      </c>
      <c r="D74" s="4">
        <v>2.0313426888494823</v>
      </c>
      <c r="E74">
        <f t="shared" si="0"/>
        <v>1.9234055744245755</v>
      </c>
      <c r="F74" s="4">
        <v>75.423728813559322</v>
      </c>
      <c r="G74" s="4">
        <v>8.5</v>
      </c>
    </row>
    <row r="75" spans="1:7" x14ac:dyDescent="0.3">
      <c r="A75" s="4">
        <v>46</v>
      </c>
      <c r="B75" s="4">
        <v>5.7677738992278345</v>
      </c>
      <c r="C75" s="4">
        <v>1.7322261007721655</v>
      </c>
      <c r="D75" s="4">
        <v>0.9574441700909434</v>
      </c>
      <c r="E75">
        <f t="shared" si="0"/>
        <v>0.90656956310816128</v>
      </c>
      <c r="F75" s="4">
        <v>77.118644067796609</v>
      </c>
      <c r="G75" s="4">
        <v>8.6</v>
      </c>
    </row>
    <row r="76" spans="1:7" x14ac:dyDescent="0.3">
      <c r="A76" s="4">
        <v>47</v>
      </c>
      <c r="B76" s="4">
        <v>5.4892827058420277</v>
      </c>
      <c r="C76" s="4">
        <v>-2.2892827058420275</v>
      </c>
      <c r="D76" s="4">
        <v>-1.2653431208670827</v>
      </c>
      <c r="E76">
        <f t="shared" si="0"/>
        <v>-1.1981080423283863</v>
      </c>
      <c r="F76" s="4">
        <v>78.813559322033896</v>
      </c>
      <c r="G76" s="4">
        <v>8.6</v>
      </c>
    </row>
    <row r="77" spans="1:7" x14ac:dyDescent="0.3">
      <c r="A77" s="4">
        <v>48</v>
      </c>
      <c r="B77" s="4">
        <v>6.0509545648133898</v>
      </c>
      <c r="C77" s="4">
        <v>-2.0509545648133898</v>
      </c>
      <c r="D77" s="4">
        <v>-1.1336132681101219</v>
      </c>
      <c r="E77">
        <f t="shared" si="0"/>
        <v>-1.0733777668797022</v>
      </c>
      <c r="F77" s="4">
        <v>80.508474576271183</v>
      </c>
      <c r="G77" s="4">
        <v>8.6</v>
      </c>
    </row>
    <row r="78" spans="1:7" x14ac:dyDescent="0.3">
      <c r="A78" s="4">
        <v>49</v>
      </c>
      <c r="B78" s="4">
        <v>7.8320942726666525</v>
      </c>
      <c r="C78" s="4">
        <v>0.76790572733334717</v>
      </c>
      <c r="D78" s="4">
        <v>0.42444047084097197</v>
      </c>
      <c r="E78">
        <f t="shared" si="0"/>
        <v>0.4018874668996873</v>
      </c>
      <c r="F78" s="4">
        <v>82.20338983050847</v>
      </c>
      <c r="G78" s="4">
        <v>8.6</v>
      </c>
    </row>
    <row r="79" spans="1:7" x14ac:dyDescent="0.3">
      <c r="A79" s="4">
        <v>50</v>
      </c>
      <c r="B79" s="4">
        <v>5.0960880987085968</v>
      </c>
      <c r="C79" s="4">
        <v>3.4039119012914032</v>
      </c>
      <c r="D79" s="4">
        <v>1.8814262202502667</v>
      </c>
      <c r="E79">
        <f t="shared" si="0"/>
        <v>1.7814550443714239</v>
      </c>
      <c r="F79" s="4">
        <v>83.898305084745758</v>
      </c>
      <c r="G79" s="4">
        <v>8.6300000000000008</v>
      </c>
    </row>
    <row r="80" spans="1:7" x14ac:dyDescent="0.3">
      <c r="A80" s="4">
        <v>51</v>
      </c>
      <c r="B80" s="4">
        <v>5.3937961995185812</v>
      </c>
      <c r="C80" s="4">
        <v>3.2062038004814184</v>
      </c>
      <c r="D80" s="4">
        <v>1.7721480674641543</v>
      </c>
      <c r="E80">
        <f t="shared" si="0"/>
        <v>1.6779834787978796</v>
      </c>
      <c r="F80" s="4">
        <v>85.593220338983045</v>
      </c>
      <c r="G80" s="4">
        <v>8.8000000000000007</v>
      </c>
    </row>
    <row r="81" spans="1:7" x14ac:dyDescent="0.3">
      <c r="A81" s="4">
        <v>52</v>
      </c>
      <c r="B81" s="4">
        <v>6.8936905444197718</v>
      </c>
      <c r="C81" s="4">
        <v>2.2063094555802278</v>
      </c>
      <c r="D81" s="4">
        <v>1.2194817551358743</v>
      </c>
      <c r="E81">
        <f t="shared" si="0"/>
        <v>1.1546835591122691</v>
      </c>
      <c r="F81" s="4">
        <v>87.288135593220332</v>
      </c>
      <c r="G81" s="4">
        <v>8.8000000000000007</v>
      </c>
    </row>
    <row r="82" spans="1:7" x14ac:dyDescent="0.3">
      <c r="A82" s="4">
        <v>53</v>
      </c>
      <c r="B82" s="4">
        <v>4.6759777584243771</v>
      </c>
      <c r="C82" s="4">
        <v>-2.0259777584243772</v>
      </c>
      <c r="D82" s="4">
        <v>-1.119807970029236</v>
      </c>
      <c r="E82">
        <f t="shared" si="0"/>
        <v>-1.0603060250061498</v>
      </c>
      <c r="F82" s="4">
        <v>88.983050847457619</v>
      </c>
      <c r="G82" s="4">
        <v>9.1</v>
      </c>
    </row>
    <row r="83" spans="1:7" x14ac:dyDescent="0.3">
      <c r="A83" s="4">
        <v>54</v>
      </c>
      <c r="B83" s="4">
        <v>3.2732214963862631</v>
      </c>
      <c r="C83" s="4">
        <v>-1.113221496386263</v>
      </c>
      <c r="D83" s="4">
        <v>-0.61530502932603681</v>
      </c>
      <c r="E83">
        <f t="shared" si="0"/>
        <v>-0.58261027539744059</v>
      </c>
      <c r="F83" s="4">
        <v>90.677966101694906</v>
      </c>
      <c r="G83" s="4">
        <v>9.4</v>
      </c>
    </row>
    <row r="84" spans="1:7" x14ac:dyDescent="0.3">
      <c r="A84" s="4">
        <v>55</v>
      </c>
      <c r="B84" s="4">
        <v>4.6583398480485458</v>
      </c>
      <c r="C84" s="4">
        <v>-0.70833984804854566</v>
      </c>
      <c r="D84" s="4">
        <v>-0.39151693745687638</v>
      </c>
      <c r="E84">
        <f t="shared" si="0"/>
        <v>-0.37071335334989908</v>
      </c>
      <c r="F84" s="4">
        <v>92.372881355932194</v>
      </c>
      <c r="G84" s="4">
        <v>9.6999999999999993</v>
      </c>
    </row>
    <row r="85" spans="1:7" x14ac:dyDescent="0.3">
      <c r="A85" s="4">
        <v>56</v>
      </c>
      <c r="B85" s="4">
        <v>4.5407235111988298</v>
      </c>
      <c r="C85" s="4">
        <v>-1.7907235111988298</v>
      </c>
      <c r="D85" s="4">
        <v>-0.9897771343347338</v>
      </c>
      <c r="E85">
        <f t="shared" si="0"/>
        <v>-0.93718448790915443</v>
      </c>
      <c r="F85" s="4">
        <v>94.067796610169481</v>
      </c>
      <c r="G85" s="4">
        <v>9.8000000000000007</v>
      </c>
    </row>
    <row r="86" spans="1:7" x14ac:dyDescent="0.3">
      <c r="A86" s="4">
        <v>57</v>
      </c>
      <c r="B86" s="4">
        <v>6.9686829346663375</v>
      </c>
      <c r="C86" s="4">
        <v>-0.46868293466633748</v>
      </c>
      <c r="D86" s="4">
        <v>-0.25905263938545198</v>
      </c>
      <c r="E86">
        <f t="shared" si="0"/>
        <v>-0.24528765796064858</v>
      </c>
      <c r="F86" s="4">
        <v>95.762711864406782</v>
      </c>
      <c r="G86" s="4">
        <v>10</v>
      </c>
    </row>
    <row r="87" spans="1:7" x14ac:dyDescent="0.3">
      <c r="A87" s="4">
        <v>58</v>
      </c>
      <c r="B87" s="4">
        <v>7.2909018177585923</v>
      </c>
      <c r="C87" s="4">
        <v>2.7090981822414077</v>
      </c>
      <c r="D87" s="4">
        <v>1.4973855085284644</v>
      </c>
      <c r="E87">
        <f t="shared" si="0"/>
        <v>1.4178206611694131</v>
      </c>
      <c r="F87" s="4">
        <v>97.457627118644069</v>
      </c>
      <c r="G87" s="4">
        <v>10</v>
      </c>
    </row>
    <row r="88" spans="1:7" ht="15" thickBot="1" x14ac:dyDescent="0.35">
      <c r="A88" s="5">
        <v>59</v>
      </c>
      <c r="B88" s="5">
        <v>8.6957962457594018</v>
      </c>
      <c r="C88" s="5">
        <v>0.10420375424059891</v>
      </c>
      <c r="D88" s="5">
        <v>5.7595989896917735E-2</v>
      </c>
      <c r="E88">
        <f t="shared" si="0"/>
        <v>5.4535578186947188E-2</v>
      </c>
      <c r="F88" s="5">
        <v>99.152542372881356</v>
      </c>
      <c r="G88" s="5">
        <v>10</v>
      </c>
    </row>
  </sheetData>
  <sortState xmlns:xlrd2="http://schemas.microsoft.com/office/spreadsheetml/2017/richdata2" ref="G30:G88">
    <sortCondition ref="G30"/>
  </sortState>
  <hyperlinks>
    <hyperlink ref="D1" r:id="rId1" xr:uid="{BBFC4A58-3D57-412B-9261-E42A86535189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2E85-2730-411E-A77D-11180E1DE5AE}">
  <dimension ref="A1:T61"/>
  <sheetViews>
    <sheetView workbookViewId="0">
      <selection activeCell="E2" sqref="E2:J2"/>
    </sheetView>
  </sheetViews>
  <sheetFormatPr defaultRowHeight="14.4" x14ac:dyDescent="0.3"/>
  <cols>
    <col min="1" max="3" width="16.44140625" customWidth="1"/>
    <col min="4" max="4" width="11" customWidth="1"/>
    <col min="6" max="6" width="8.44140625" bestFit="1" customWidth="1"/>
    <col min="7" max="7" width="11.33203125" bestFit="1" customWidth="1"/>
    <col min="8" max="8" width="6" bestFit="1" customWidth="1"/>
    <col min="9" max="9" width="9.5546875" bestFit="1" customWidth="1"/>
    <col min="10" max="10" width="12.6640625" customWidth="1"/>
    <col min="12" max="12" width="9.5546875" customWidth="1"/>
    <col min="13" max="13" width="16" customWidth="1"/>
    <col min="14" max="15" width="15" customWidth="1"/>
    <col min="16" max="16" width="12.77734375" customWidth="1"/>
    <col min="17" max="17" width="28.44140625" customWidth="1"/>
    <col min="18" max="18" width="11.21875" customWidth="1"/>
    <col min="20" max="20" width="10.6640625" customWidth="1"/>
  </cols>
  <sheetData>
    <row r="1" spans="1:20" ht="15" thickBot="1" x14ac:dyDescent="0.35">
      <c r="D1" s="4">
        <v>-6.0916210729478948E-2</v>
      </c>
      <c r="E1" s="4">
        <v>6.7290085550254595E-3</v>
      </c>
      <c r="F1" s="4">
        <v>5.5462846416739285E-2</v>
      </c>
      <c r="G1" s="4">
        <v>4.3076757369000809E-2</v>
      </c>
      <c r="H1" s="4">
        <v>0.26646991404854403</v>
      </c>
      <c r="I1" s="4">
        <v>0.46030167056415933</v>
      </c>
      <c r="J1" s="5">
        <v>0.57793096085498874</v>
      </c>
      <c r="L1" s="20" t="s">
        <v>82</v>
      </c>
      <c r="M1" s="14">
        <f>AVERAGE(K3:K61)</f>
        <v>6.1971186440677979</v>
      </c>
    </row>
    <row r="2" spans="1:20" x14ac:dyDescent="0.3">
      <c r="A2" s="1" t="s">
        <v>0</v>
      </c>
      <c r="B2" s="1" t="s">
        <v>1</v>
      </c>
      <c r="C2" s="1" t="s">
        <v>2</v>
      </c>
      <c r="D2" s="1"/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3" t="s">
        <v>9</v>
      </c>
      <c r="L2" s="11" t="s">
        <v>62</v>
      </c>
      <c r="M2" s="6" t="s">
        <v>58</v>
      </c>
      <c r="N2" s="19" t="s">
        <v>65</v>
      </c>
      <c r="O2" s="20" t="s">
        <v>69</v>
      </c>
    </row>
    <row r="3" spans="1:20" x14ac:dyDescent="0.3">
      <c r="A3" t="s">
        <v>10</v>
      </c>
      <c r="B3" t="s">
        <v>11</v>
      </c>
      <c r="C3" t="s">
        <v>12</v>
      </c>
      <c r="E3">
        <v>300</v>
      </c>
      <c r="F3">
        <v>15</v>
      </c>
      <c r="G3">
        <v>32</v>
      </c>
      <c r="H3">
        <v>3</v>
      </c>
      <c r="I3">
        <v>6</v>
      </c>
      <c r="J3">
        <v>3</v>
      </c>
      <c r="K3">
        <v>9.4</v>
      </c>
      <c r="L3">
        <f>D1+SUMPRODUCT($E$1:$J$1,E3:J3)</f>
        <v>9.4631979359328273</v>
      </c>
      <c r="M3" s="15">
        <f>K3-L3</f>
        <v>-6.3197935932826965E-2</v>
      </c>
      <c r="N3" s="14">
        <f>ABS(M3)</f>
        <v>6.3197935932826965E-2</v>
      </c>
      <c r="O3" s="13">
        <f>N3/ABS(K3)</f>
        <v>6.7231846737049964E-3</v>
      </c>
      <c r="P3" s="14">
        <f>POWER(M3,2)</f>
        <v>3.9939791061697014E-3</v>
      </c>
      <c r="Q3">
        <f>POWER(LOG10(1+K3)-LOG10(1+L3),2)</f>
        <v>6.9226966669302262E-6</v>
      </c>
      <c r="R3" s="15">
        <f>POWER(K3-$M$1,2)</f>
        <v>10.258448980178104</v>
      </c>
      <c r="S3">
        <f>ABS(K3-$M$1)</f>
        <v>3.2028813559322025</v>
      </c>
    </row>
    <row r="4" spans="1:20" x14ac:dyDescent="0.3">
      <c r="A4" t="s">
        <v>13</v>
      </c>
      <c r="B4" t="s">
        <v>14</v>
      </c>
      <c r="C4" t="s">
        <v>14</v>
      </c>
      <c r="E4">
        <v>46</v>
      </c>
      <c r="F4">
        <v>4.5999999999999996</v>
      </c>
      <c r="G4">
        <v>6</v>
      </c>
      <c r="H4">
        <v>4</v>
      </c>
      <c r="I4">
        <v>4</v>
      </c>
      <c r="J4">
        <v>5</v>
      </c>
      <c r="K4">
        <v>7.99</v>
      </c>
      <c r="L4">
        <f t="shared" ref="L4:L61" si="0">D2+SUMPRODUCT($E$1:$J$1,E4:J4)</f>
        <v>6.6198651739879342</v>
      </c>
      <c r="M4" s="15">
        <f t="shared" ref="M4:M61" si="1">K4-L4</f>
        <v>1.370134826012066</v>
      </c>
      <c r="N4" s="14">
        <f t="shared" ref="N4:N61" si="2">ABS(M4)</f>
        <v>1.370134826012066</v>
      </c>
      <c r="O4" s="13">
        <f t="shared" ref="O4:O61" si="3">N4/ABS(K4)</f>
        <v>0.17148120475745507</v>
      </c>
      <c r="P4" s="14">
        <f t="shared" ref="P4:P61" si="4">POWER(M4,2)</f>
        <v>1.8772694414511144</v>
      </c>
      <c r="Q4">
        <f t="shared" ref="Q4:Q61" si="5">POWER(LOG10(1+K4)-LOG10(1+L4),2)</f>
        <v>5.1570214743857307E-3</v>
      </c>
      <c r="R4" s="15">
        <f t="shared" ref="R4:R61" si="6">POWER(K4-$M$1,2)</f>
        <v>3.2144235564492925</v>
      </c>
      <c r="S4">
        <f t="shared" ref="S4:S61" si="7">ABS(K4-$M$1)</f>
        <v>1.7928813559322023</v>
      </c>
      <c r="T4" s="15"/>
    </row>
    <row r="5" spans="1:20" x14ac:dyDescent="0.3">
      <c r="A5" t="s">
        <v>13</v>
      </c>
      <c r="B5" t="s">
        <v>14</v>
      </c>
      <c r="C5" t="s">
        <v>11</v>
      </c>
      <c r="E5">
        <v>60</v>
      </c>
      <c r="F5">
        <v>3.5</v>
      </c>
      <c r="G5">
        <v>5</v>
      </c>
      <c r="H5">
        <v>2</v>
      </c>
      <c r="I5">
        <v>6</v>
      </c>
      <c r="J5">
        <v>5</v>
      </c>
      <c r="K5">
        <v>5.6</v>
      </c>
      <c r="L5">
        <f t="shared" si="0"/>
        <v>6.9976489183621062</v>
      </c>
      <c r="M5" s="15">
        <f t="shared" si="1"/>
        <v>-1.3976489183621066</v>
      </c>
      <c r="N5" s="14">
        <f t="shared" si="2"/>
        <v>1.3976489183621066</v>
      </c>
      <c r="O5" s="13">
        <f t="shared" si="3"/>
        <v>0.24958016399323332</v>
      </c>
      <c r="P5" s="14">
        <f t="shared" si="4"/>
        <v>1.9534224989987665</v>
      </c>
      <c r="Q5">
        <f t="shared" si="5"/>
        <v>6.9586294533855626E-3</v>
      </c>
      <c r="R5" s="15">
        <f t="shared" si="6"/>
        <v>0.35655067509336591</v>
      </c>
      <c r="S5">
        <f t="shared" si="7"/>
        <v>0.59711864406779824</v>
      </c>
      <c r="T5" s="15"/>
    </row>
    <row r="6" spans="1:20" x14ac:dyDescent="0.3">
      <c r="A6" t="s">
        <v>15</v>
      </c>
      <c r="B6" t="s">
        <v>14</v>
      </c>
      <c r="C6" t="s">
        <v>14</v>
      </c>
      <c r="E6">
        <v>369</v>
      </c>
      <c r="F6">
        <v>15</v>
      </c>
      <c r="G6">
        <v>12</v>
      </c>
      <c r="H6">
        <v>2</v>
      </c>
      <c r="I6">
        <v>4</v>
      </c>
      <c r="J6">
        <v>4</v>
      </c>
      <c r="K6">
        <v>6.3</v>
      </c>
      <c r="L6">
        <f t="shared" si="0"/>
        <v>8.5177382952571747</v>
      </c>
      <c r="M6" s="15">
        <f t="shared" si="1"/>
        <v>-2.2177382952571749</v>
      </c>
      <c r="N6" s="14">
        <f t="shared" si="2"/>
        <v>2.2177382952571749</v>
      </c>
      <c r="O6" s="13">
        <f t="shared" si="3"/>
        <v>0.352021951628123</v>
      </c>
      <c r="P6" s="14">
        <f t="shared" si="4"/>
        <v>4.9183631462502007</v>
      </c>
      <c r="Q6">
        <f t="shared" si="5"/>
        <v>1.3273551229204452E-2</v>
      </c>
      <c r="R6" s="15">
        <f t="shared" si="6"/>
        <v>1.0584573398448422E-2</v>
      </c>
      <c r="S6">
        <f t="shared" si="7"/>
        <v>0.10288135593220193</v>
      </c>
      <c r="T6" s="15"/>
    </row>
    <row r="7" spans="1:20" x14ac:dyDescent="0.3">
      <c r="A7" t="s">
        <v>16</v>
      </c>
      <c r="B7" t="s">
        <v>14</v>
      </c>
      <c r="C7" t="s">
        <v>14</v>
      </c>
      <c r="E7">
        <v>78</v>
      </c>
      <c r="F7">
        <v>6</v>
      </c>
      <c r="G7">
        <v>13</v>
      </c>
      <c r="H7">
        <v>4</v>
      </c>
      <c r="I7">
        <v>6</v>
      </c>
      <c r="J7">
        <v>6</v>
      </c>
      <c r="K7">
        <v>8.6300000000000008</v>
      </c>
      <c r="L7">
        <f t="shared" si="0"/>
        <v>8.712913036298497</v>
      </c>
      <c r="M7" s="15">
        <f t="shared" si="1"/>
        <v>-8.2913036298496223E-2</v>
      </c>
      <c r="N7" s="14">
        <f t="shared" si="2"/>
        <v>8.2913036298496223E-2</v>
      </c>
      <c r="O7" s="13">
        <f t="shared" si="3"/>
        <v>9.6075360716681591E-3</v>
      </c>
      <c r="P7" s="14">
        <f t="shared" si="4"/>
        <v>6.8745715882357521E-3</v>
      </c>
      <c r="Q7">
        <f t="shared" si="5"/>
        <v>1.3862316619894777E-5</v>
      </c>
      <c r="R7" s="15">
        <f t="shared" si="6"/>
        <v>5.9189116920425144</v>
      </c>
      <c r="S7">
        <f t="shared" si="7"/>
        <v>2.4328813559322029</v>
      </c>
      <c r="T7" s="15"/>
    </row>
    <row r="8" spans="1:20" x14ac:dyDescent="0.3">
      <c r="A8" t="s">
        <v>17</v>
      </c>
      <c r="B8" t="s">
        <v>18</v>
      </c>
      <c r="C8" t="s">
        <v>18</v>
      </c>
      <c r="E8">
        <v>54</v>
      </c>
      <c r="F8">
        <v>5.8</v>
      </c>
      <c r="G8">
        <v>3</v>
      </c>
      <c r="H8">
        <v>4</v>
      </c>
      <c r="I8">
        <v>6</v>
      </c>
      <c r="J8">
        <v>6</v>
      </c>
      <c r="K8">
        <v>8.8000000000000007</v>
      </c>
      <c r="L8">
        <f t="shared" si="0"/>
        <v>8.1095566880045293</v>
      </c>
      <c r="M8" s="15">
        <f t="shared" si="1"/>
        <v>0.69044331199547138</v>
      </c>
      <c r="N8" s="14">
        <f t="shared" si="2"/>
        <v>0.69044331199547138</v>
      </c>
      <c r="O8" s="13">
        <f t="shared" si="3"/>
        <v>7.8459467272212646E-2</v>
      </c>
      <c r="P8" s="14">
        <f t="shared" si="4"/>
        <v>0.47671196707927582</v>
      </c>
      <c r="Q8">
        <f t="shared" si="5"/>
        <v>1.0067188389624253E-3</v>
      </c>
      <c r="R8" s="15">
        <f t="shared" si="6"/>
        <v>6.7749913530594625</v>
      </c>
      <c r="S8">
        <f t="shared" si="7"/>
        <v>2.6028813559322028</v>
      </c>
      <c r="T8" s="15"/>
    </row>
    <row r="9" spans="1:20" x14ac:dyDescent="0.3">
      <c r="A9" t="s">
        <v>13</v>
      </c>
      <c r="B9" t="s">
        <v>19</v>
      </c>
      <c r="C9" t="s">
        <v>19</v>
      </c>
      <c r="E9">
        <v>69.099999999999994</v>
      </c>
      <c r="F9">
        <v>4</v>
      </c>
      <c r="G9">
        <v>4.5</v>
      </c>
      <c r="H9">
        <v>3</v>
      </c>
      <c r="I9">
        <v>3</v>
      </c>
      <c r="J9">
        <v>4</v>
      </c>
      <c r="K9">
        <v>10</v>
      </c>
      <c r="L9">
        <f t="shared" si="0"/>
        <v>5.3727098822377855</v>
      </c>
      <c r="M9" s="15">
        <f t="shared" si="1"/>
        <v>4.6272901177622145</v>
      </c>
      <c r="N9" s="14">
        <f t="shared" si="2"/>
        <v>4.6272901177622145</v>
      </c>
      <c r="O9" s="13">
        <f t="shared" si="3"/>
        <v>0.46272901177622144</v>
      </c>
      <c r="P9" s="14">
        <f t="shared" si="4"/>
        <v>21.411813833939849</v>
      </c>
      <c r="Q9">
        <f t="shared" si="5"/>
        <v>5.6201491469775294E-2</v>
      </c>
      <c r="R9" s="15">
        <f t="shared" si="6"/>
        <v>14.461906607296743</v>
      </c>
      <c r="S9">
        <f t="shared" si="7"/>
        <v>3.8028813559322021</v>
      </c>
    </row>
    <row r="10" spans="1:20" x14ac:dyDescent="0.3">
      <c r="A10" t="s">
        <v>17</v>
      </c>
      <c r="B10" t="s">
        <v>20</v>
      </c>
      <c r="C10" t="s">
        <v>20</v>
      </c>
      <c r="E10">
        <v>36</v>
      </c>
      <c r="F10">
        <v>7</v>
      </c>
      <c r="G10">
        <v>3</v>
      </c>
      <c r="H10">
        <v>5</v>
      </c>
      <c r="I10">
        <v>3</v>
      </c>
      <c r="J10">
        <v>4</v>
      </c>
      <c r="K10">
        <v>5.6</v>
      </c>
      <c r="L10">
        <f t="shared" si="0"/>
        <v>5.7846929303602472</v>
      </c>
      <c r="M10" s="15">
        <f t="shared" si="1"/>
        <v>-0.18469293036024759</v>
      </c>
      <c r="N10" s="14">
        <f t="shared" si="2"/>
        <v>0.18469293036024759</v>
      </c>
      <c r="O10" s="13">
        <f t="shared" si="3"/>
        <v>3.2980880421472784E-2</v>
      </c>
      <c r="P10" s="14">
        <f t="shared" si="4"/>
        <v>3.4111478525055264E-2</v>
      </c>
      <c r="Q10">
        <f t="shared" si="5"/>
        <v>1.4367045483307944E-4</v>
      </c>
      <c r="R10" s="15">
        <f t="shared" si="6"/>
        <v>0.35655067509336591</v>
      </c>
      <c r="S10">
        <f t="shared" si="7"/>
        <v>0.59711864406779824</v>
      </c>
    </row>
    <row r="11" spans="1:20" x14ac:dyDescent="0.3">
      <c r="A11" t="s">
        <v>13</v>
      </c>
      <c r="B11" t="s">
        <v>21</v>
      </c>
      <c r="C11" t="s">
        <v>21</v>
      </c>
      <c r="E11">
        <v>100</v>
      </c>
      <c r="F11">
        <v>20</v>
      </c>
      <c r="G11">
        <v>12</v>
      </c>
      <c r="H11">
        <v>3</v>
      </c>
      <c r="I11">
        <v>4</v>
      </c>
      <c r="J11">
        <v>5</v>
      </c>
      <c r="K11">
        <v>6.5</v>
      </c>
      <c r="L11">
        <f t="shared" si="0"/>
        <v>7.8293501009425546</v>
      </c>
      <c r="M11" s="15">
        <f t="shared" si="1"/>
        <v>-1.3293501009425546</v>
      </c>
      <c r="N11" s="14">
        <f t="shared" si="2"/>
        <v>1.3293501009425546</v>
      </c>
      <c r="O11" s="13">
        <f t="shared" si="3"/>
        <v>0.20451540014500841</v>
      </c>
      <c r="P11" s="14">
        <f t="shared" si="4"/>
        <v>1.76717169087598</v>
      </c>
      <c r="Q11">
        <f t="shared" si="5"/>
        <v>5.022198926668978E-3</v>
      </c>
      <c r="R11" s="15">
        <f t="shared" si="6"/>
        <v>9.17371157713293E-2</v>
      </c>
      <c r="S11">
        <f t="shared" si="7"/>
        <v>0.30288135593220211</v>
      </c>
    </row>
    <row r="12" spans="1:20" x14ac:dyDescent="0.3">
      <c r="A12" t="s">
        <v>22</v>
      </c>
      <c r="B12" t="s">
        <v>23</v>
      </c>
      <c r="C12" t="s">
        <v>23</v>
      </c>
      <c r="E12">
        <v>151</v>
      </c>
      <c r="F12">
        <v>4</v>
      </c>
      <c r="G12">
        <v>6</v>
      </c>
      <c r="H12">
        <v>2</v>
      </c>
      <c r="I12">
        <v>4</v>
      </c>
      <c r="J12">
        <v>3</v>
      </c>
      <c r="K12">
        <v>3.2</v>
      </c>
      <c r="L12">
        <f t="shared" si="0"/>
        <v>5.6043316146084976</v>
      </c>
      <c r="M12" s="15">
        <f t="shared" si="1"/>
        <v>-2.4043316146084974</v>
      </c>
      <c r="N12" s="14">
        <f t="shared" si="2"/>
        <v>2.4043316146084974</v>
      </c>
      <c r="O12" s="13">
        <f t="shared" si="3"/>
        <v>0.75135362956515539</v>
      </c>
      <c r="P12" s="14">
        <f t="shared" si="4"/>
        <v>5.7808105130059042</v>
      </c>
      <c r="Q12">
        <f t="shared" si="5"/>
        <v>3.8643531822377862E-2</v>
      </c>
      <c r="R12" s="15">
        <f t="shared" si="6"/>
        <v>8.9827201666187939</v>
      </c>
      <c r="S12">
        <f t="shared" si="7"/>
        <v>2.9971186440677977</v>
      </c>
    </row>
    <row r="13" spans="1:20" x14ac:dyDescent="0.3">
      <c r="A13" t="s">
        <v>17</v>
      </c>
      <c r="B13" t="s">
        <v>18</v>
      </c>
      <c r="C13" t="s">
        <v>18</v>
      </c>
      <c r="E13">
        <v>33</v>
      </c>
      <c r="F13">
        <v>3</v>
      </c>
      <c r="G13">
        <v>2</v>
      </c>
      <c r="H13">
        <v>5</v>
      </c>
      <c r="I13">
        <v>3</v>
      </c>
      <c r="J13">
        <v>4</v>
      </c>
      <c r="K13">
        <v>4.4800000000000004</v>
      </c>
      <c r="L13">
        <f t="shared" si="0"/>
        <v>5.4995777616592125</v>
      </c>
      <c r="M13" s="15">
        <f t="shared" si="1"/>
        <v>-1.0195777616592121</v>
      </c>
      <c r="N13" s="14">
        <f t="shared" si="2"/>
        <v>1.0195777616592121</v>
      </c>
      <c r="O13" s="13">
        <f t="shared" si="3"/>
        <v>0.22758432179893126</v>
      </c>
      <c r="P13" s="14">
        <f t="shared" si="4"/>
        <v>1.0395388120700091</v>
      </c>
      <c r="Q13">
        <f t="shared" si="5"/>
        <v>5.4914896044949658E-3</v>
      </c>
      <c r="R13" s="15">
        <f t="shared" si="6"/>
        <v>2.9484964378052312</v>
      </c>
      <c r="S13">
        <f t="shared" si="7"/>
        <v>1.7171186440677975</v>
      </c>
    </row>
    <row r="14" spans="1:20" x14ac:dyDescent="0.3">
      <c r="A14" t="s">
        <v>13</v>
      </c>
      <c r="B14" t="s">
        <v>19</v>
      </c>
      <c r="C14" t="s">
        <v>19</v>
      </c>
      <c r="E14">
        <v>38</v>
      </c>
      <c r="F14">
        <v>4.2</v>
      </c>
      <c r="G14">
        <v>6</v>
      </c>
      <c r="H14">
        <v>4</v>
      </c>
      <c r="I14">
        <v>3</v>
      </c>
      <c r="J14">
        <v>4</v>
      </c>
      <c r="K14">
        <v>6.78</v>
      </c>
      <c r="L14">
        <f t="shared" si="0"/>
        <v>5.5056153355618864</v>
      </c>
      <c r="M14" s="15">
        <f t="shared" si="1"/>
        <v>1.2743846644381138</v>
      </c>
      <c r="N14" s="14">
        <f t="shared" si="2"/>
        <v>1.2743846644381138</v>
      </c>
      <c r="O14" s="13">
        <f t="shared" si="3"/>
        <v>0.18796233988762739</v>
      </c>
      <c r="P14" s="14">
        <f t="shared" si="4"/>
        <v>1.6240562729550441</v>
      </c>
      <c r="Q14">
        <f t="shared" si="5"/>
        <v>6.0359250865234162E-3</v>
      </c>
      <c r="R14" s="15">
        <f t="shared" si="6"/>
        <v>0.33975067509336276</v>
      </c>
      <c r="S14">
        <f t="shared" si="7"/>
        <v>0.58288135593220236</v>
      </c>
    </row>
    <row r="15" spans="1:20" x14ac:dyDescent="0.3">
      <c r="A15" t="s">
        <v>24</v>
      </c>
      <c r="B15" t="s">
        <v>12</v>
      </c>
      <c r="C15" t="s">
        <v>12</v>
      </c>
      <c r="E15">
        <v>180</v>
      </c>
      <c r="F15">
        <v>9</v>
      </c>
      <c r="G15">
        <v>40</v>
      </c>
      <c r="H15">
        <v>3</v>
      </c>
      <c r="I15">
        <v>5</v>
      </c>
      <c r="J15">
        <v>4</v>
      </c>
      <c r="K15">
        <v>9.6999999999999993</v>
      </c>
      <c r="L15">
        <f t="shared" si="0"/>
        <v>8.8460993908016512</v>
      </c>
      <c r="M15" s="15">
        <f t="shared" si="1"/>
        <v>0.85390060919834809</v>
      </c>
      <c r="N15" s="14">
        <f t="shared" si="2"/>
        <v>0.85390060919834809</v>
      </c>
      <c r="O15" s="13">
        <f t="shared" si="3"/>
        <v>8.8030990639004963E-2</v>
      </c>
      <c r="P15" s="14">
        <f t="shared" si="4"/>
        <v>0.72914625038931002</v>
      </c>
      <c r="Q15">
        <f t="shared" si="5"/>
        <v>1.3046227785264994E-3</v>
      </c>
      <c r="R15" s="15">
        <f t="shared" si="6"/>
        <v>12.270177793737417</v>
      </c>
      <c r="S15">
        <f t="shared" si="7"/>
        <v>3.5028813559322014</v>
      </c>
    </row>
    <row r="16" spans="1:20" x14ac:dyDescent="0.3">
      <c r="A16" t="s">
        <v>17</v>
      </c>
      <c r="B16" t="s">
        <v>12</v>
      </c>
      <c r="C16" t="s">
        <v>12</v>
      </c>
      <c r="E16">
        <v>33</v>
      </c>
      <c r="F16">
        <v>4.5</v>
      </c>
      <c r="G16">
        <v>2.5</v>
      </c>
      <c r="H16">
        <v>5</v>
      </c>
      <c r="I16">
        <v>3</v>
      </c>
      <c r="J16">
        <v>4</v>
      </c>
      <c r="K16">
        <v>4.1500000000000004</v>
      </c>
      <c r="L16">
        <f t="shared" si="0"/>
        <v>5.6043104099688215</v>
      </c>
      <c r="M16" s="15">
        <f t="shared" si="1"/>
        <v>-1.4543104099688211</v>
      </c>
      <c r="N16" s="14">
        <f t="shared" si="2"/>
        <v>1.4543104099688211</v>
      </c>
      <c r="O16" s="13">
        <f t="shared" si="3"/>
        <v>0.35043624336598095</v>
      </c>
      <c r="P16" s="14">
        <f t="shared" si="4"/>
        <v>2.1150187685436803</v>
      </c>
      <c r="Q16">
        <f t="shared" si="5"/>
        <v>1.1668374054720017E-2</v>
      </c>
      <c r="R16" s="15">
        <f t="shared" si="6"/>
        <v>4.1906947428899777</v>
      </c>
      <c r="S16">
        <f t="shared" si="7"/>
        <v>2.0471186440677975</v>
      </c>
    </row>
    <row r="17" spans="1:19" x14ac:dyDescent="0.3">
      <c r="A17" t="s">
        <v>13</v>
      </c>
      <c r="B17" t="s">
        <v>23</v>
      </c>
      <c r="C17" t="s">
        <v>23</v>
      </c>
      <c r="E17">
        <v>64</v>
      </c>
      <c r="F17">
        <v>4</v>
      </c>
      <c r="G17">
        <v>6</v>
      </c>
      <c r="H17">
        <v>5</v>
      </c>
      <c r="I17">
        <v>4</v>
      </c>
      <c r="J17">
        <v>5</v>
      </c>
      <c r="K17">
        <v>6.7</v>
      </c>
      <c r="L17">
        <f t="shared" si="0"/>
        <v>6.9741795341768924</v>
      </c>
      <c r="M17" s="15">
        <f t="shared" si="1"/>
        <v>-0.27417953417689223</v>
      </c>
      <c r="N17" s="14">
        <f t="shared" si="2"/>
        <v>0.27417953417689223</v>
      </c>
      <c r="O17" s="13">
        <f t="shared" si="3"/>
        <v>4.0922318533864507E-2</v>
      </c>
      <c r="P17" s="14">
        <f t="shared" si="4"/>
        <v>7.5174416961457616E-2</v>
      </c>
      <c r="Q17">
        <f t="shared" si="5"/>
        <v>2.3089666071803448E-4</v>
      </c>
      <c r="R17" s="15">
        <f t="shared" si="6"/>
        <v>0.25288965814421033</v>
      </c>
      <c r="S17">
        <f t="shared" si="7"/>
        <v>0.50288135593220229</v>
      </c>
    </row>
    <row r="18" spans="1:19" x14ac:dyDescent="0.3">
      <c r="A18" t="s">
        <v>17</v>
      </c>
      <c r="B18" t="s">
        <v>11</v>
      </c>
      <c r="C18" t="s">
        <v>11</v>
      </c>
      <c r="E18">
        <v>53</v>
      </c>
      <c r="F18">
        <v>4.3</v>
      </c>
      <c r="G18">
        <v>22</v>
      </c>
      <c r="H18">
        <v>5</v>
      </c>
      <c r="I18">
        <v>6</v>
      </c>
      <c r="J18">
        <v>5</v>
      </c>
      <c r="K18">
        <v>6.39</v>
      </c>
      <c r="L18">
        <f t="shared" si="0"/>
        <v>8.5266307530289662</v>
      </c>
      <c r="M18" s="15">
        <f t="shared" si="1"/>
        <v>-2.1366307530289665</v>
      </c>
      <c r="N18" s="14">
        <f t="shared" si="2"/>
        <v>2.1366307530289665</v>
      </c>
      <c r="O18" s="13">
        <f t="shared" si="3"/>
        <v>0.33437100986368806</v>
      </c>
      <c r="P18" s="14">
        <f t="shared" si="4"/>
        <v>4.5651909747891288</v>
      </c>
      <c r="Q18">
        <f t="shared" si="5"/>
        <v>1.2164963671941406E-2</v>
      </c>
      <c r="R18" s="15">
        <f t="shared" si="6"/>
        <v>3.7203217466244713E-2</v>
      </c>
      <c r="S18">
        <f t="shared" si="7"/>
        <v>0.19288135593220179</v>
      </c>
    </row>
    <row r="19" spans="1:19" x14ac:dyDescent="0.3">
      <c r="A19" t="s">
        <v>13</v>
      </c>
      <c r="B19" t="s">
        <v>18</v>
      </c>
      <c r="C19" t="s">
        <v>18</v>
      </c>
      <c r="E19">
        <v>31</v>
      </c>
      <c r="F19">
        <v>6.2</v>
      </c>
      <c r="G19">
        <v>6</v>
      </c>
      <c r="H19">
        <v>3</v>
      </c>
      <c r="I19">
        <v>4</v>
      </c>
      <c r="J19">
        <v>3</v>
      </c>
      <c r="K19">
        <v>6.8</v>
      </c>
      <c r="L19">
        <f t="shared" si="0"/>
        <v>5.1853387641708135</v>
      </c>
      <c r="M19" s="15">
        <f t="shared" si="1"/>
        <v>1.6146612358291863</v>
      </c>
      <c r="N19" s="14">
        <f t="shared" si="2"/>
        <v>1.6146612358291863</v>
      </c>
      <c r="O19" s="13">
        <f t="shared" si="3"/>
        <v>0.23745018173958624</v>
      </c>
      <c r="P19" s="14">
        <f t="shared" si="4"/>
        <v>2.6071309064894352</v>
      </c>
      <c r="Q19">
        <f t="shared" si="5"/>
        <v>1.0146756974109081E-2</v>
      </c>
      <c r="R19" s="15">
        <f t="shared" si="6"/>
        <v>0.36346592933065036</v>
      </c>
      <c r="S19">
        <f t="shared" si="7"/>
        <v>0.60288135593220193</v>
      </c>
    </row>
    <row r="20" spans="1:19" x14ac:dyDescent="0.3">
      <c r="A20" t="s">
        <v>25</v>
      </c>
      <c r="B20" t="s">
        <v>20</v>
      </c>
      <c r="C20" t="s">
        <v>20</v>
      </c>
      <c r="E20">
        <v>65</v>
      </c>
      <c r="F20">
        <v>5.5</v>
      </c>
      <c r="G20">
        <v>7</v>
      </c>
      <c r="H20">
        <v>3</v>
      </c>
      <c r="I20">
        <v>3</v>
      </c>
      <c r="J20">
        <v>3</v>
      </c>
      <c r="K20">
        <v>4.7</v>
      </c>
      <c r="L20">
        <f t="shared" si="0"/>
        <v>4.9580761493548025</v>
      </c>
      <c r="M20" s="15">
        <f t="shared" si="1"/>
        <v>-0.25807614935480228</v>
      </c>
      <c r="N20" s="14">
        <f t="shared" si="2"/>
        <v>0.25807614935480228</v>
      </c>
      <c r="O20" s="13">
        <f t="shared" si="3"/>
        <v>5.4909819011660053E-2</v>
      </c>
      <c r="P20" s="14">
        <f t="shared" si="4"/>
        <v>6.6603298865802213E-2</v>
      </c>
      <c r="Q20">
        <f t="shared" si="5"/>
        <v>3.6983881882957515E-4</v>
      </c>
      <c r="R20" s="15">
        <f t="shared" si="6"/>
        <v>2.2413642344154012</v>
      </c>
      <c r="S20">
        <f t="shared" si="7"/>
        <v>1.4971186440677977</v>
      </c>
    </row>
    <row r="21" spans="1:19" x14ac:dyDescent="0.3">
      <c r="A21" t="s">
        <v>17</v>
      </c>
      <c r="B21" t="s">
        <v>14</v>
      </c>
      <c r="C21" t="s">
        <v>19</v>
      </c>
      <c r="E21">
        <v>45</v>
      </c>
      <c r="F21">
        <v>3.5</v>
      </c>
      <c r="G21">
        <v>2</v>
      </c>
      <c r="H21">
        <v>4</v>
      </c>
      <c r="I21">
        <v>4</v>
      </c>
      <c r="J21">
        <v>3</v>
      </c>
      <c r="K21">
        <v>4.95</v>
      </c>
      <c r="L21">
        <f t="shared" si="0"/>
        <v>5.2239580831885144</v>
      </c>
      <c r="M21" s="15">
        <f t="shared" si="1"/>
        <v>-0.27395808318851422</v>
      </c>
      <c r="N21" s="14">
        <f t="shared" si="2"/>
        <v>0.27395808318851422</v>
      </c>
      <c r="O21" s="13">
        <f t="shared" si="3"/>
        <v>5.5345067310810951E-2</v>
      </c>
      <c r="P21" s="14">
        <f t="shared" si="4"/>
        <v>7.505303134432488E-2</v>
      </c>
      <c r="Q21">
        <f t="shared" si="5"/>
        <v>3.8219051193575634E-4</v>
      </c>
      <c r="R21" s="15">
        <f t="shared" si="6"/>
        <v>1.5553049123815024</v>
      </c>
      <c r="S21">
        <f t="shared" si="7"/>
        <v>1.2471186440677977</v>
      </c>
    </row>
    <row r="22" spans="1:19" x14ac:dyDescent="0.3">
      <c r="A22" t="s">
        <v>17</v>
      </c>
      <c r="B22" t="s">
        <v>11</v>
      </c>
      <c r="C22" t="s">
        <v>11</v>
      </c>
      <c r="E22">
        <v>30</v>
      </c>
      <c r="F22">
        <v>6</v>
      </c>
      <c r="G22">
        <v>2</v>
      </c>
      <c r="H22">
        <v>6</v>
      </c>
      <c r="I22">
        <v>3</v>
      </c>
      <c r="J22">
        <v>4</v>
      </c>
      <c r="K22">
        <v>4.5999999999999996</v>
      </c>
      <c r="L22">
        <f t="shared" si="0"/>
        <v>5.9122491892928988</v>
      </c>
      <c r="M22" s="15">
        <f t="shared" si="1"/>
        <v>-1.3122491892928991</v>
      </c>
      <c r="N22" s="14">
        <f t="shared" si="2"/>
        <v>1.3122491892928991</v>
      </c>
      <c r="O22" s="13">
        <f t="shared" si="3"/>
        <v>0.28527156288976069</v>
      </c>
      <c r="P22" s="14">
        <f t="shared" si="4"/>
        <v>1.7219979347998711</v>
      </c>
      <c r="Q22">
        <f t="shared" si="5"/>
        <v>8.3596934512253519E-3</v>
      </c>
      <c r="R22" s="15">
        <f t="shared" si="6"/>
        <v>2.5507879632289625</v>
      </c>
      <c r="S22">
        <f t="shared" si="7"/>
        <v>1.5971186440677982</v>
      </c>
    </row>
    <row r="23" spans="1:19" x14ac:dyDescent="0.3">
      <c r="A23" t="s">
        <v>17</v>
      </c>
      <c r="B23" t="s">
        <v>11</v>
      </c>
      <c r="C23" t="s">
        <v>11</v>
      </c>
      <c r="E23">
        <v>42</v>
      </c>
      <c r="F23">
        <v>5.6</v>
      </c>
      <c r="G23">
        <v>3</v>
      </c>
      <c r="H23">
        <v>5</v>
      </c>
      <c r="I23">
        <v>3</v>
      </c>
      <c r="J23">
        <v>4</v>
      </c>
      <c r="K23">
        <v>8.5</v>
      </c>
      <c r="L23">
        <f t="shared" si="0"/>
        <v>5.7474189967069647</v>
      </c>
      <c r="M23" s="15">
        <f t="shared" si="1"/>
        <v>2.7525810032930353</v>
      </c>
      <c r="N23" s="14">
        <f t="shared" si="2"/>
        <v>2.7525810032930353</v>
      </c>
      <c r="O23" s="13">
        <f t="shared" si="3"/>
        <v>0.32383305921094535</v>
      </c>
      <c r="P23" s="14">
        <f t="shared" si="4"/>
        <v>7.5767021796896934</v>
      </c>
      <c r="Q23">
        <f t="shared" si="5"/>
        <v>2.2077777336403884E-2</v>
      </c>
      <c r="R23" s="15">
        <f t="shared" si="6"/>
        <v>5.303262539500138</v>
      </c>
      <c r="S23">
        <f t="shared" si="7"/>
        <v>2.3028813559322021</v>
      </c>
    </row>
    <row r="24" spans="1:19" x14ac:dyDescent="0.3">
      <c r="A24" t="s">
        <v>17</v>
      </c>
      <c r="B24" t="s">
        <v>20</v>
      </c>
      <c r="C24" t="s">
        <v>20</v>
      </c>
      <c r="E24">
        <v>40</v>
      </c>
      <c r="F24">
        <v>4.25</v>
      </c>
      <c r="G24">
        <v>3</v>
      </c>
      <c r="H24">
        <v>5</v>
      </c>
      <c r="I24">
        <v>4</v>
      </c>
      <c r="J24">
        <v>4</v>
      </c>
      <c r="K24">
        <v>6.3</v>
      </c>
      <c r="L24">
        <f t="shared" si="0"/>
        <v>6.1193878074984749</v>
      </c>
      <c r="M24" s="15">
        <f t="shared" si="1"/>
        <v>0.18061219250152494</v>
      </c>
      <c r="N24" s="14">
        <f t="shared" si="2"/>
        <v>0.18061219250152494</v>
      </c>
      <c r="O24" s="13">
        <f t="shared" si="3"/>
        <v>2.866860198436904E-2</v>
      </c>
      <c r="P24" s="14">
        <f t="shared" si="4"/>
        <v>3.2620764080207899E-2</v>
      </c>
      <c r="Q24">
        <f t="shared" si="5"/>
        <v>1.1837896175676262E-4</v>
      </c>
      <c r="R24" s="15">
        <f t="shared" si="6"/>
        <v>1.0584573398448422E-2</v>
      </c>
      <c r="S24">
        <f t="shared" si="7"/>
        <v>0.10288135593220193</v>
      </c>
    </row>
    <row r="25" spans="1:19" x14ac:dyDescent="0.3">
      <c r="A25" t="s">
        <v>13</v>
      </c>
      <c r="B25" t="s">
        <v>21</v>
      </c>
      <c r="C25" t="s">
        <v>21</v>
      </c>
      <c r="E25">
        <v>52</v>
      </c>
      <c r="F25">
        <v>4.5</v>
      </c>
      <c r="G25">
        <v>8</v>
      </c>
      <c r="H25">
        <v>4</v>
      </c>
      <c r="I25">
        <v>4</v>
      </c>
      <c r="J25">
        <v>3</v>
      </c>
      <c r="K25">
        <v>7.2</v>
      </c>
      <c r="L25">
        <f t="shared" si="0"/>
        <v>5.5849845337044366</v>
      </c>
      <c r="M25" s="15">
        <f t="shared" si="1"/>
        <v>1.6150154662955636</v>
      </c>
      <c r="N25" s="14">
        <f t="shared" si="2"/>
        <v>1.6150154662955636</v>
      </c>
      <c r="O25" s="13">
        <f t="shared" si="3"/>
        <v>0.2243077036521616</v>
      </c>
      <c r="P25" s="14">
        <f t="shared" si="4"/>
        <v>2.6082749563738767</v>
      </c>
      <c r="Q25">
        <f t="shared" si="5"/>
        <v>9.074294822341426E-3</v>
      </c>
      <c r="R25" s="15">
        <f t="shared" si="6"/>
        <v>1.0057710140764127</v>
      </c>
      <c r="S25">
        <f t="shared" si="7"/>
        <v>1.0028813559322023</v>
      </c>
    </row>
    <row r="26" spans="1:19" x14ac:dyDescent="0.3">
      <c r="A26" t="s">
        <v>17</v>
      </c>
      <c r="B26" t="s">
        <v>21</v>
      </c>
      <c r="C26" t="s">
        <v>21</v>
      </c>
      <c r="E26">
        <v>34</v>
      </c>
      <c r="F26">
        <v>4.25</v>
      </c>
      <c r="G26">
        <v>3</v>
      </c>
      <c r="H26">
        <v>3</v>
      </c>
      <c r="I26">
        <v>3</v>
      </c>
      <c r="J26">
        <v>3</v>
      </c>
      <c r="K26">
        <v>2.1</v>
      </c>
      <c r="L26">
        <f t="shared" si="0"/>
        <v>4.507841296652086</v>
      </c>
      <c r="M26" s="15">
        <f t="shared" si="1"/>
        <v>-2.4078412966520859</v>
      </c>
      <c r="N26" s="14">
        <f t="shared" si="2"/>
        <v>2.4078412966520859</v>
      </c>
      <c r="O26" s="13">
        <f t="shared" si="3"/>
        <v>1.1465910936438504</v>
      </c>
      <c r="P26" s="14">
        <f t="shared" si="4"/>
        <v>5.7976997098631982</v>
      </c>
      <c r="Q26">
        <f t="shared" si="5"/>
        <v>6.2310006678462447E-2</v>
      </c>
      <c r="R26" s="15">
        <f t="shared" si="6"/>
        <v>16.786381183567954</v>
      </c>
      <c r="S26">
        <f t="shared" si="7"/>
        <v>4.0971186440677982</v>
      </c>
    </row>
    <row r="27" spans="1:19" x14ac:dyDescent="0.3">
      <c r="A27" t="s">
        <v>13</v>
      </c>
      <c r="B27" t="s">
        <v>20</v>
      </c>
      <c r="C27" t="s">
        <v>20</v>
      </c>
      <c r="E27">
        <v>51</v>
      </c>
      <c r="F27">
        <v>4.2</v>
      </c>
      <c r="G27">
        <v>12</v>
      </c>
      <c r="H27">
        <v>2</v>
      </c>
      <c r="I27">
        <v>3</v>
      </c>
      <c r="J27">
        <v>4</v>
      </c>
      <c r="K27">
        <v>6</v>
      </c>
      <c r="L27">
        <f t="shared" si="0"/>
        <v>5.3186131628941347</v>
      </c>
      <c r="M27" s="15">
        <f t="shared" si="1"/>
        <v>0.68138683710586534</v>
      </c>
      <c r="N27" s="14">
        <f t="shared" si="2"/>
        <v>0.68138683710586534</v>
      </c>
      <c r="O27" s="13">
        <f t="shared" si="3"/>
        <v>0.11356447285097755</v>
      </c>
      <c r="P27" s="14">
        <f t="shared" si="4"/>
        <v>0.46428802178113504</v>
      </c>
      <c r="Q27">
        <f t="shared" si="5"/>
        <v>1.9781387836885116E-3</v>
      </c>
      <c r="R27" s="15">
        <f t="shared" si="6"/>
        <v>3.8855759839127195E-2</v>
      </c>
      <c r="S27">
        <f t="shared" si="7"/>
        <v>0.19711864406779789</v>
      </c>
    </row>
    <row r="28" spans="1:19" x14ac:dyDescent="0.3">
      <c r="A28" t="s">
        <v>17</v>
      </c>
      <c r="B28" t="s">
        <v>14</v>
      </c>
      <c r="C28" t="s">
        <v>14</v>
      </c>
      <c r="E28">
        <v>40</v>
      </c>
      <c r="F28">
        <v>3.7</v>
      </c>
      <c r="G28">
        <v>4</v>
      </c>
      <c r="H28">
        <v>6</v>
      </c>
      <c r="I28">
        <v>4</v>
      </c>
      <c r="J28">
        <v>4</v>
      </c>
      <c r="K28">
        <v>3.25</v>
      </c>
      <c r="L28">
        <f t="shared" si="0"/>
        <v>6.3984299133868134</v>
      </c>
      <c r="M28" s="15">
        <f t="shared" si="1"/>
        <v>-3.1484299133868134</v>
      </c>
      <c r="N28" s="14">
        <f t="shared" si="2"/>
        <v>3.1484299133868134</v>
      </c>
      <c r="O28" s="13">
        <f t="shared" si="3"/>
        <v>0.96874766565748105</v>
      </c>
      <c r="P28" s="14">
        <f t="shared" si="4"/>
        <v>9.9126109195088983</v>
      </c>
      <c r="Q28">
        <f t="shared" si="5"/>
        <v>5.7960867754218548E-2</v>
      </c>
      <c r="R28" s="15">
        <f t="shared" si="6"/>
        <v>8.6855083022120159</v>
      </c>
      <c r="S28">
        <f t="shared" si="7"/>
        <v>2.9471186440677979</v>
      </c>
    </row>
    <row r="29" spans="1:19" x14ac:dyDescent="0.3">
      <c r="A29" t="s">
        <v>17</v>
      </c>
      <c r="B29" t="s">
        <v>20</v>
      </c>
      <c r="C29" t="s">
        <v>20</v>
      </c>
      <c r="E29">
        <v>30</v>
      </c>
      <c r="F29">
        <v>3.4</v>
      </c>
      <c r="G29">
        <v>4</v>
      </c>
      <c r="H29">
        <v>5</v>
      </c>
      <c r="I29">
        <v>3</v>
      </c>
      <c r="J29">
        <v>4</v>
      </c>
      <c r="K29">
        <v>4.0999999999999996</v>
      </c>
      <c r="L29">
        <f t="shared" si="0"/>
        <v>5.5877293892988336</v>
      </c>
      <c r="M29" s="15">
        <f t="shared" si="1"/>
        <v>-1.4877293892988339</v>
      </c>
      <c r="N29" s="14">
        <f t="shared" si="2"/>
        <v>1.4877293892988339</v>
      </c>
      <c r="O29" s="13">
        <f t="shared" si="3"/>
        <v>0.3628608266582522</v>
      </c>
      <c r="P29" s="14">
        <f t="shared" si="4"/>
        <v>2.2133387357834815</v>
      </c>
      <c r="Q29">
        <f t="shared" si="5"/>
        <v>1.2357785025179993E-2</v>
      </c>
      <c r="R29" s="15">
        <f t="shared" si="6"/>
        <v>4.3979066072967603</v>
      </c>
      <c r="S29">
        <f t="shared" si="7"/>
        <v>2.0971186440677982</v>
      </c>
    </row>
    <row r="30" spans="1:19" x14ac:dyDescent="0.3">
      <c r="A30" t="s">
        <v>17</v>
      </c>
      <c r="B30" t="s">
        <v>12</v>
      </c>
      <c r="C30" t="s">
        <v>12</v>
      </c>
      <c r="E30">
        <v>45</v>
      </c>
      <c r="F30">
        <v>4.3</v>
      </c>
      <c r="G30">
        <v>5</v>
      </c>
      <c r="H30">
        <v>3</v>
      </c>
      <c r="I30">
        <v>3</v>
      </c>
      <c r="J30">
        <v>3</v>
      </c>
      <c r="K30">
        <v>2.65</v>
      </c>
      <c r="L30">
        <f t="shared" si="0"/>
        <v>4.670787047816205</v>
      </c>
      <c r="M30" s="15">
        <f t="shared" si="1"/>
        <v>-2.0207870478162051</v>
      </c>
      <c r="N30" s="14">
        <f t="shared" si="2"/>
        <v>2.0207870478162051</v>
      </c>
      <c r="O30" s="13">
        <f t="shared" si="3"/>
        <v>0.76256115011932268</v>
      </c>
      <c r="P30" s="14">
        <f t="shared" si="4"/>
        <v>4.0835802926217335</v>
      </c>
      <c r="Q30">
        <f t="shared" si="5"/>
        <v>3.6615004013223366E-2</v>
      </c>
      <c r="R30" s="15">
        <f t="shared" si="6"/>
        <v>12.582050675093374</v>
      </c>
      <c r="S30">
        <f t="shared" si="7"/>
        <v>3.547118644067798</v>
      </c>
    </row>
    <row r="31" spans="1:19" x14ac:dyDescent="0.3">
      <c r="A31" t="s">
        <v>17</v>
      </c>
      <c r="B31" t="s">
        <v>18</v>
      </c>
      <c r="C31" t="s">
        <v>18</v>
      </c>
      <c r="E31">
        <v>31</v>
      </c>
      <c r="F31">
        <v>3.6</v>
      </c>
      <c r="G31">
        <v>3</v>
      </c>
      <c r="H31">
        <v>5</v>
      </c>
      <c r="I31">
        <v>4</v>
      </c>
      <c r="J31">
        <v>3</v>
      </c>
      <c r="K31">
        <v>4.55</v>
      </c>
      <c r="L31">
        <f t="shared" si="0"/>
        <v>5.4448449194773767</v>
      </c>
      <c r="M31" s="15">
        <f t="shared" si="1"/>
        <v>-0.89484491947737688</v>
      </c>
      <c r="N31" s="14">
        <f t="shared" si="2"/>
        <v>0.89484491947737688</v>
      </c>
      <c r="O31" s="13">
        <f t="shared" si="3"/>
        <v>0.19666921307195098</v>
      </c>
      <c r="P31" s="14">
        <f t="shared" si="4"/>
        <v>0.80074742991447312</v>
      </c>
      <c r="Q31">
        <f t="shared" si="5"/>
        <v>4.2145399720857719E-3</v>
      </c>
      <c r="R31" s="15">
        <f t="shared" si="6"/>
        <v>2.7129998276357417</v>
      </c>
      <c r="S31">
        <f t="shared" si="7"/>
        <v>1.6471186440677981</v>
      </c>
    </row>
    <row r="32" spans="1:19" x14ac:dyDescent="0.3">
      <c r="A32" t="s">
        <v>17</v>
      </c>
      <c r="B32" t="s">
        <v>11</v>
      </c>
      <c r="C32" t="s">
        <v>11</v>
      </c>
      <c r="E32">
        <v>35</v>
      </c>
      <c r="F32">
        <v>4</v>
      </c>
      <c r="G32">
        <v>5</v>
      </c>
      <c r="H32">
        <v>4</v>
      </c>
      <c r="I32">
        <v>4</v>
      </c>
      <c r="J32">
        <v>3</v>
      </c>
      <c r="K32">
        <v>6.5</v>
      </c>
      <c r="L32">
        <f t="shared" si="0"/>
        <v>5.313629692953632</v>
      </c>
      <c r="M32" s="15">
        <f t="shared" si="1"/>
        <v>1.186370307046368</v>
      </c>
      <c r="N32" s="14">
        <f t="shared" si="2"/>
        <v>1.186370307046368</v>
      </c>
      <c r="O32" s="13">
        <f t="shared" si="3"/>
        <v>0.1825185087763643</v>
      </c>
      <c r="P32" s="14">
        <f t="shared" si="4"/>
        <v>1.4074745054412936</v>
      </c>
      <c r="Q32">
        <f t="shared" si="5"/>
        <v>5.5923710550891837E-3</v>
      </c>
      <c r="R32" s="15">
        <f t="shared" si="6"/>
        <v>9.17371157713293E-2</v>
      </c>
      <c r="S32">
        <f t="shared" si="7"/>
        <v>0.30288135593220211</v>
      </c>
    </row>
    <row r="33" spans="1:19" x14ac:dyDescent="0.3">
      <c r="A33" t="s">
        <v>16</v>
      </c>
      <c r="B33" t="s">
        <v>14</v>
      </c>
      <c r="C33" t="s">
        <v>14</v>
      </c>
      <c r="E33">
        <v>60</v>
      </c>
      <c r="F33">
        <v>4</v>
      </c>
      <c r="G33">
        <v>13</v>
      </c>
      <c r="H33">
        <v>5</v>
      </c>
      <c r="I33">
        <v>5</v>
      </c>
      <c r="J33">
        <v>5</v>
      </c>
      <c r="K33">
        <v>8.6</v>
      </c>
      <c r="L33">
        <f t="shared" si="0"/>
        <v>7.7091024721039556</v>
      </c>
      <c r="M33" s="15">
        <f t="shared" si="1"/>
        <v>0.89089752789604404</v>
      </c>
      <c r="N33" s="14">
        <f t="shared" si="2"/>
        <v>0.89089752789604404</v>
      </c>
      <c r="O33" s="13">
        <f t="shared" si="3"/>
        <v>0.10359273580186559</v>
      </c>
      <c r="P33" s="14">
        <f t="shared" si="4"/>
        <v>0.79369840521128254</v>
      </c>
      <c r="Q33">
        <f t="shared" si="5"/>
        <v>1.7891066349754578E-3</v>
      </c>
      <c r="R33" s="15">
        <f t="shared" si="6"/>
        <v>5.7738388106865761</v>
      </c>
      <c r="S33">
        <f t="shared" si="7"/>
        <v>2.4028813559322018</v>
      </c>
    </row>
    <row r="34" spans="1:19" x14ac:dyDescent="0.3">
      <c r="A34" t="s">
        <v>13</v>
      </c>
      <c r="B34" t="s">
        <v>11</v>
      </c>
      <c r="C34" t="s">
        <v>11</v>
      </c>
      <c r="E34">
        <v>102.6</v>
      </c>
      <c r="F34">
        <v>7</v>
      </c>
      <c r="G34">
        <v>3</v>
      </c>
      <c r="H34">
        <v>1</v>
      </c>
      <c r="I34">
        <v>2</v>
      </c>
      <c r="J34">
        <v>2</v>
      </c>
      <c r="K34">
        <v>5.6</v>
      </c>
      <c r="L34">
        <f t="shared" si="0"/>
        <v>3.5508016516566299</v>
      </c>
      <c r="M34" s="15">
        <f t="shared" si="1"/>
        <v>2.0491983483433698</v>
      </c>
      <c r="N34" s="14">
        <f t="shared" si="2"/>
        <v>2.0491983483433698</v>
      </c>
      <c r="O34" s="13">
        <f t="shared" si="3"/>
        <v>0.36592827648988746</v>
      </c>
      <c r="P34" s="14">
        <f t="shared" si="4"/>
        <v>4.1992138708531943</v>
      </c>
      <c r="Q34">
        <f t="shared" si="5"/>
        <v>2.6068049140851753E-2</v>
      </c>
      <c r="R34" s="15">
        <f t="shared" si="6"/>
        <v>0.35655067509336591</v>
      </c>
      <c r="S34">
        <f t="shared" si="7"/>
        <v>0.59711864406779824</v>
      </c>
    </row>
    <row r="35" spans="1:19" x14ac:dyDescent="0.3">
      <c r="A35" t="s">
        <v>26</v>
      </c>
      <c r="B35" t="s">
        <v>14</v>
      </c>
      <c r="C35" t="s">
        <v>14</v>
      </c>
      <c r="E35">
        <v>198.5</v>
      </c>
      <c r="F35">
        <v>9</v>
      </c>
      <c r="G35">
        <v>10</v>
      </c>
      <c r="H35">
        <v>2</v>
      </c>
      <c r="I35">
        <v>4</v>
      </c>
      <c r="J35">
        <v>3</v>
      </c>
      <c r="K35">
        <v>8</v>
      </c>
      <c r="L35">
        <f t="shared" si="0"/>
        <v>6.3735807825319073</v>
      </c>
      <c r="M35" s="15">
        <f t="shared" si="1"/>
        <v>1.6264192174680927</v>
      </c>
      <c r="N35" s="14">
        <f t="shared" si="2"/>
        <v>1.6264192174680927</v>
      </c>
      <c r="O35" s="13">
        <f t="shared" si="3"/>
        <v>0.20330240218351159</v>
      </c>
      <c r="P35" s="14">
        <f t="shared" si="4"/>
        <v>2.6452394709495231</v>
      </c>
      <c r="Q35">
        <f t="shared" si="5"/>
        <v>7.4933376679330683E-3</v>
      </c>
      <c r="R35" s="15">
        <f t="shared" si="6"/>
        <v>3.2503811835679355</v>
      </c>
      <c r="S35">
        <f t="shared" si="7"/>
        <v>1.8028813559322021</v>
      </c>
    </row>
    <row r="36" spans="1:19" x14ac:dyDescent="0.3">
      <c r="A36" t="s">
        <v>16</v>
      </c>
      <c r="B36" t="s">
        <v>18</v>
      </c>
      <c r="C36" t="s">
        <v>18</v>
      </c>
      <c r="E36">
        <v>60</v>
      </c>
      <c r="F36">
        <v>4</v>
      </c>
      <c r="G36">
        <v>13</v>
      </c>
      <c r="H36">
        <v>5</v>
      </c>
      <c r="I36">
        <v>7</v>
      </c>
      <c r="J36">
        <v>4</v>
      </c>
      <c r="K36">
        <v>8.6</v>
      </c>
      <c r="L36">
        <f t="shared" si="0"/>
        <v>8.0517748523772852</v>
      </c>
      <c r="M36" s="15">
        <f t="shared" si="1"/>
        <v>0.54822514762271446</v>
      </c>
      <c r="N36" s="14">
        <f t="shared" si="2"/>
        <v>0.54822514762271446</v>
      </c>
      <c r="O36" s="13">
        <f t="shared" si="3"/>
        <v>6.3747110188687728E-2</v>
      </c>
      <c r="P36" s="14">
        <f t="shared" si="4"/>
        <v>0.30055081248594706</v>
      </c>
      <c r="Q36">
        <f t="shared" si="5"/>
        <v>6.5216339370279301E-4</v>
      </c>
      <c r="R36" s="15">
        <f t="shared" si="6"/>
        <v>5.7738388106865761</v>
      </c>
      <c r="S36">
        <f t="shared" si="7"/>
        <v>2.4028813559322018</v>
      </c>
    </row>
    <row r="37" spans="1:19" x14ac:dyDescent="0.3">
      <c r="A37" t="s">
        <v>27</v>
      </c>
      <c r="B37" t="s">
        <v>19</v>
      </c>
      <c r="C37" t="s">
        <v>19</v>
      </c>
      <c r="E37">
        <v>90.8</v>
      </c>
      <c r="F37">
        <v>6</v>
      </c>
      <c r="G37">
        <v>16</v>
      </c>
      <c r="H37">
        <v>4</v>
      </c>
      <c r="I37">
        <v>5</v>
      </c>
      <c r="J37">
        <v>6</v>
      </c>
      <c r="K37">
        <v>8.5</v>
      </c>
      <c r="L37">
        <f t="shared" si="0"/>
        <v>8.4679729473456646</v>
      </c>
      <c r="M37" s="15">
        <f t="shared" si="1"/>
        <v>3.2027052654335364E-2</v>
      </c>
      <c r="N37" s="14">
        <f t="shared" si="2"/>
        <v>3.2027052654335364E-2</v>
      </c>
      <c r="O37" s="13">
        <f t="shared" si="3"/>
        <v>3.7678885475688662E-3</v>
      </c>
      <c r="P37" s="14">
        <f t="shared" si="4"/>
        <v>1.0257321017235698E-3</v>
      </c>
      <c r="Q37">
        <f t="shared" si="5"/>
        <v>2.1509065585397805E-6</v>
      </c>
      <c r="R37" s="15">
        <f t="shared" si="6"/>
        <v>5.303262539500138</v>
      </c>
      <c r="S37">
        <f t="shared" si="7"/>
        <v>2.3028813559322021</v>
      </c>
    </row>
    <row r="38" spans="1:19" x14ac:dyDescent="0.3">
      <c r="A38" t="s">
        <v>13</v>
      </c>
      <c r="B38" t="s">
        <v>14</v>
      </c>
      <c r="C38" t="s">
        <v>14</v>
      </c>
      <c r="E38">
        <v>98.7</v>
      </c>
      <c r="F38">
        <v>6</v>
      </c>
      <c r="G38">
        <v>3</v>
      </c>
      <c r="H38">
        <v>2</v>
      </c>
      <c r="I38">
        <v>7</v>
      </c>
      <c r="J38">
        <v>4</v>
      </c>
      <c r="K38">
        <v>5.2</v>
      </c>
      <c r="L38">
        <f t="shared" si="0"/>
        <v>7.1929358604546092</v>
      </c>
      <c r="M38" s="15">
        <f t="shared" si="1"/>
        <v>-1.992935860454609</v>
      </c>
      <c r="N38" s="14">
        <f t="shared" si="2"/>
        <v>1.992935860454609</v>
      </c>
      <c r="O38" s="13">
        <f t="shared" si="3"/>
        <v>0.38325689624127096</v>
      </c>
      <c r="P38" s="14">
        <f t="shared" si="4"/>
        <v>3.971793343885953</v>
      </c>
      <c r="Q38">
        <f t="shared" si="5"/>
        <v>1.4652585727410293E-2</v>
      </c>
      <c r="R38" s="15">
        <f t="shared" si="6"/>
        <v>0.9942455903476034</v>
      </c>
      <c r="S38">
        <f t="shared" si="7"/>
        <v>0.99711864406779771</v>
      </c>
    </row>
    <row r="39" spans="1:19" x14ac:dyDescent="0.3">
      <c r="A39" t="s">
        <v>13</v>
      </c>
      <c r="B39" t="s">
        <v>23</v>
      </c>
      <c r="C39" t="s">
        <v>23</v>
      </c>
      <c r="E39">
        <v>54</v>
      </c>
      <c r="F39">
        <v>3.8</v>
      </c>
      <c r="G39">
        <v>4</v>
      </c>
      <c r="H39">
        <v>2</v>
      </c>
      <c r="I39">
        <v>2</v>
      </c>
      <c r="J39">
        <v>2</v>
      </c>
      <c r="K39">
        <v>5.65</v>
      </c>
      <c r="L39">
        <f t="shared" si="0"/>
        <v>3.3558373987663717</v>
      </c>
      <c r="M39" s="15">
        <f t="shared" si="1"/>
        <v>2.2941626012336287</v>
      </c>
      <c r="N39" s="14">
        <f t="shared" si="2"/>
        <v>2.2941626012336287</v>
      </c>
      <c r="O39" s="13">
        <f t="shared" si="3"/>
        <v>0.40604647809444755</v>
      </c>
      <c r="P39" s="14">
        <f t="shared" si="4"/>
        <v>5.26318204089905</v>
      </c>
      <c r="Q39">
        <f t="shared" si="5"/>
        <v>3.3764057322950083E-2</v>
      </c>
      <c r="R39" s="15">
        <f t="shared" si="6"/>
        <v>0.2993388106865853</v>
      </c>
      <c r="S39">
        <f t="shared" si="7"/>
        <v>0.54711864406779753</v>
      </c>
    </row>
    <row r="40" spans="1:19" x14ac:dyDescent="0.3">
      <c r="A40" t="s">
        <v>17</v>
      </c>
      <c r="B40" t="s">
        <v>19</v>
      </c>
      <c r="C40" t="s">
        <v>20</v>
      </c>
      <c r="E40">
        <v>36</v>
      </c>
      <c r="F40">
        <v>4</v>
      </c>
      <c r="G40">
        <v>5</v>
      </c>
      <c r="H40">
        <v>3</v>
      </c>
      <c r="I40">
        <v>3</v>
      </c>
      <c r="J40">
        <v>3</v>
      </c>
      <c r="K40">
        <v>3</v>
      </c>
      <c r="L40">
        <f t="shared" si="0"/>
        <v>4.5935871168959537</v>
      </c>
      <c r="M40" s="15">
        <f t="shared" si="1"/>
        <v>-1.5935871168959537</v>
      </c>
      <c r="N40" s="14">
        <f t="shared" si="2"/>
        <v>1.5935871168959537</v>
      </c>
      <c r="O40" s="13">
        <f t="shared" si="3"/>
        <v>0.53119570563198459</v>
      </c>
      <c r="P40" s="14">
        <f t="shared" si="4"/>
        <v>2.5395198991367578</v>
      </c>
      <c r="Q40">
        <f t="shared" si="5"/>
        <v>2.1208217781223164E-2</v>
      </c>
      <c r="R40" s="15">
        <f t="shared" si="6"/>
        <v>10.221567624245914</v>
      </c>
      <c r="S40">
        <f t="shared" si="7"/>
        <v>3.1971186440677979</v>
      </c>
    </row>
    <row r="41" spans="1:19" x14ac:dyDescent="0.3">
      <c r="A41" t="s">
        <v>28</v>
      </c>
      <c r="B41" t="s">
        <v>11</v>
      </c>
      <c r="C41" t="s">
        <v>11</v>
      </c>
      <c r="E41">
        <v>105</v>
      </c>
      <c r="F41">
        <v>7</v>
      </c>
      <c r="G41">
        <v>15</v>
      </c>
      <c r="H41">
        <v>4</v>
      </c>
      <c r="I41">
        <v>6</v>
      </c>
      <c r="J41">
        <v>4</v>
      </c>
      <c r="K41">
        <v>6.7</v>
      </c>
      <c r="L41">
        <f t="shared" si="0"/>
        <v>7.8803507067289473</v>
      </c>
      <c r="M41" s="15">
        <f t="shared" si="1"/>
        <v>-1.1803507067289472</v>
      </c>
      <c r="N41" s="14">
        <f t="shared" si="2"/>
        <v>1.1803507067289472</v>
      </c>
      <c r="O41" s="13">
        <f t="shared" si="3"/>
        <v>0.17617174727297719</v>
      </c>
      <c r="P41" s="14">
        <f t="shared" si="4"/>
        <v>1.3932277908755251</v>
      </c>
      <c r="Q41">
        <f t="shared" si="5"/>
        <v>3.8364883177664927E-3</v>
      </c>
      <c r="R41" s="15">
        <f t="shared" si="6"/>
        <v>0.25288965814421033</v>
      </c>
      <c r="S41">
        <f t="shared" si="7"/>
        <v>0.50288135593220229</v>
      </c>
    </row>
    <row r="42" spans="1:19" x14ac:dyDescent="0.3">
      <c r="A42" t="s">
        <v>17</v>
      </c>
      <c r="B42" t="s">
        <v>12</v>
      </c>
      <c r="C42" t="s">
        <v>12</v>
      </c>
      <c r="E42">
        <v>33</v>
      </c>
      <c r="F42">
        <v>4</v>
      </c>
      <c r="G42">
        <v>4</v>
      </c>
      <c r="H42">
        <v>5</v>
      </c>
      <c r="I42">
        <v>4</v>
      </c>
      <c r="J42">
        <v>4</v>
      </c>
      <c r="K42">
        <v>5</v>
      </c>
      <c r="L42">
        <f t="shared" si="0"/>
        <v>6.1014957933781133</v>
      </c>
      <c r="M42" s="15">
        <f t="shared" si="1"/>
        <v>-1.1014957933781133</v>
      </c>
      <c r="N42" s="14">
        <f t="shared" si="2"/>
        <v>1.1014957933781133</v>
      </c>
      <c r="O42" s="13">
        <f t="shared" si="3"/>
        <v>0.22029915867562266</v>
      </c>
      <c r="P42" s="14">
        <f t="shared" si="4"/>
        <v>1.2132929828296792</v>
      </c>
      <c r="Q42">
        <f t="shared" si="5"/>
        <v>5.3580326619235823E-3</v>
      </c>
      <c r="R42" s="15">
        <f t="shared" si="6"/>
        <v>1.433093047974723</v>
      </c>
      <c r="S42">
        <f t="shared" si="7"/>
        <v>1.1971186440677979</v>
      </c>
    </row>
    <row r="43" spans="1:19" x14ac:dyDescent="0.3">
      <c r="A43" t="s">
        <v>13</v>
      </c>
      <c r="B43" t="s">
        <v>14</v>
      </c>
      <c r="C43" t="s">
        <v>14</v>
      </c>
      <c r="E43">
        <v>75</v>
      </c>
      <c r="F43">
        <v>5</v>
      </c>
      <c r="G43">
        <v>8</v>
      </c>
      <c r="H43">
        <v>2</v>
      </c>
      <c r="I43">
        <v>3</v>
      </c>
      <c r="J43">
        <v>2</v>
      </c>
      <c r="K43">
        <v>2.25</v>
      </c>
      <c r="L43">
        <f t="shared" si="0"/>
        <v>4.1963106941621557</v>
      </c>
      <c r="M43" s="15">
        <f t="shared" si="1"/>
        <v>-1.9463106941621557</v>
      </c>
      <c r="N43" s="14">
        <f t="shared" si="2"/>
        <v>1.9463106941621557</v>
      </c>
      <c r="O43" s="13">
        <f t="shared" si="3"/>
        <v>0.86502697518318028</v>
      </c>
      <c r="P43" s="14">
        <f t="shared" si="4"/>
        <v>3.7881253182099726</v>
      </c>
      <c r="Q43">
        <f t="shared" si="5"/>
        <v>4.1539229123912773E-2</v>
      </c>
      <c r="R43" s="15">
        <f t="shared" si="6"/>
        <v>15.579745590347612</v>
      </c>
      <c r="S43">
        <f t="shared" si="7"/>
        <v>3.9471186440677979</v>
      </c>
    </row>
    <row r="44" spans="1:19" x14ac:dyDescent="0.3">
      <c r="A44" t="s">
        <v>13</v>
      </c>
      <c r="B44" t="s">
        <v>11</v>
      </c>
      <c r="C44" t="s">
        <v>11</v>
      </c>
      <c r="E44">
        <v>60</v>
      </c>
      <c r="F44">
        <v>4</v>
      </c>
      <c r="G44">
        <v>9</v>
      </c>
      <c r="H44">
        <v>3</v>
      </c>
      <c r="I44">
        <v>5</v>
      </c>
      <c r="J44">
        <v>5</v>
      </c>
      <c r="K44">
        <v>7.6</v>
      </c>
      <c r="L44">
        <f t="shared" si="0"/>
        <v>7.0038556145308641</v>
      </c>
      <c r="M44" s="15">
        <f t="shared" si="1"/>
        <v>0.59614438546913551</v>
      </c>
      <c r="N44" s="14">
        <f t="shared" si="2"/>
        <v>0.59614438546913551</v>
      </c>
      <c r="O44" s="13">
        <f t="shared" si="3"/>
        <v>7.8440050719623094E-2</v>
      </c>
      <c r="P44" s="14">
        <f t="shared" si="4"/>
        <v>0.35538812832637323</v>
      </c>
      <c r="Q44">
        <f t="shared" si="5"/>
        <v>9.7339043378167538E-4</v>
      </c>
      <c r="R44" s="15">
        <f t="shared" si="6"/>
        <v>1.968076098822173</v>
      </c>
      <c r="S44">
        <f t="shared" si="7"/>
        <v>1.4028813559322018</v>
      </c>
    </row>
    <row r="45" spans="1:19" x14ac:dyDescent="0.3">
      <c r="A45" t="s">
        <v>17</v>
      </c>
      <c r="B45" t="s">
        <v>19</v>
      </c>
      <c r="C45" t="s">
        <v>19</v>
      </c>
      <c r="E45">
        <v>35</v>
      </c>
      <c r="F45">
        <v>4</v>
      </c>
      <c r="G45">
        <v>4</v>
      </c>
      <c r="H45">
        <v>3</v>
      </c>
      <c r="I45">
        <v>4</v>
      </c>
      <c r="J45">
        <v>3</v>
      </c>
      <c r="K45">
        <v>2.4</v>
      </c>
      <c r="L45">
        <f t="shared" si="0"/>
        <v>5.0040830215360872</v>
      </c>
      <c r="M45" s="15">
        <f t="shared" si="1"/>
        <v>-2.6040830215360873</v>
      </c>
      <c r="N45" s="14">
        <f t="shared" si="2"/>
        <v>2.6040830215360873</v>
      </c>
      <c r="O45" s="13">
        <f t="shared" si="3"/>
        <v>1.0850345923067031</v>
      </c>
      <c r="P45" s="14">
        <f t="shared" si="4"/>
        <v>6.7812483830525183</v>
      </c>
      <c r="Q45">
        <f t="shared" si="5"/>
        <v>6.0993080299506806E-2</v>
      </c>
      <c r="R45" s="15">
        <f t="shared" si="6"/>
        <v>14.418109997127273</v>
      </c>
      <c r="S45">
        <f t="shared" si="7"/>
        <v>3.797118644067798</v>
      </c>
    </row>
    <row r="46" spans="1:19" x14ac:dyDescent="0.3">
      <c r="A46" t="s">
        <v>13</v>
      </c>
      <c r="B46" t="s">
        <v>14</v>
      </c>
      <c r="C46" t="s">
        <v>20</v>
      </c>
      <c r="E46">
        <v>157</v>
      </c>
      <c r="F46">
        <v>10</v>
      </c>
      <c r="G46">
        <v>3</v>
      </c>
      <c r="H46">
        <v>4</v>
      </c>
      <c r="I46">
        <v>7</v>
      </c>
      <c r="J46">
        <v>7</v>
      </c>
      <c r="K46">
        <v>10</v>
      </c>
      <c r="L46">
        <f t="shared" si="0"/>
        <v>10.073821155541605</v>
      </c>
      <c r="M46" s="15">
        <f t="shared" si="1"/>
        <v>-7.3821155541605066E-2</v>
      </c>
      <c r="N46" s="14">
        <f t="shared" si="2"/>
        <v>7.3821155541605066E-2</v>
      </c>
      <c r="O46" s="13">
        <f t="shared" si="3"/>
        <v>7.3821155541605064E-3</v>
      </c>
      <c r="P46" s="14">
        <f t="shared" si="4"/>
        <v>5.449563005497848E-3</v>
      </c>
      <c r="Q46">
        <f t="shared" si="5"/>
        <v>8.4379799895800682E-6</v>
      </c>
      <c r="R46" s="15">
        <f t="shared" si="6"/>
        <v>14.461906607296743</v>
      </c>
      <c r="S46">
        <f t="shared" si="7"/>
        <v>3.8028813559322021</v>
      </c>
    </row>
    <row r="47" spans="1:19" x14ac:dyDescent="0.3">
      <c r="A47" t="s">
        <v>17</v>
      </c>
      <c r="B47" t="s">
        <v>18</v>
      </c>
      <c r="C47" t="s">
        <v>20</v>
      </c>
      <c r="E47">
        <v>70</v>
      </c>
      <c r="F47">
        <v>7</v>
      </c>
      <c r="G47">
        <v>2.5</v>
      </c>
      <c r="H47">
        <v>4</v>
      </c>
      <c r="I47">
        <v>4</v>
      </c>
      <c r="J47">
        <v>4</v>
      </c>
      <c r="K47">
        <v>9.8000000000000007</v>
      </c>
      <c r="L47">
        <f t="shared" si="0"/>
        <v>6.1857725990622274</v>
      </c>
      <c r="M47" s="15">
        <f t="shared" si="1"/>
        <v>3.6142274009377733</v>
      </c>
      <c r="N47" s="14">
        <f t="shared" si="2"/>
        <v>3.6142274009377733</v>
      </c>
      <c r="O47" s="13">
        <f t="shared" si="3"/>
        <v>0.36879871438140543</v>
      </c>
      <c r="P47" s="14">
        <f t="shared" si="4"/>
        <v>13.062639705689412</v>
      </c>
      <c r="Q47">
        <f t="shared" si="5"/>
        <v>3.1311403744752248E-2</v>
      </c>
      <c r="R47" s="15">
        <f t="shared" si="6"/>
        <v>12.980754064923868</v>
      </c>
      <c r="S47">
        <f t="shared" si="7"/>
        <v>3.6028813559322028</v>
      </c>
    </row>
    <row r="48" spans="1:19" x14ac:dyDescent="0.3">
      <c r="A48" t="s">
        <v>17</v>
      </c>
      <c r="B48" t="s">
        <v>21</v>
      </c>
      <c r="C48" t="s">
        <v>21</v>
      </c>
      <c r="E48">
        <v>37</v>
      </c>
      <c r="F48">
        <v>4.5999999999999996</v>
      </c>
      <c r="G48">
        <v>3.5</v>
      </c>
      <c r="H48">
        <v>6</v>
      </c>
      <c r="I48">
        <v>4</v>
      </c>
      <c r="J48">
        <v>3</v>
      </c>
      <c r="K48">
        <v>7.5</v>
      </c>
      <c r="L48">
        <f t="shared" si="0"/>
        <v>5.8286901099573134</v>
      </c>
      <c r="M48" s="15">
        <f t="shared" si="1"/>
        <v>1.6713098900426866</v>
      </c>
      <c r="N48" s="14">
        <f t="shared" si="2"/>
        <v>1.6713098900426866</v>
      </c>
      <c r="O48" s="13">
        <f t="shared" si="3"/>
        <v>0.22284131867235821</v>
      </c>
      <c r="P48" s="14">
        <f t="shared" si="4"/>
        <v>2.7932767485544971</v>
      </c>
      <c r="Q48">
        <f t="shared" si="5"/>
        <v>9.0404956531929242E-3</v>
      </c>
      <c r="R48" s="15">
        <f t="shared" si="6"/>
        <v>1.6974998276357336</v>
      </c>
      <c r="S48">
        <f t="shared" si="7"/>
        <v>1.3028813559322021</v>
      </c>
    </row>
    <row r="49" spans="1:19" x14ac:dyDescent="0.3">
      <c r="A49" t="s">
        <v>17</v>
      </c>
      <c r="B49" t="s">
        <v>20</v>
      </c>
      <c r="C49" t="s">
        <v>20</v>
      </c>
      <c r="E49">
        <v>30</v>
      </c>
      <c r="F49">
        <v>3.5</v>
      </c>
      <c r="G49">
        <v>3</v>
      </c>
      <c r="H49">
        <v>5</v>
      </c>
      <c r="I49">
        <v>3</v>
      </c>
      <c r="J49">
        <v>4</v>
      </c>
      <c r="K49">
        <v>3.2</v>
      </c>
      <c r="L49">
        <f t="shared" si="0"/>
        <v>5.5501989165715067</v>
      </c>
      <c r="M49" s="15">
        <f t="shared" si="1"/>
        <v>-2.3501989165715065</v>
      </c>
      <c r="N49" s="14">
        <f t="shared" si="2"/>
        <v>2.3501989165715065</v>
      </c>
      <c r="O49" s="13">
        <f t="shared" si="3"/>
        <v>0.73443716142859572</v>
      </c>
      <c r="P49" s="14">
        <f t="shared" si="4"/>
        <v>5.5234349474538833</v>
      </c>
      <c r="Q49">
        <f t="shared" si="5"/>
        <v>3.7251006631674105E-2</v>
      </c>
      <c r="R49" s="15">
        <f t="shared" si="6"/>
        <v>8.9827201666187939</v>
      </c>
      <c r="S49">
        <f t="shared" si="7"/>
        <v>2.9971186440677977</v>
      </c>
    </row>
    <row r="50" spans="1:19" x14ac:dyDescent="0.3">
      <c r="A50" t="s">
        <v>17</v>
      </c>
      <c r="B50" t="s">
        <v>11</v>
      </c>
      <c r="C50" t="s">
        <v>11</v>
      </c>
      <c r="E50">
        <v>36</v>
      </c>
      <c r="F50">
        <v>4.5</v>
      </c>
      <c r="G50">
        <v>20</v>
      </c>
      <c r="H50">
        <v>4</v>
      </c>
      <c r="I50">
        <v>3</v>
      </c>
      <c r="J50">
        <v>4</v>
      </c>
      <c r="K50">
        <v>4</v>
      </c>
      <c r="L50">
        <f t="shared" si="0"/>
        <v>6.1118707755428687</v>
      </c>
      <c r="M50" s="15">
        <f t="shared" si="1"/>
        <v>-2.1118707755428687</v>
      </c>
      <c r="N50" s="14">
        <f t="shared" si="2"/>
        <v>2.1118707755428687</v>
      </c>
      <c r="O50" s="13">
        <f t="shared" si="3"/>
        <v>0.52796769388571718</v>
      </c>
      <c r="P50" s="14">
        <f t="shared" si="4"/>
        <v>4.4599981725920381</v>
      </c>
      <c r="Q50">
        <f t="shared" si="5"/>
        <v>2.341323904443765E-2</v>
      </c>
      <c r="R50" s="15">
        <f t="shared" si="6"/>
        <v>4.827330336110319</v>
      </c>
      <c r="S50">
        <f t="shared" si="7"/>
        <v>2.1971186440677979</v>
      </c>
    </row>
    <row r="51" spans="1:19" x14ac:dyDescent="0.3">
      <c r="A51" t="s">
        <v>16</v>
      </c>
      <c r="B51" t="s">
        <v>18</v>
      </c>
      <c r="C51" t="s">
        <v>18</v>
      </c>
      <c r="E51">
        <v>60</v>
      </c>
      <c r="F51">
        <v>4</v>
      </c>
      <c r="G51">
        <v>20</v>
      </c>
      <c r="H51">
        <v>5</v>
      </c>
      <c r="I51">
        <v>6</v>
      </c>
      <c r="J51">
        <v>4</v>
      </c>
      <c r="K51">
        <v>8.6</v>
      </c>
      <c r="L51">
        <f t="shared" si="0"/>
        <v>7.8930104833961314</v>
      </c>
      <c r="M51" s="15">
        <f t="shared" si="1"/>
        <v>0.70698951660386822</v>
      </c>
      <c r="N51" s="14">
        <f t="shared" si="2"/>
        <v>0.70698951660386822</v>
      </c>
      <c r="O51" s="13">
        <f t="shared" si="3"/>
        <v>8.2208083326031189E-2</v>
      </c>
      <c r="P51" s="14">
        <f t="shared" si="4"/>
        <v>0.49983417658777124</v>
      </c>
      <c r="Q51">
        <f t="shared" si="5"/>
        <v>1.1037297728372676E-3</v>
      </c>
      <c r="R51" s="15">
        <f t="shared" si="6"/>
        <v>5.7738388106865761</v>
      </c>
      <c r="S51">
        <f t="shared" si="7"/>
        <v>2.4028813559322018</v>
      </c>
    </row>
    <row r="52" spans="1:19" x14ac:dyDescent="0.3">
      <c r="A52" t="s">
        <v>25</v>
      </c>
      <c r="B52" t="s">
        <v>14</v>
      </c>
      <c r="C52" t="s">
        <v>14</v>
      </c>
      <c r="E52">
        <v>44</v>
      </c>
      <c r="F52">
        <v>4.5</v>
      </c>
      <c r="G52">
        <v>10</v>
      </c>
      <c r="H52">
        <v>4</v>
      </c>
      <c r="I52">
        <v>3</v>
      </c>
      <c r="J52">
        <v>3</v>
      </c>
      <c r="K52">
        <v>8.5</v>
      </c>
      <c r="L52">
        <f t="shared" si="0"/>
        <v>5.1570043094380758</v>
      </c>
      <c r="M52" s="15">
        <f t="shared" si="1"/>
        <v>3.3429956905619242</v>
      </c>
      <c r="N52" s="14">
        <f t="shared" si="2"/>
        <v>3.3429956905619242</v>
      </c>
      <c r="O52" s="13">
        <f t="shared" si="3"/>
        <v>0.39329361065434404</v>
      </c>
      <c r="P52" s="14">
        <f t="shared" si="4"/>
        <v>11.175620187115596</v>
      </c>
      <c r="Q52">
        <f t="shared" si="5"/>
        <v>3.5477284964803402E-2</v>
      </c>
      <c r="R52" s="15">
        <f t="shared" si="6"/>
        <v>5.303262539500138</v>
      </c>
      <c r="S52">
        <f t="shared" si="7"/>
        <v>2.3028813559322021</v>
      </c>
    </row>
    <row r="53" spans="1:19" x14ac:dyDescent="0.3">
      <c r="A53" t="s">
        <v>17</v>
      </c>
      <c r="B53" t="s">
        <v>12</v>
      </c>
      <c r="C53" t="s">
        <v>12</v>
      </c>
      <c r="E53">
        <v>63</v>
      </c>
      <c r="F53">
        <v>4.7</v>
      </c>
      <c r="G53">
        <v>3</v>
      </c>
      <c r="H53">
        <v>4</v>
      </c>
      <c r="I53">
        <v>4</v>
      </c>
      <c r="J53">
        <v>3</v>
      </c>
      <c r="K53">
        <v>8.6</v>
      </c>
      <c r="L53">
        <f t="shared" si="0"/>
        <v>5.4547124102480602</v>
      </c>
      <c r="M53" s="15">
        <f t="shared" si="1"/>
        <v>3.1452875897519394</v>
      </c>
      <c r="N53" s="14">
        <f t="shared" si="2"/>
        <v>3.1452875897519394</v>
      </c>
      <c r="O53" s="13">
        <f t="shared" si="3"/>
        <v>0.36573111508743483</v>
      </c>
      <c r="P53" s="14">
        <f t="shared" si="4"/>
        <v>9.8928340222475644</v>
      </c>
      <c r="Q53">
        <f t="shared" si="5"/>
        <v>2.9719807084687425E-2</v>
      </c>
      <c r="R53" s="15">
        <f t="shared" si="6"/>
        <v>5.7738388106865761</v>
      </c>
      <c r="S53">
        <f t="shared" si="7"/>
        <v>2.4028813559322018</v>
      </c>
    </row>
    <row r="54" spans="1:19" x14ac:dyDescent="0.3">
      <c r="A54" t="s">
        <v>29</v>
      </c>
      <c r="B54" t="s">
        <v>11</v>
      </c>
      <c r="C54" t="s">
        <v>11</v>
      </c>
      <c r="E54">
        <v>175</v>
      </c>
      <c r="F54">
        <v>10</v>
      </c>
      <c r="G54">
        <v>9</v>
      </c>
      <c r="H54">
        <v>3</v>
      </c>
      <c r="I54">
        <v>5</v>
      </c>
      <c r="J54">
        <v>3</v>
      </c>
      <c r="K54">
        <v>9.1</v>
      </c>
      <c r="L54">
        <f t="shared" si="0"/>
        <v>6.9546067551492508</v>
      </c>
      <c r="M54" s="15">
        <f t="shared" si="1"/>
        <v>2.1453932448507489</v>
      </c>
      <c r="N54" s="14">
        <f t="shared" si="2"/>
        <v>2.1453932448507489</v>
      </c>
      <c r="O54" s="13">
        <f t="shared" si="3"/>
        <v>0.23575749943414823</v>
      </c>
      <c r="P54" s="14">
        <f t="shared" si="4"/>
        <v>4.6027121750512254</v>
      </c>
      <c r="Q54">
        <f t="shared" si="5"/>
        <v>1.0754241504643769E-2</v>
      </c>
      <c r="R54" s="15">
        <f t="shared" si="6"/>
        <v>8.4267201666187788</v>
      </c>
      <c r="S54">
        <f t="shared" si="7"/>
        <v>2.9028813559322018</v>
      </c>
    </row>
    <row r="55" spans="1:19" x14ac:dyDescent="0.3">
      <c r="A55" t="s">
        <v>17</v>
      </c>
      <c r="B55" t="s">
        <v>20</v>
      </c>
      <c r="C55" t="s">
        <v>20</v>
      </c>
      <c r="E55">
        <v>30.5</v>
      </c>
      <c r="F55">
        <v>4</v>
      </c>
      <c r="G55">
        <v>3</v>
      </c>
      <c r="H55">
        <v>4</v>
      </c>
      <c r="I55">
        <v>3</v>
      </c>
      <c r="J55">
        <v>3</v>
      </c>
      <c r="K55">
        <v>2.65</v>
      </c>
      <c r="L55">
        <f t="shared" si="0"/>
        <v>4.7368939691538561</v>
      </c>
      <c r="M55" s="15">
        <f t="shared" si="1"/>
        <v>-2.0868939691538562</v>
      </c>
      <c r="N55" s="14">
        <f t="shared" si="2"/>
        <v>2.0868939691538562</v>
      </c>
      <c r="O55" s="13">
        <f t="shared" si="3"/>
        <v>0.78750715817126649</v>
      </c>
      <c r="P55" s="14">
        <f t="shared" si="4"/>
        <v>4.3551264384907356</v>
      </c>
      <c r="Q55">
        <f t="shared" si="5"/>
        <v>3.8566659254533071E-2</v>
      </c>
      <c r="R55" s="15">
        <f t="shared" si="6"/>
        <v>12.582050675093374</v>
      </c>
      <c r="S55">
        <f t="shared" si="7"/>
        <v>3.547118644067798</v>
      </c>
    </row>
    <row r="56" spans="1:19" x14ac:dyDescent="0.3">
      <c r="A56" t="s">
        <v>10</v>
      </c>
      <c r="B56" t="s">
        <v>21</v>
      </c>
      <c r="C56" t="s">
        <v>19</v>
      </c>
      <c r="E56">
        <v>127</v>
      </c>
      <c r="F56">
        <v>9</v>
      </c>
      <c r="G56">
        <v>5</v>
      </c>
      <c r="H56">
        <v>1</v>
      </c>
      <c r="I56">
        <v>2</v>
      </c>
      <c r="J56">
        <v>1</v>
      </c>
      <c r="K56">
        <v>2.16</v>
      </c>
      <c r="L56">
        <f t="shared" si="0"/>
        <v>3.3341377071157421</v>
      </c>
      <c r="M56" s="15">
        <f t="shared" si="1"/>
        <v>-1.1741377071157419</v>
      </c>
      <c r="N56" s="14">
        <f t="shared" si="2"/>
        <v>1.1741377071157419</v>
      </c>
      <c r="O56" s="13">
        <f t="shared" si="3"/>
        <v>0.54358227181284346</v>
      </c>
      <c r="P56" s="14">
        <f t="shared" si="4"/>
        <v>1.3785993552710119</v>
      </c>
      <c r="Q56">
        <f t="shared" si="5"/>
        <v>1.882812727176995E-2</v>
      </c>
      <c r="R56" s="15">
        <f t="shared" si="6"/>
        <v>16.298326946279815</v>
      </c>
      <c r="S56">
        <f t="shared" si="7"/>
        <v>4.0371186440677977</v>
      </c>
    </row>
    <row r="57" spans="1:19" x14ac:dyDescent="0.3">
      <c r="A57" t="s">
        <v>17</v>
      </c>
      <c r="B57" t="s">
        <v>14</v>
      </c>
      <c r="C57" t="s">
        <v>14</v>
      </c>
      <c r="E57">
        <v>32</v>
      </c>
      <c r="F57">
        <v>3.5</v>
      </c>
      <c r="G57">
        <v>3</v>
      </c>
      <c r="H57">
        <v>4</v>
      </c>
      <c r="I57">
        <v>3</v>
      </c>
      <c r="J57">
        <v>3</v>
      </c>
      <c r="K57">
        <v>3.95</v>
      </c>
      <c r="L57">
        <f t="shared" si="0"/>
        <v>4.7192560587780248</v>
      </c>
      <c r="M57" s="15">
        <f t="shared" si="1"/>
        <v>-0.76925605877802461</v>
      </c>
      <c r="N57" s="14">
        <f t="shared" si="2"/>
        <v>0.76925605877802461</v>
      </c>
      <c r="O57" s="13">
        <f t="shared" si="3"/>
        <v>0.19474836931089229</v>
      </c>
      <c r="P57" s="14">
        <f t="shared" si="4"/>
        <v>0.59175488396669962</v>
      </c>
      <c r="Q57">
        <f t="shared" si="5"/>
        <v>3.9355976656517862E-3</v>
      </c>
      <c r="R57" s="15">
        <f t="shared" si="6"/>
        <v>5.0495422005170978</v>
      </c>
      <c r="S57">
        <f t="shared" si="7"/>
        <v>2.2471186440677977</v>
      </c>
    </row>
    <row r="58" spans="1:19" x14ac:dyDescent="0.3">
      <c r="A58" t="s">
        <v>30</v>
      </c>
      <c r="B58" t="s">
        <v>20</v>
      </c>
      <c r="C58" t="s">
        <v>20</v>
      </c>
      <c r="E58">
        <v>50</v>
      </c>
      <c r="F58">
        <v>4</v>
      </c>
      <c r="G58">
        <v>3</v>
      </c>
      <c r="H58">
        <v>3</v>
      </c>
      <c r="I58">
        <v>3</v>
      </c>
      <c r="J58">
        <v>3</v>
      </c>
      <c r="K58">
        <v>2.75</v>
      </c>
      <c r="L58">
        <f t="shared" si="0"/>
        <v>4.6016397219283087</v>
      </c>
      <c r="M58" s="15">
        <f t="shared" si="1"/>
        <v>-1.8516397219283087</v>
      </c>
      <c r="N58" s="14">
        <f t="shared" si="2"/>
        <v>1.8516397219283087</v>
      </c>
      <c r="O58" s="13">
        <f t="shared" si="3"/>
        <v>0.67332353524665767</v>
      </c>
      <c r="P58" s="14">
        <f t="shared" si="4"/>
        <v>3.4285696598227444</v>
      </c>
      <c r="Q58">
        <f t="shared" si="5"/>
        <v>3.0374879660799242E-2</v>
      </c>
      <c r="R58" s="15">
        <f t="shared" si="6"/>
        <v>11.882626946279814</v>
      </c>
      <c r="S58">
        <f t="shared" si="7"/>
        <v>3.4471186440677979</v>
      </c>
    </row>
    <row r="59" spans="1:19" x14ac:dyDescent="0.3">
      <c r="A59" t="s">
        <v>17</v>
      </c>
      <c r="B59" t="s">
        <v>18</v>
      </c>
      <c r="C59" t="s">
        <v>18</v>
      </c>
      <c r="E59">
        <v>50</v>
      </c>
      <c r="F59">
        <v>5</v>
      </c>
      <c r="G59">
        <v>2</v>
      </c>
      <c r="H59">
        <v>6</v>
      </c>
      <c r="I59">
        <v>4</v>
      </c>
      <c r="J59">
        <v>5</v>
      </c>
      <c r="K59">
        <v>6.5</v>
      </c>
      <c r="L59">
        <f t="shared" si="0"/>
        <v>7.0295991453958164</v>
      </c>
      <c r="M59" s="15">
        <f t="shared" si="1"/>
        <v>-0.52959914539581643</v>
      </c>
      <c r="N59" s="14">
        <f t="shared" si="2"/>
        <v>0.52959914539581643</v>
      </c>
      <c r="O59" s="13">
        <f t="shared" si="3"/>
        <v>8.1476791599356377E-2</v>
      </c>
      <c r="P59" s="14">
        <f t="shared" si="4"/>
        <v>0.28047525480397911</v>
      </c>
      <c r="Q59">
        <f t="shared" si="5"/>
        <v>8.7809107327738503E-4</v>
      </c>
      <c r="R59" s="15">
        <f t="shared" si="6"/>
        <v>9.17371157713293E-2</v>
      </c>
      <c r="S59">
        <f t="shared" si="7"/>
        <v>0.30288135593220211</v>
      </c>
    </row>
    <row r="60" spans="1:19" x14ac:dyDescent="0.3">
      <c r="A60" t="s">
        <v>17</v>
      </c>
      <c r="B60" t="s">
        <v>18</v>
      </c>
      <c r="C60" t="s">
        <v>18</v>
      </c>
      <c r="E60">
        <v>70</v>
      </c>
      <c r="F60">
        <v>4.5</v>
      </c>
      <c r="G60">
        <v>2.5</v>
      </c>
      <c r="H60">
        <v>5</v>
      </c>
      <c r="I60">
        <v>5</v>
      </c>
      <c r="J60">
        <v>5</v>
      </c>
      <c r="K60">
        <v>10</v>
      </c>
      <c r="L60">
        <f t="shared" si="0"/>
        <v>7.3518180284880712</v>
      </c>
      <c r="M60" s="15">
        <f t="shared" si="1"/>
        <v>2.6481819715119288</v>
      </c>
      <c r="N60" s="14">
        <f t="shared" si="2"/>
        <v>2.6481819715119288</v>
      </c>
      <c r="O60" s="13">
        <f t="shared" si="3"/>
        <v>0.26481819715119287</v>
      </c>
      <c r="P60" s="14">
        <f t="shared" si="4"/>
        <v>7.0128677542408058</v>
      </c>
      <c r="Q60">
        <f t="shared" si="5"/>
        <v>1.4306949665915905E-2</v>
      </c>
      <c r="R60" s="15">
        <f t="shared" si="6"/>
        <v>14.461906607296743</v>
      </c>
      <c r="S60">
        <f t="shared" si="7"/>
        <v>3.8028813559322021</v>
      </c>
    </row>
    <row r="61" spans="1:19" x14ac:dyDescent="0.3">
      <c r="A61" t="s">
        <v>17</v>
      </c>
      <c r="B61" t="s">
        <v>18</v>
      </c>
      <c r="C61" t="s">
        <v>18</v>
      </c>
      <c r="E61">
        <v>53</v>
      </c>
      <c r="F61">
        <v>3.5</v>
      </c>
      <c r="G61">
        <v>7</v>
      </c>
      <c r="H61">
        <v>5</v>
      </c>
      <c r="I61">
        <v>8</v>
      </c>
      <c r="J61">
        <v>5</v>
      </c>
      <c r="K61">
        <v>8.8000000000000007</v>
      </c>
      <c r="L61">
        <f t="shared" si="0"/>
        <v>8.7567124564888807</v>
      </c>
      <c r="M61" s="15">
        <f t="shared" si="1"/>
        <v>4.3287543511119964E-2</v>
      </c>
      <c r="N61" s="14">
        <f t="shared" si="2"/>
        <v>4.3287543511119964E-2</v>
      </c>
      <c r="O61" s="13">
        <f t="shared" si="3"/>
        <v>4.9190390353545405E-3</v>
      </c>
      <c r="P61" s="14">
        <f t="shared" si="4"/>
        <v>1.8738114232271042E-3</v>
      </c>
      <c r="Q61">
        <f t="shared" si="5"/>
        <v>3.6962744807795501E-6</v>
      </c>
      <c r="R61" s="15">
        <f t="shared" si="6"/>
        <v>6.7749913530594625</v>
      </c>
      <c r="S61">
        <f t="shared" si="7"/>
        <v>2.6028813559322028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E5C2-01E2-4971-AD14-9E614FDF69AA}">
  <dimension ref="A1:F26"/>
  <sheetViews>
    <sheetView topLeftCell="A2" zoomScale="145" zoomScaleNormal="145" workbookViewId="0">
      <selection activeCell="B13" sqref="B13"/>
    </sheetView>
  </sheetViews>
  <sheetFormatPr defaultRowHeight="14.4" x14ac:dyDescent="0.3"/>
  <cols>
    <col min="1" max="1" width="35.109375" customWidth="1"/>
    <col min="2" max="2" width="12" customWidth="1"/>
  </cols>
  <sheetData>
    <row r="1" spans="1:6" x14ac:dyDescent="0.3">
      <c r="A1" s="25" t="s">
        <v>70</v>
      </c>
      <c r="B1">
        <f>COUNT(data!K3:K61)</f>
        <v>59</v>
      </c>
      <c r="D1" s="24" t="s">
        <v>87</v>
      </c>
      <c r="E1">
        <v>6</v>
      </c>
    </row>
    <row r="2" spans="1:6" x14ac:dyDescent="0.3">
      <c r="A2" s="18" t="s">
        <v>63</v>
      </c>
      <c r="B2" s="12">
        <f>AVERAGE(data!L3:L61)</f>
        <v>6.2570023766493224</v>
      </c>
    </row>
    <row r="3" spans="1:6" x14ac:dyDescent="0.3">
      <c r="A3" s="21"/>
      <c r="B3" s="12"/>
    </row>
    <row r="4" spans="1:6" x14ac:dyDescent="0.3">
      <c r="A4" s="21" t="s">
        <v>72</v>
      </c>
      <c r="B4" s="12"/>
    </row>
    <row r="5" spans="1:6" x14ac:dyDescent="0.3">
      <c r="A5" s="17" t="s">
        <v>64</v>
      </c>
      <c r="B5" s="23">
        <f>AVERAGE(data!N3:N61)</f>
        <v>1.4904439935963392</v>
      </c>
      <c r="D5" t="s">
        <v>88</v>
      </c>
    </row>
    <row r="6" spans="1:6" x14ac:dyDescent="0.3">
      <c r="A6" t="s">
        <v>66</v>
      </c>
      <c r="B6" s="23">
        <f>MEDIAN(data!N3:N61)</f>
        <v>1.3976489183621066</v>
      </c>
      <c r="D6" t="s">
        <v>90</v>
      </c>
      <c r="F6" t="s">
        <v>89</v>
      </c>
    </row>
    <row r="7" spans="1:6" x14ac:dyDescent="0.3">
      <c r="A7" t="s">
        <v>67</v>
      </c>
      <c r="B7" s="23">
        <f>SUM(data!N3:N61)</f>
        <v>87.936195622184016</v>
      </c>
      <c r="D7" t="s">
        <v>88</v>
      </c>
    </row>
    <row r="8" spans="1:6" x14ac:dyDescent="0.3">
      <c r="A8" t="s">
        <v>68</v>
      </c>
      <c r="B8" s="23">
        <f>AVERAGE(data!O3:O61)*100</f>
        <v>31.299425886542288</v>
      </c>
      <c r="C8" t="s">
        <v>71</v>
      </c>
      <c r="D8" t="s">
        <v>88</v>
      </c>
    </row>
    <row r="10" spans="1:6" x14ac:dyDescent="0.3">
      <c r="A10" s="21" t="s">
        <v>73</v>
      </c>
    </row>
    <row r="11" spans="1:6" x14ac:dyDescent="0.3">
      <c r="A11" t="s">
        <v>74</v>
      </c>
      <c r="B11" s="14">
        <f>AVERAGE(data!P3:P61)</f>
        <v>3.2213112599698444</v>
      </c>
      <c r="D11" t="s">
        <v>88</v>
      </c>
    </row>
    <row r="12" spans="1:6" x14ac:dyDescent="0.3">
      <c r="A12" t="s">
        <v>75</v>
      </c>
      <c r="B12" s="13">
        <f>MEDIAN(data!P3:P61)</f>
        <v>1.9534224989987665</v>
      </c>
    </row>
    <row r="13" spans="1:6" x14ac:dyDescent="0.3">
      <c r="A13" t="s">
        <v>76</v>
      </c>
      <c r="B13" s="16">
        <f>SUM(data!P3:P61)</f>
        <v>190.05736433822082</v>
      </c>
    </row>
    <row r="14" spans="1:6" x14ac:dyDescent="0.3">
      <c r="A14" t="s">
        <v>77</v>
      </c>
      <c r="B14" s="15">
        <f>SQRT(B11)</f>
        <v>1.7948011756096676</v>
      </c>
    </row>
    <row r="15" spans="1:6" x14ac:dyDescent="0.3">
      <c r="A15" t="s">
        <v>78</v>
      </c>
      <c r="B15" s="22">
        <f>AVERAGE(data!Q3:Q61)</f>
        <v>1.52234754467508E-2</v>
      </c>
    </row>
    <row r="16" spans="1:6" x14ac:dyDescent="0.3">
      <c r="A16" t="s">
        <v>79</v>
      </c>
      <c r="B16" s="23">
        <f>SQRT(B15)</f>
        <v>0.12338344883634433</v>
      </c>
    </row>
    <row r="18" spans="1:2" x14ac:dyDescent="0.3">
      <c r="A18" s="21" t="s">
        <v>80</v>
      </c>
    </row>
    <row r="19" spans="1:2" x14ac:dyDescent="0.3">
      <c r="A19" t="s">
        <v>81</v>
      </c>
      <c r="B19" s="14">
        <f>SQRT(B13/SUM(data!R3:R61))</f>
        <v>0.75914762362834398</v>
      </c>
    </row>
    <row r="20" spans="1:2" x14ac:dyDescent="0.3">
      <c r="A20" t="s">
        <v>83</v>
      </c>
      <c r="B20" s="13">
        <f>B7/SUM(data!S3:S61)</f>
        <v>0.73794011146953464</v>
      </c>
    </row>
    <row r="21" spans="1:2" x14ac:dyDescent="0.3">
      <c r="A21" t="s">
        <v>84</v>
      </c>
      <c r="B21" s="16">
        <f>1-SUM(data!P3:P61)/SUM(data!R3:R61)</f>
        <v>0.42369488553943813</v>
      </c>
    </row>
    <row r="22" spans="1:2" x14ac:dyDescent="0.3">
      <c r="A22" t="s">
        <v>85</v>
      </c>
    </row>
    <row r="23" spans="1:2" x14ac:dyDescent="0.3">
      <c r="A23" t="s">
        <v>86</v>
      </c>
      <c r="B23" s="15">
        <f>1-((1-B21)*(B1-1)/(B1-E1-1))</f>
        <v>0.3571981415632195</v>
      </c>
    </row>
    <row r="26" spans="1:2" x14ac:dyDescent="0.3">
      <c r="A26" s="4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regression-result-2</vt:lpstr>
      <vt:lpstr>data (2)</vt:lpstr>
      <vt:lpstr>regression-result</vt:lpstr>
      <vt:lpstr>data</vt:lpstr>
      <vt:lpstr>danh-gia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BuuHQ</dc:creator>
  <cp:lastModifiedBy>BOO HUYNH</cp:lastModifiedBy>
  <dcterms:created xsi:type="dcterms:W3CDTF">2015-06-05T18:17:20Z</dcterms:created>
  <dcterms:modified xsi:type="dcterms:W3CDTF">2025-04-20T10:25:43Z</dcterms:modified>
</cp:coreProperties>
</file>