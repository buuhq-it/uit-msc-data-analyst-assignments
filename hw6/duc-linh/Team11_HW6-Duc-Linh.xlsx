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learning-area-main\mis-msc\semester\semester2\phan-tich-du-lieu-kinh-doanh\assignments\hw6\duc-linh\"/>
    </mc:Choice>
  </mc:AlternateContent>
  <xr:revisionPtr revIDLastSave="0" documentId="13_ncr:1_{3BF3D1DD-BF68-4520-9E80-EFC06DC7C2E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ata" sheetId="1" r:id="rId1"/>
    <sheet name="Data-LR" sheetId="2" r:id="rId2"/>
    <sheet name="Data-LR-Short-Train" sheetId="3" r:id="rId3"/>
    <sheet name="Logistic-Regression" sheetId="5" r:id="rId4"/>
    <sheet name="Data-LR-Short-Test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4" l="1"/>
  <c r="F18" i="4"/>
  <c r="E19" i="4"/>
  <c r="F19" i="4"/>
  <c r="E21" i="4"/>
  <c r="F21" i="4"/>
  <c r="E22" i="4"/>
  <c r="F22" i="4"/>
  <c r="F16" i="4"/>
  <c r="E16" i="4"/>
  <c r="H4" i="4"/>
  <c r="H5" i="4"/>
  <c r="H6" i="4"/>
  <c r="H7" i="4"/>
  <c r="H8" i="4"/>
  <c r="H9" i="4"/>
  <c r="H10" i="4"/>
  <c r="H11" i="4"/>
  <c r="H12" i="4"/>
  <c r="H3" i="4"/>
  <c r="G4" i="4"/>
  <c r="G5" i="4"/>
  <c r="G6" i="4"/>
  <c r="G7" i="4"/>
  <c r="G8" i="4"/>
  <c r="G9" i="4"/>
  <c r="G10" i="4"/>
  <c r="G11" i="4"/>
  <c r="G12" i="4"/>
  <c r="G3" i="4"/>
  <c r="F4" i="4"/>
  <c r="F5" i="4"/>
  <c r="F6" i="4"/>
  <c r="F7" i="4"/>
  <c r="F8" i="4"/>
  <c r="F9" i="4"/>
  <c r="F10" i="4"/>
  <c r="F11" i="4"/>
  <c r="F12" i="4"/>
  <c r="F3" i="4"/>
  <c r="R6" i="5"/>
  <c r="I3" i="5"/>
  <c r="H2" i="3"/>
  <c r="C45" i="5" l="1"/>
  <c r="C46" i="5"/>
  <c r="C47" i="5"/>
  <c r="C44" i="5"/>
  <c r="E4" i="4"/>
  <c r="E5" i="4"/>
  <c r="E6" i="4"/>
  <c r="E7" i="4"/>
  <c r="E8" i="4"/>
  <c r="E9" i="4"/>
  <c r="E10" i="4"/>
  <c r="E11" i="4"/>
  <c r="E12" i="4"/>
  <c r="E3" i="4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" i="5"/>
  <c r="G16" i="3"/>
  <c r="F16" i="3"/>
  <c r="G13" i="3"/>
  <c r="F13" i="3"/>
  <c r="G10" i="3"/>
  <c r="F10" i="3"/>
  <c r="C36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" i="5"/>
  <c r="I5" i="5" l="1"/>
  <c r="I12" i="5"/>
  <c r="J12" i="5" s="1"/>
  <c r="K12" i="5" s="1"/>
  <c r="J3" i="5"/>
  <c r="P3" i="5" s="1"/>
  <c r="I22" i="5"/>
  <c r="J22" i="5" s="1"/>
  <c r="P22" i="5" s="1"/>
  <c r="I21" i="5"/>
  <c r="J21" i="5" s="1"/>
  <c r="K21" i="5" s="1"/>
  <c r="I10" i="5"/>
  <c r="J10" i="5" s="1"/>
  <c r="I26" i="5"/>
  <c r="J26" i="5" s="1"/>
  <c r="I13" i="5"/>
  <c r="J13" i="5" s="1"/>
  <c r="P13" i="5" s="1"/>
  <c r="I27" i="5"/>
  <c r="J27" i="5" s="1"/>
  <c r="K27" i="5" s="1"/>
  <c r="I11" i="5"/>
  <c r="J11" i="5" s="1"/>
  <c r="K11" i="5" s="1"/>
  <c r="I6" i="5"/>
  <c r="J6" i="5" s="1"/>
  <c r="P6" i="5" s="1"/>
  <c r="I20" i="5"/>
  <c r="J20" i="5" s="1"/>
  <c r="I4" i="5"/>
  <c r="J4" i="5" s="1"/>
  <c r="I29" i="5"/>
  <c r="J29" i="5" s="1"/>
  <c r="K29" i="5" s="1"/>
  <c r="I32" i="5"/>
  <c r="J32" i="5" s="1"/>
  <c r="P32" i="5" s="1"/>
  <c r="I28" i="5"/>
  <c r="J28" i="5" s="1"/>
  <c r="K28" i="5" s="1"/>
  <c r="I18" i="5"/>
  <c r="J18" i="5" s="1"/>
  <c r="P18" i="5" s="1"/>
  <c r="I19" i="5"/>
  <c r="J19" i="5" s="1"/>
  <c r="I16" i="5"/>
  <c r="J16" i="5" s="1"/>
  <c r="P16" i="5" s="1"/>
  <c r="I24" i="5"/>
  <c r="J24" i="5" s="1"/>
  <c r="P24" i="5" s="1"/>
  <c r="I8" i="5"/>
  <c r="J8" i="5" s="1"/>
  <c r="K8" i="5" s="1"/>
  <c r="I17" i="5"/>
  <c r="J17" i="5" s="1"/>
  <c r="K17" i="5" s="1"/>
  <c r="I31" i="5"/>
  <c r="J31" i="5" s="1"/>
  <c r="P31" i="5" s="1"/>
  <c r="I15" i="5"/>
  <c r="J15" i="5" s="1"/>
  <c r="P15" i="5" s="1"/>
  <c r="I30" i="5"/>
  <c r="J30" i="5" s="1"/>
  <c r="P30" i="5" s="1"/>
  <c r="I14" i="5"/>
  <c r="J14" i="5" s="1"/>
  <c r="I25" i="5"/>
  <c r="J25" i="5" s="1"/>
  <c r="K25" i="5" s="1"/>
  <c r="I23" i="5"/>
  <c r="J23" i="5" s="1"/>
  <c r="P23" i="5" s="1"/>
  <c r="I7" i="5"/>
  <c r="J7" i="5" s="1"/>
  <c r="P7" i="5" s="1"/>
  <c r="I9" i="5"/>
  <c r="J9" i="5" s="1"/>
  <c r="K9" i="5" s="1"/>
  <c r="J5" i="5"/>
  <c r="K5" i="5" s="1"/>
  <c r="P29" i="5" l="1"/>
  <c r="P5" i="5"/>
  <c r="P25" i="5"/>
  <c r="P12" i="5"/>
  <c r="P27" i="5"/>
  <c r="P28" i="5"/>
  <c r="P21" i="5"/>
  <c r="K19" i="5"/>
  <c r="L19" i="5" s="1"/>
  <c r="P19" i="5"/>
  <c r="K10" i="5"/>
  <c r="N10" i="5" s="1"/>
  <c r="P10" i="5"/>
  <c r="P8" i="5"/>
  <c r="K20" i="5"/>
  <c r="N20" i="5" s="1"/>
  <c r="P20" i="5"/>
  <c r="P17" i="5"/>
  <c r="K26" i="5"/>
  <c r="N26" i="5" s="1"/>
  <c r="P26" i="5"/>
  <c r="K4" i="5"/>
  <c r="M4" i="5" s="1"/>
  <c r="P4" i="5"/>
  <c r="P9" i="5"/>
  <c r="K14" i="5"/>
  <c r="L14" i="5" s="1"/>
  <c r="P14" i="5"/>
  <c r="P11" i="5"/>
  <c r="K23" i="5"/>
  <c r="O23" i="5" s="1"/>
  <c r="K13" i="5"/>
  <c r="M13" i="5" s="1"/>
  <c r="K6" i="5"/>
  <c r="M6" i="5" s="1"/>
  <c r="K32" i="5"/>
  <c r="M32" i="5" s="1"/>
  <c r="K30" i="5"/>
  <c r="L30" i="5" s="1"/>
  <c r="K15" i="5"/>
  <c r="L15" i="5" s="1"/>
  <c r="K7" i="5"/>
  <c r="O7" i="5" s="1"/>
  <c r="K31" i="5"/>
  <c r="N31" i="5" s="1"/>
  <c r="K24" i="5"/>
  <c r="M24" i="5" s="1"/>
  <c r="K22" i="5"/>
  <c r="O22" i="5" s="1"/>
  <c r="K16" i="5"/>
  <c r="M16" i="5" s="1"/>
  <c r="K3" i="5"/>
  <c r="N3" i="5" s="1"/>
  <c r="K18" i="5"/>
  <c r="N18" i="5" s="1"/>
  <c r="M21" i="5"/>
  <c r="L21" i="5"/>
  <c r="N21" i="5"/>
  <c r="O21" i="5"/>
  <c r="N27" i="5"/>
  <c r="L27" i="5"/>
  <c r="O27" i="5"/>
  <c r="M27" i="5"/>
  <c r="L9" i="5"/>
  <c r="M9" i="5"/>
  <c r="N9" i="5"/>
  <c r="O9" i="5"/>
  <c r="L25" i="5"/>
  <c r="M25" i="5"/>
  <c r="N25" i="5"/>
  <c r="O25" i="5"/>
  <c r="M8" i="5"/>
  <c r="N8" i="5"/>
  <c r="O8" i="5"/>
  <c r="L8" i="5"/>
  <c r="M29" i="5"/>
  <c r="L29" i="5"/>
  <c r="N29" i="5"/>
  <c r="O29" i="5"/>
  <c r="L5" i="5"/>
  <c r="M5" i="5"/>
  <c r="N5" i="5"/>
  <c r="O5" i="5"/>
  <c r="N11" i="5"/>
  <c r="O11" i="5"/>
  <c r="L11" i="5"/>
  <c r="M11" i="5"/>
  <c r="M17" i="5"/>
  <c r="L17" i="5"/>
  <c r="N17" i="5"/>
  <c r="O17" i="5"/>
  <c r="M12" i="5"/>
  <c r="N12" i="5"/>
  <c r="O12" i="5"/>
  <c r="L12" i="5"/>
  <c r="M28" i="5"/>
  <c r="N28" i="5"/>
  <c r="O28" i="5"/>
  <c r="L28" i="5"/>
  <c r="L26" i="5" l="1"/>
  <c r="O26" i="5"/>
  <c r="M10" i="5"/>
  <c r="L10" i="5"/>
  <c r="O10" i="5"/>
  <c r="L6" i="5"/>
  <c r="M20" i="5"/>
  <c r="M23" i="5"/>
  <c r="N23" i="5"/>
  <c r="L23" i="5"/>
  <c r="M26" i="5"/>
  <c r="N7" i="5"/>
  <c r="O19" i="5"/>
  <c r="O13" i="5"/>
  <c r="M19" i="5"/>
  <c r="N19" i="5"/>
  <c r="L7" i="5"/>
  <c r="L13" i="5"/>
  <c r="L4" i="5"/>
  <c r="M7" i="5"/>
  <c r="N13" i="5"/>
  <c r="R9" i="5"/>
  <c r="C49" i="5" s="1"/>
  <c r="C71" i="5" s="1"/>
  <c r="M14" i="5"/>
  <c r="N14" i="5"/>
  <c r="N4" i="5"/>
  <c r="O14" i="5"/>
  <c r="O31" i="5"/>
  <c r="M18" i="5"/>
  <c r="L31" i="5"/>
  <c r="L18" i="5"/>
  <c r="O18" i="5"/>
  <c r="L20" i="5"/>
  <c r="O6" i="5"/>
  <c r="O4" i="5"/>
  <c r="M31" i="5"/>
  <c r="M15" i="5"/>
  <c r="O20" i="5"/>
  <c r="N6" i="5"/>
  <c r="N15" i="5"/>
  <c r="O15" i="5"/>
  <c r="M3" i="5"/>
  <c r="M22" i="5"/>
  <c r="L22" i="5"/>
  <c r="L3" i="5"/>
  <c r="N22" i="5"/>
  <c r="O3" i="5"/>
  <c r="L24" i="5"/>
  <c r="L32" i="5"/>
  <c r="L16" i="5"/>
  <c r="N30" i="5"/>
  <c r="O24" i="5"/>
  <c r="O32" i="5"/>
  <c r="O16" i="5"/>
  <c r="M30" i="5"/>
  <c r="N24" i="5"/>
  <c r="N32" i="5"/>
  <c r="N16" i="5"/>
  <c r="O30" i="5"/>
  <c r="R3" i="5" l="1"/>
  <c r="U3" i="5" s="1"/>
  <c r="C54" i="5" s="1"/>
  <c r="R2" i="5"/>
  <c r="U2" i="5" s="1"/>
  <c r="C53" i="5" s="1"/>
  <c r="R4" i="5"/>
  <c r="U4" i="5" l="1"/>
  <c r="C55" i="5" s="1"/>
  <c r="R5" i="5"/>
  <c r="U5" i="5" s="1"/>
  <c r="C56" i="5" s="1"/>
  <c r="R8" i="5" l="1"/>
  <c r="C48" i="5" s="1"/>
  <c r="C70" i="5" s="1"/>
  <c r="V3" i="5"/>
  <c r="W3" i="5" s="1"/>
  <c r="V6" i="5"/>
  <c r="V20" i="5"/>
  <c r="W20" i="5" s="1"/>
  <c r="V26" i="5"/>
  <c r="W26" i="5" s="1"/>
  <c r="V12" i="5"/>
  <c r="W12" i="5" s="1"/>
  <c r="V32" i="5"/>
  <c r="W32" i="5" s="1"/>
  <c r="V18" i="5"/>
  <c r="W18" i="5" s="1"/>
  <c r="V10" i="5"/>
  <c r="W10" i="5" s="1"/>
  <c r="V15" i="5"/>
  <c r="W15" i="5" s="1"/>
  <c r="V22" i="5"/>
  <c r="W22" i="5" s="1"/>
  <c r="V30" i="5"/>
  <c r="W30" i="5" s="1"/>
  <c r="V27" i="5"/>
  <c r="W27" i="5" s="1"/>
  <c r="V8" i="5"/>
  <c r="W8" i="5" s="1"/>
  <c r="V23" i="5"/>
  <c r="W23" i="5" s="1"/>
  <c r="V25" i="5"/>
  <c r="W25" i="5" s="1"/>
  <c r="V9" i="5"/>
  <c r="W9" i="5" s="1"/>
  <c r="V29" i="5"/>
  <c r="W29" i="5" s="1"/>
  <c r="V7" i="5"/>
  <c r="W7" i="5" s="1"/>
  <c r="V4" i="5"/>
  <c r="W4" i="5" s="1"/>
  <c r="V13" i="5"/>
  <c r="W13" i="5" s="1"/>
  <c r="V19" i="5"/>
  <c r="W19" i="5" s="1"/>
  <c r="W6" i="5"/>
  <c r="V24" i="5"/>
  <c r="W24" i="5" s="1"/>
  <c r="V21" i="5"/>
  <c r="W21" i="5" s="1"/>
  <c r="V31" i="5"/>
  <c r="W31" i="5" s="1"/>
  <c r="V14" i="5"/>
  <c r="W14" i="5" s="1"/>
  <c r="V11" i="5"/>
  <c r="W11" i="5" s="1"/>
  <c r="V5" i="5"/>
  <c r="W5" i="5" s="1"/>
  <c r="V17" i="5"/>
  <c r="W17" i="5" s="1"/>
  <c r="V28" i="5"/>
  <c r="W28" i="5" s="1"/>
  <c r="V16" i="5"/>
  <c r="W16" i="5" s="1"/>
  <c r="X3" i="5" l="1"/>
  <c r="AA3" i="5" s="1"/>
  <c r="AC3" i="5"/>
  <c r="X28" i="5"/>
  <c r="AB28" i="5" s="1"/>
  <c r="AC28" i="5"/>
  <c r="X8" i="5"/>
  <c r="Y8" i="5" s="1"/>
  <c r="AC8" i="5"/>
  <c r="X5" i="5"/>
  <c r="Z5" i="5" s="1"/>
  <c r="AC5" i="5"/>
  <c r="X14" i="5"/>
  <c r="Z14" i="5" s="1"/>
  <c r="AC14" i="5"/>
  <c r="X22" i="5"/>
  <c r="Y22" i="5" s="1"/>
  <c r="AC22" i="5"/>
  <c r="X15" i="5"/>
  <c r="AB15" i="5" s="1"/>
  <c r="AC15" i="5"/>
  <c r="X6" i="5"/>
  <c r="AB6" i="5" s="1"/>
  <c r="AC6" i="5"/>
  <c r="X19" i="5"/>
  <c r="Y19" i="5" s="1"/>
  <c r="AC19" i="5"/>
  <c r="X13" i="5"/>
  <c r="AB13" i="5" s="1"/>
  <c r="AC13" i="5"/>
  <c r="X26" i="5"/>
  <c r="AA26" i="5" s="1"/>
  <c r="AC26" i="5"/>
  <c r="X7" i="5"/>
  <c r="AA7" i="5" s="1"/>
  <c r="AC7" i="5"/>
  <c r="X29" i="5"/>
  <c r="Z29" i="5" s="1"/>
  <c r="AC29" i="5"/>
  <c r="X17" i="5"/>
  <c r="AA17" i="5" s="1"/>
  <c r="AC17" i="5"/>
  <c r="X11" i="5"/>
  <c r="Z11" i="5" s="1"/>
  <c r="AC11" i="5"/>
  <c r="X30" i="5"/>
  <c r="AB30" i="5" s="1"/>
  <c r="AC30" i="5"/>
  <c r="X21" i="5"/>
  <c r="Z21" i="5" s="1"/>
  <c r="AC21" i="5"/>
  <c r="X10" i="5"/>
  <c r="Z10" i="5" s="1"/>
  <c r="AC10" i="5"/>
  <c r="X32" i="5"/>
  <c r="Y32" i="5" s="1"/>
  <c r="AC32" i="5"/>
  <c r="X9" i="5"/>
  <c r="Y9" i="5" s="1"/>
  <c r="AC9" i="5"/>
  <c r="X23" i="5"/>
  <c r="Z23" i="5" s="1"/>
  <c r="AC23" i="5"/>
  <c r="X27" i="5"/>
  <c r="Z27" i="5" s="1"/>
  <c r="AC27" i="5"/>
  <c r="X31" i="5"/>
  <c r="Z31" i="5" s="1"/>
  <c r="AC31" i="5"/>
  <c r="X24" i="5"/>
  <c r="AB24" i="5" s="1"/>
  <c r="AC24" i="5"/>
  <c r="X18" i="5"/>
  <c r="Z18" i="5" s="1"/>
  <c r="AC18" i="5"/>
  <c r="X12" i="5"/>
  <c r="AB12" i="5" s="1"/>
  <c r="AC12" i="5"/>
  <c r="X4" i="5"/>
  <c r="Z4" i="5" s="1"/>
  <c r="AC4" i="5"/>
  <c r="X20" i="5"/>
  <c r="Z20" i="5" s="1"/>
  <c r="AC20" i="5"/>
  <c r="X16" i="5"/>
  <c r="Z16" i="5" s="1"/>
  <c r="AC16" i="5"/>
  <c r="X25" i="5"/>
  <c r="Z25" i="5" s="1"/>
  <c r="AC25" i="5"/>
  <c r="Z3" i="5"/>
  <c r="AA18" i="5" l="1"/>
  <c r="Y18" i="5"/>
  <c r="AB18" i="5"/>
  <c r="Y26" i="5"/>
  <c r="AB19" i="5"/>
  <c r="AA19" i="5"/>
  <c r="Z19" i="5"/>
  <c r="AA23" i="5"/>
  <c r="AB23" i="5"/>
  <c r="Y23" i="5"/>
  <c r="AB7" i="5"/>
  <c r="AA5" i="5"/>
  <c r="Z7" i="5"/>
  <c r="AB20" i="5"/>
  <c r="AA20" i="5"/>
  <c r="AB29" i="5"/>
  <c r="AA29" i="5"/>
  <c r="Y10" i="5"/>
  <c r="Z32" i="5"/>
  <c r="AB3" i="5"/>
  <c r="AB8" i="5"/>
  <c r="AA32" i="5"/>
  <c r="AB32" i="5"/>
  <c r="AB10" i="5"/>
  <c r="Y3" i="5"/>
  <c r="AA28" i="5"/>
  <c r="Z12" i="5"/>
  <c r="Y21" i="5"/>
  <c r="Y28" i="5"/>
  <c r="Z8" i="5"/>
  <c r="AB21" i="5"/>
  <c r="Z28" i="5"/>
  <c r="AA21" i="5"/>
  <c r="AA8" i="5"/>
  <c r="Y12" i="5"/>
  <c r="AA12" i="5"/>
  <c r="Y4" i="5"/>
  <c r="AA4" i="5"/>
  <c r="AA13" i="5"/>
  <c r="Y14" i="5"/>
  <c r="Z13" i="5"/>
  <c r="Y29" i="5"/>
  <c r="Z26" i="5"/>
  <c r="Y27" i="5"/>
  <c r="AB14" i="5"/>
  <c r="Y13" i="5"/>
  <c r="AB27" i="5"/>
  <c r="Y20" i="5"/>
  <c r="AB26" i="5"/>
  <c r="AB4" i="5"/>
  <c r="AB16" i="5"/>
  <c r="AB9" i="5"/>
  <c r="Y5" i="5"/>
  <c r="AA10" i="5"/>
  <c r="AB5" i="5"/>
  <c r="Y16" i="5"/>
  <c r="AB25" i="5"/>
  <c r="Y17" i="5"/>
  <c r="Z15" i="5"/>
  <c r="Y25" i="5"/>
  <c r="AA25" i="5"/>
  <c r="AB31" i="5"/>
  <c r="Y7" i="5"/>
  <c r="Y31" i="5"/>
  <c r="AA9" i="5"/>
  <c r="Y15" i="5"/>
  <c r="Z17" i="5"/>
  <c r="AA31" i="5"/>
  <c r="Z9" i="5"/>
  <c r="AA27" i="5"/>
  <c r="AA15" i="5"/>
  <c r="AA22" i="5"/>
  <c r="AB17" i="5"/>
  <c r="Z22" i="5"/>
  <c r="Y30" i="5"/>
  <c r="AB22" i="5"/>
  <c r="AB11" i="5"/>
  <c r="AA14" i="5"/>
  <c r="AA16" i="5"/>
  <c r="AA30" i="5"/>
  <c r="Y11" i="5"/>
  <c r="AA11" i="5"/>
  <c r="Z30" i="5"/>
  <c r="Z6" i="5"/>
  <c r="Y24" i="5"/>
  <c r="AA24" i="5"/>
  <c r="Y6" i="5"/>
  <c r="AA6" i="5"/>
  <c r="Z24" i="5"/>
  <c r="AE9" i="5"/>
  <c r="C58" i="5" s="1"/>
  <c r="D71" i="5" s="1"/>
  <c r="AE3" i="5" l="1"/>
  <c r="AH3" i="5" s="1"/>
  <c r="C63" i="5" s="1"/>
  <c r="AE2" i="5"/>
  <c r="AH2" i="5" s="1"/>
  <c r="C62" i="5" s="1"/>
  <c r="AE4" i="5"/>
  <c r="AH4" i="5" s="1"/>
  <c r="C64" i="5" s="1"/>
  <c r="AE5" i="5"/>
  <c r="AE8" i="5" l="1"/>
  <c r="C57" i="5" s="1"/>
  <c r="D70" i="5" s="1"/>
  <c r="AH5" i="5"/>
  <c r="C65" i="5" s="1"/>
  <c r="AI27" i="5" l="1"/>
  <c r="AJ27" i="5" s="1"/>
  <c r="AI9" i="5"/>
  <c r="AJ9" i="5" s="1"/>
  <c r="AI7" i="5"/>
  <c r="AJ7" i="5" s="1"/>
  <c r="AI10" i="5"/>
  <c r="AJ10" i="5" s="1"/>
  <c r="AI5" i="5"/>
  <c r="AJ5" i="5" s="1"/>
  <c r="AI23" i="5"/>
  <c r="AJ23" i="5" s="1"/>
  <c r="AI22" i="5"/>
  <c r="AJ22" i="5" s="1"/>
  <c r="AI16" i="5"/>
  <c r="AJ16" i="5" s="1"/>
  <c r="AI18" i="5"/>
  <c r="AJ18" i="5" s="1"/>
  <c r="AI30" i="5"/>
  <c r="AJ30" i="5" s="1"/>
  <c r="AI26" i="5"/>
  <c r="AJ26" i="5" s="1"/>
  <c r="AI19" i="5"/>
  <c r="AJ19" i="5" s="1"/>
  <c r="AI31" i="5"/>
  <c r="AJ31" i="5" s="1"/>
  <c r="AI25" i="5"/>
  <c r="AJ25" i="5" s="1"/>
  <c r="AI13" i="5"/>
  <c r="AJ13" i="5" s="1"/>
  <c r="AI20" i="5"/>
  <c r="AJ20" i="5" s="1"/>
  <c r="AI28" i="5"/>
  <c r="AJ28" i="5" s="1"/>
  <c r="AI29" i="5"/>
  <c r="AJ29" i="5" s="1"/>
  <c r="AI3" i="5"/>
  <c r="AI4" i="5"/>
  <c r="AJ4" i="5" s="1"/>
  <c r="AI8" i="5"/>
  <c r="AJ8" i="5" s="1"/>
  <c r="AI12" i="5"/>
  <c r="AJ12" i="5" s="1"/>
  <c r="AI17" i="5"/>
  <c r="AJ17" i="5" s="1"/>
  <c r="AI14" i="5"/>
  <c r="AJ14" i="5" s="1"/>
  <c r="AI6" i="5"/>
  <c r="AJ6" i="5" s="1"/>
  <c r="AI21" i="5"/>
  <c r="AJ21" i="5" s="1"/>
  <c r="AI32" i="5"/>
  <c r="AJ32" i="5" s="1"/>
  <c r="AI24" i="5"/>
  <c r="AJ24" i="5" s="1"/>
  <c r="AI11" i="5"/>
  <c r="AJ11" i="5" s="1"/>
  <c r="AI15" i="5"/>
  <c r="AJ15" i="5" s="1"/>
  <c r="AK32" i="5" l="1"/>
  <c r="AP32" i="5"/>
  <c r="AK15" i="5"/>
  <c r="AO15" i="5" s="1"/>
  <c r="AP15" i="5"/>
  <c r="AK14" i="5"/>
  <c r="AN14" i="5" s="1"/>
  <c r="AP14" i="5"/>
  <c r="AK20" i="5"/>
  <c r="AM20" i="5" s="1"/>
  <c r="AP20" i="5"/>
  <c r="AK25" i="5"/>
  <c r="AL25" i="5" s="1"/>
  <c r="AP25" i="5"/>
  <c r="AK19" i="5"/>
  <c r="AL19" i="5" s="1"/>
  <c r="AP19" i="5"/>
  <c r="AK30" i="5"/>
  <c r="AL30" i="5" s="1"/>
  <c r="AP30" i="5"/>
  <c r="AK4" i="5"/>
  <c r="AL4" i="5" s="1"/>
  <c r="AP4" i="5"/>
  <c r="AK13" i="5"/>
  <c r="AP13" i="5"/>
  <c r="AK31" i="5"/>
  <c r="AL31" i="5" s="1"/>
  <c r="AP31" i="5"/>
  <c r="AK26" i="5"/>
  <c r="AN26" i="5" s="1"/>
  <c r="AP26" i="5"/>
  <c r="AK18" i="5"/>
  <c r="AM18" i="5" s="1"/>
  <c r="AP18" i="5"/>
  <c r="AK17" i="5"/>
  <c r="AL17" i="5" s="1"/>
  <c r="AP17" i="5"/>
  <c r="AK12" i="5"/>
  <c r="AO12" i="5" s="1"/>
  <c r="AP12" i="5"/>
  <c r="AK8" i="5"/>
  <c r="AL8" i="5" s="1"/>
  <c r="AP8" i="5"/>
  <c r="AK9" i="5"/>
  <c r="AL9" i="5" s="1"/>
  <c r="AP9" i="5"/>
  <c r="AK11" i="5"/>
  <c r="AN11" i="5" s="1"/>
  <c r="AP11" i="5"/>
  <c r="AK24" i="5"/>
  <c r="AM24" i="5" s="1"/>
  <c r="AP24" i="5"/>
  <c r="AK21" i="5"/>
  <c r="AO21" i="5" s="1"/>
  <c r="AP21" i="5"/>
  <c r="AK6" i="5"/>
  <c r="AO6" i="5" s="1"/>
  <c r="AP6" i="5"/>
  <c r="AK16" i="5"/>
  <c r="AO16" i="5" s="1"/>
  <c r="AP16" i="5"/>
  <c r="AK22" i="5"/>
  <c r="AM22" i="5" s="1"/>
  <c r="AP22" i="5"/>
  <c r="AK23" i="5"/>
  <c r="AM23" i="5" s="1"/>
  <c r="AP23" i="5"/>
  <c r="AK5" i="5"/>
  <c r="AN5" i="5" s="1"/>
  <c r="AP5" i="5"/>
  <c r="AK10" i="5"/>
  <c r="AP10" i="5"/>
  <c r="AK7" i="5"/>
  <c r="AO7" i="5" s="1"/>
  <c r="AP7" i="5"/>
  <c r="AK29" i="5"/>
  <c r="AM29" i="5" s="1"/>
  <c r="AP29" i="5"/>
  <c r="AK28" i="5"/>
  <c r="AL28" i="5" s="1"/>
  <c r="AP28" i="5"/>
  <c r="AK27" i="5"/>
  <c r="AO27" i="5" s="1"/>
  <c r="AP27" i="5"/>
  <c r="AL26" i="5"/>
  <c r="AM26" i="5"/>
  <c r="AL29" i="5"/>
  <c r="AM14" i="5"/>
  <c r="AJ3" i="5"/>
  <c r="AL11" i="5"/>
  <c r="AM11" i="5"/>
  <c r="AO11" i="5"/>
  <c r="AO24" i="5"/>
  <c r="AL24" i="5"/>
  <c r="AL10" i="5"/>
  <c r="AM10" i="5"/>
  <c r="AN10" i="5"/>
  <c r="AO10" i="5"/>
  <c r="AL32" i="5"/>
  <c r="AM32" i="5"/>
  <c r="AN32" i="5"/>
  <c r="AO32" i="5"/>
  <c r="AL13" i="5"/>
  <c r="AM13" i="5"/>
  <c r="AN13" i="5"/>
  <c r="AO13" i="5"/>
  <c r="AO31" i="5" l="1"/>
  <c r="AN31" i="5"/>
  <c r="AM31" i="5"/>
  <c r="AM27" i="5"/>
  <c r="AN27" i="5"/>
  <c r="AL27" i="5"/>
  <c r="AM21" i="5"/>
  <c r="AN7" i="5"/>
  <c r="AL7" i="5"/>
  <c r="AM7" i="5"/>
  <c r="AN20" i="5"/>
  <c r="AO19" i="5"/>
  <c r="AO28" i="5"/>
  <c r="AL15" i="5"/>
  <c r="AN19" i="5"/>
  <c r="AL23" i="5"/>
  <c r="AN15" i="5"/>
  <c r="AM15" i="5"/>
  <c r="AL18" i="5"/>
  <c r="AL21" i="5"/>
  <c r="AN21" i="5"/>
  <c r="AO20" i="5"/>
  <c r="AO18" i="5"/>
  <c r="AO9" i="5"/>
  <c r="AM19" i="5"/>
  <c r="AO5" i="5"/>
  <c r="AN6" i="5"/>
  <c r="AN30" i="5"/>
  <c r="AO25" i="5"/>
  <c r="AL14" i="5"/>
  <c r="AO29" i="5"/>
  <c r="AN29" i="5"/>
  <c r="AO22" i="5"/>
  <c r="AN28" i="5"/>
  <c r="AM28" i="5"/>
  <c r="AN25" i="5"/>
  <c r="AM25" i="5"/>
  <c r="AM5" i="5"/>
  <c r="AM12" i="5"/>
  <c r="AM4" i="5"/>
  <c r="AM30" i="5"/>
  <c r="AO30" i="5"/>
  <c r="AN22" i="5"/>
  <c r="AN4" i="5"/>
  <c r="AL22" i="5"/>
  <c r="AK3" i="5"/>
  <c r="AL3" i="5" s="1"/>
  <c r="AP3" i="5"/>
  <c r="AR9" i="5" s="1"/>
  <c r="C67" i="5" s="1"/>
  <c r="E71" i="5" s="1"/>
  <c r="AN16" i="5"/>
  <c r="AO4" i="5"/>
  <c r="AM8" i="5"/>
  <c r="AM6" i="5"/>
  <c r="AL6" i="5"/>
  <c r="AL20" i="5"/>
  <c r="AM16" i="5"/>
  <c r="AL16" i="5"/>
  <c r="AL5" i="5"/>
  <c r="AN12" i="5"/>
  <c r="AL12" i="5"/>
  <c r="AO17" i="5"/>
  <c r="AO8" i="5"/>
  <c r="AN8" i="5"/>
  <c r="AN23" i="5"/>
  <c r="AN17" i="5"/>
  <c r="AM17" i="5"/>
  <c r="AN9" i="5"/>
  <c r="AO23" i="5"/>
  <c r="AM9" i="5"/>
  <c r="AN24" i="5"/>
  <c r="AN18" i="5"/>
  <c r="AO14" i="5"/>
  <c r="AO26" i="5"/>
  <c r="AR2" i="5" l="1"/>
  <c r="AN3" i="5"/>
  <c r="AM3" i="5"/>
  <c r="AR3" i="5" s="1"/>
  <c r="AO3" i="5"/>
  <c r="AR4" i="5"/>
  <c r="K16" i="4" l="1"/>
  <c r="AU4" i="5"/>
  <c r="K15" i="4"/>
  <c r="AU3" i="5"/>
  <c r="K14" i="4"/>
  <c r="AU2" i="5"/>
  <c r="AR5" i="5"/>
  <c r="AU5" i="5" s="1"/>
  <c r="AR8" i="5" l="1"/>
  <c r="C66" i="5" s="1"/>
  <c r="E70" i="5" s="1"/>
  <c r="K17" i="4"/>
  <c r="I4" i="4" l="1"/>
  <c r="J4" i="4" s="1"/>
  <c r="K4" i="4" s="1"/>
  <c r="L4" i="4" s="1"/>
  <c r="I12" i="4"/>
  <c r="J12" i="4" s="1"/>
  <c r="K12" i="4" s="1"/>
  <c r="L12" i="4" s="1"/>
  <c r="I11" i="4"/>
  <c r="J11" i="4" s="1"/>
  <c r="K11" i="4" s="1"/>
  <c r="L11" i="4" s="1"/>
  <c r="I9" i="4"/>
  <c r="J9" i="4" s="1"/>
  <c r="K9" i="4" s="1"/>
  <c r="L9" i="4" s="1"/>
  <c r="I8" i="4"/>
  <c r="J8" i="4" s="1"/>
  <c r="K8" i="4" s="1"/>
  <c r="L8" i="4" s="1"/>
  <c r="I7" i="4"/>
  <c r="J7" i="4" s="1"/>
  <c r="K7" i="4" s="1"/>
  <c r="L7" i="4" s="1"/>
  <c r="I5" i="4"/>
  <c r="J5" i="4" s="1"/>
  <c r="K5" i="4" s="1"/>
  <c r="L5" i="4" s="1"/>
  <c r="I3" i="4"/>
  <c r="J3" i="4" s="1"/>
  <c r="K3" i="4" s="1"/>
  <c r="L3" i="4" s="1"/>
  <c r="I10" i="4"/>
  <c r="J10" i="4" s="1"/>
  <c r="K10" i="4" s="1"/>
  <c r="L10" i="4" s="1"/>
  <c r="I6" i="4"/>
  <c r="J6" i="4" s="1"/>
  <c r="K6" i="4" s="1"/>
  <c r="L6" i="4" s="1"/>
</calcChain>
</file>

<file path=xl/sharedStrings.xml><?xml version="1.0" encoding="utf-8"?>
<sst xmlns="http://schemas.openxmlformats.org/spreadsheetml/2006/main" count="25671" uniqueCount="193">
  <si>
    <t>sex</t>
  </si>
  <si>
    <t>car</t>
  </si>
  <si>
    <t>income</t>
  </si>
  <si>
    <t>income_type</t>
  </si>
  <si>
    <t>education</t>
  </si>
  <si>
    <t>family_status</t>
  </si>
  <si>
    <t>house</t>
  </si>
  <si>
    <t>organization</t>
  </si>
  <si>
    <t>contract_x</t>
  </si>
  <si>
    <t>amount</t>
  </si>
  <si>
    <t>down_payment</t>
  </si>
  <si>
    <t>start_day_x</t>
  </si>
  <si>
    <t>purpose</t>
  </si>
  <si>
    <t>contract_status</t>
  </si>
  <si>
    <t>payment_type</t>
  </si>
  <si>
    <t>reject_reason</t>
  </si>
  <si>
    <t>label_refused</t>
  </si>
  <si>
    <t>M</t>
  </si>
  <si>
    <t>N</t>
  </si>
  <si>
    <t>Working</t>
  </si>
  <si>
    <t>Secondary / secondary special</t>
  </si>
  <si>
    <t>Single / not married</t>
  </si>
  <si>
    <t>House / apartment</t>
  </si>
  <si>
    <t>Business Entity Type 3</t>
  </si>
  <si>
    <t>Consumer loans</t>
  </si>
  <si>
    <t>SATURDAY</t>
  </si>
  <si>
    <t>XAP</t>
  </si>
  <si>
    <t>Approved</t>
  </si>
  <si>
    <t>XNA</t>
  </si>
  <si>
    <t>F</t>
  </si>
  <si>
    <t>State servant</t>
  </si>
  <si>
    <t>Higher education</t>
  </si>
  <si>
    <t>Married</t>
  </si>
  <si>
    <t>School</t>
  </si>
  <si>
    <t>SUNDAY</t>
  </si>
  <si>
    <t>Cash through the bank</t>
  </si>
  <si>
    <t>Y</t>
  </si>
  <si>
    <t>Government</t>
  </si>
  <si>
    <t>FRIDAY</t>
  </si>
  <si>
    <t>Civil marriage</t>
  </si>
  <si>
    <t xml:space="preserve">House </t>
  </si>
  <si>
    <t>Other</t>
  </si>
  <si>
    <t>THURSDAY</t>
  </si>
  <si>
    <t>MONDAY</t>
  </si>
  <si>
    <t>Commercial associate</t>
  </si>
  <si>
    <t>WEDNESDAY</t>
  </si>
  <si>
    <t>Pensioner</t>
  </si>
  <si>
    <t>Electricity</t>
  </si>
  <si>
    <t>Business Entity Type 2</t>
  </si>
  <si>
    <t>Self-employed</t>
  </si>
  <si>
    <t>Transport: type 2</t>
  </si>
  <si>
    <t>TUESDAY</t>
  </si>
  <si>
    <t>Rented apartment</t>
  </si>
  <si>
    <t>Construction</t>
  </si>
  <si>
    <t>Widow</t>
  </si>
  <si>
    <t>Housing</t>
  </si>
  <si>
    <t>Kindergarten</t>
  </si>
  <si>
    <t>Trade: type 7</t>
  </si>
  <si>
    <t>Refused</t>
  </si>
  <si>
    <t>SCO</t>
  </si>
  <si>
    <t>LIMIT</t>
  </si>
  <si>
    <t>Industry: type 11</t>
  </si>
  <si>
    <t>With parents</t>
  </si>
  <si>
    <t>Services</t>
  </si>
  <si>
    <t>HC</t>
  </si>
  <si>
    <t>Transport: type 4</t>
  </si>
  <si>
    <t>Cash loans</t>
  </si>
  <si>
    <t>VERIF</t>
  </si>
  <si>
    <t>Medicine</t>
  </si>
  <si>
    <t>Separated</t>
  </si>
  <si>
    <t>Incomplete higher</t>
  </si>
  <si>
    <t>Trade: type 2</t>
  </si>
  <si>
    <t>University</t>
  </si>
  <si>
    <t>Municipal apartment</t>
  </si>
  <si>
    <t>Education</t>
  </si>
  <si>
    <t>Business Entity Type 1</t>
  </si>
  <si>
    <t>Unused offer</t>
  </si>
  <si>
    <t>CLIENT</t>
  </si>
  <si>
    <t>Postal</t>
  </si>
  <si>
    <t>Transport: type 3</t>
  </si>
  <si>
    <t>Industry: type 4</t>
  </si>
  <si>
    <t>Agriculture</t>
  </si>
  <si>
    <t>Repairs</t>
  </si>
  <si>
    <t>Non-cash from your account</t>
  </si>
  <si>
    <t>Culture</t>
  </si>
  <si>
    <t>Hotel</t>
  </si>
  <si>
    <t>Industry: type 7</t>
  </si>
  <si>
    <t>Office apartment</t>
  </si>
  <si>
    <t>Cashless from the account of the employer</t>
  </si>
  <si>
    <t>Industry: type 3</t>
  </si>
  <si>
    <t>Revolving loans</t>
  </si>
  <si>
    <t>Bank</t>
  </si>
  <si>
    <t>Trade: type 3</t>
  </si>
  <si>
    <t>Industry: type 9</t>
  </si>
  <si>
    <t>Restaurant</t>
  </si>
  <si>
    <t>Co-op apartment</t>
  </si>
  <si>
    <t>Military</t>
  </si>
  <si>
    <t>Industry: type 2</t>
  </si>
  <si>
    <t>Transport: type 1</t>
  </si>
  <si>
    <t>Police</t>
  </si>
  <si>
    <t>Security</t>
  </si>
  <si>
    <t>Emergency</t>
  </si>
  <si>
    <t>SCOFR</t>
  </si>
  <si>
    <t>Security Ministries</t>
  </si>
  <si>
    <t>Lower secondary</t>
  </si>
  <si>
    <t>Industry: type 12</t>
  </si>
  <si>
    <t>Industry: type 1</t>
  </si>
  <si>
    <t>Payments on other loans</t>
  </si>
  <si>
    <t>Insurance</t>
  </si>
  <si>
    <t>Trade: type 1</t>
  </si>
  <si>
    <t>Industry: type 10</t>
  </si>
  <si>
    <t>Canceled</t>
  </si>
  <si>
    <t>Trade: type 6</t>
  </si>
  <si>
    <t>Everyday expenses</t>
  </si>
  <si>
    <t>Industry: type 5</t>
  </si>
  <si>
    <t>Legal Services</t>
  </si>
  <si>
    <t>Advertising</t>
  </si>
  <si>
    <t>y</t>
  </si>
  <si>
    <t>z</t>
  </si>
  <si>
    <r>
      <t>X</t>
    </r>
    <r>
      <rPr>
        <b/>
        <vertAlign val="subscript"/>
        <sz val="11"/>
        <color theme="1"/>
        <rFont val="Calibri"/>
        <family val="2"/>
        <scheme val="minor"/>
      </rPr>
      <t>1</t>
    </r>
  </si>
  <si>
    <r>
      <t>X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</si>
  <si>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X</t>
    </r>
    <r>
      <rPr>
        <b/>
        <vertAlign val="subscript"/>
        <sz val="11"/>
        <color theme="1"/>
        <rFont val="Calibri"/>
        <family val="2"/>
        <scheme val="minor"/>
      </rPr>
      <t>3</t>
    </r>
  </si>
  <si>
    <t>Lần lặp 1</t>
  </si>
  <si>
    <t>ŷ</t>
  </si>
  <si>
    <r>
      <t>X</t>
    </r>
    <r>
      <rPr>
        <b/>
        <vertAlign val="subscript"/>
        <sz val="11"/>
        <color theme="1"/>
        <rFont val="Calibri"/>
        <family val="2"/>
        <scheme val="minor"/>
      </rPr>
      <t>0</t>
    </r>
  </si>
  <si>
    <t>∇𝓛(β0)</t>
  </si>
  <si>
    <t>∇𝓛(β1)</t>
  </si>
  <si>
    <t>∇𝓛(β2)</t>
  </si>
  <si>
    <t>∇𝓛(β3)</t>
  </si>
  <si>
    <t>n</t>
  </si>
  <si>
    <t>ŷ - y</t>
  </si>
  <si>
    <r>
      <t>(ŷ - y)X</t>
    </r>
    <r>
      <rPr>
        <b/>
        <vertAlign val="subscript"/>
        <sz val="11"/>
        <color theme="1"/>
        <rFont val="Calibri"/>
        <family val="2"/>
        <scheme val="minor"/>
      </rPr>
      <t>0</t>
    </r>
  </si>
  <si>
    <r>
      <t>(ŷ - y)X</t>
    </r>
    <r>
      <rPr>
        <b/>
        <vertAlign val="subscript"/>
        <sz val="11"/>
        <color theme="1"/>
        <rFont val="Calibri"/>
        <family val="2"/>
        <scheme val="minor"/>
      </rPr>
      <t>1</t>
    </r>
  </si>
  <si>
    <r>
      <t>(ŷ - y)X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</si>
  <si>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(ŷ - y)X</t>
    </r>
    <r>
      <rPr>
        <b/>
        <vertAlign val="subscript"/>
        <sz val="11"/>
        <color theme="1"/>
        <rFont val="Calibri"/>
        <family val="2"/>
        <scheme val="minor"/>
      </rPr>
      <t>3</t>
    </r>
  </si>
  <si>
    <t>Lần lặp 2</t>
  </si>
  <si>
    <t>α = η</t>
  </si>
  <si>
    <t xml:space="preserve">μ1 </t>
  </si>
  <si>
    <t>σ1</t>
  </si>
  <si>
    <t>μ2</t>
  </si>
  <si>
    <t>σ2</t>
  </si>
  <si>
    <t>μ3</t>
  </si>
  <si>
    <t>σ3</t>
  </si>
  <si>
    <t>‖∇L(β)‖</t>
  </si>
  <si>
    <t>ε</t>
  </si>
  <si>
    <t>Lần lặp 3</t>
  </si>
  <si>
    <t>Lặp lần 1</t>
  </si>
  <si>
    <t>Lặp lần 2</t>
  </si>
  <si>
    <t>Lặp lần 3</t>
  </si>
  <si>
    <r>
      <t>ϐ</t>
    </r>
    <r>
      <rPr>
        <b/>
        <vertAlign val="subscript"/>
        <sz val="11"/>
        <color theme="1"/>
        <rFont val="Aptos Narrow"/>
        <family val="2"/>
      </rPr>
      <t>0</t>
    </r>
  </si>
  <si>
    <r>
      <t>ϐ</t>
    </r>
    <r>
      <rPr>
        <b/>
        <vertAlign val="subscript"/>
        <sz val="11"/>
        <color theme="1"/>
        <rFont val="Aptos Narrow"/>
        <family val="2"/>
      </rPr>
      <t>1</t>
    </r>
  </si>
  <si>
    <r>
      <t>ϐ</t>
    </r>
    <r>
      <rPr>
        <b/>
        <vertAlign val="subscript"/>
        <sz val="11"/>
        <color theme="1"/>
        <rFont val="Aptos Narrow"/>
        <family val="2"/>
      </rPr>
      <t>2</t>
    </r>
  </si>
  <si>
    <r>
      <t>ϐ</t>
    </r>
    <r>
      <rPr>
        <b/>
        <vertAlign val="subscript"/>
        <sz val="11"/>
        <color theme="1"/>
        <rFont val="Aptos Narrow"/>
        <family val="2"/>
      </rPr>
      <t>3</t>
    </r>
  </si>
  <si>
    <t>Input</t>
  </si>
  <si>
    <t>số mẫu training</t>
  </si>
  <si>
    <t>Value</t>
  </si>
  <si>
    <t>Desc</t>
  </si>
  <si>
    <t>Output</t>
  </si>
  <si>
    <t>sai số, làm điều kiện dừng</t>
  </si>
  <si>
    <t>learning rate, bước nhảy</t>
  </si>
  <si>
    <t>𝓛(β)</t>
  </si>
  <si>
    <t>‖𝓛(β)‖</t>
  </si>
  <si>
    <t>Iteration 1</t>
  </si>
  <si>
    <t>Hệ số hồi quy khởi tạo</t>
  </si>
  <si>
    <r>
      <t>ϐ</t>
    </r>
    <r>
      <rPr>
        <b/>
        <vertAlign val="subscript"/>
        <sz val="11"/>
        <color rgb="FF7030A0"/>
        <rFont val="Aptos Narrow"/>
        <family val="2"/>
      </rPr>
      <t>0</t>
    </r>
  </si>
  <si>
    <r>
      <t>ϐ</t>
    </r>
    <r>
      <rPr>
        <b/>
        <vertAlign val="subscript"/>
        <sz val="11"/>
        <color rgb="FF7030A0"/>
        <rFont val="Aptos Narrow"/>
        <family val="2"/>
      </rPr>
      <t>1</t>
    </r>
  </si>
  <si>
    <r>
      <t>ϐ</t>
    </r>
    <r>
      <rPr>
        <b/>
        <vertAlign val="subscript"/>
        <sz val="11"/>
        <color rgb="FF7030A0"/>
        <rFont val="Aptos Narrow"/>
        <family val="2"/>
      </rPr>
      <t>2</t>
    </r>
  </si>
  <si>
    <r>
      <t>ϐ</t>
    </r>
    <r>
      <rPr>
        <b/>
        <vertAlign val="subscript"/>
        <sz val="11"/>
        <color rgb="FF7030A0"/>
        <rFont val="Aptos Narrow"/>
        <family val="2"/>
      </rPr>
      <t>3</t>
    </r>
  </si>
  <si>
    <t>𝓛(β)-i</t>
  </si>
  <si>
    <t>Xét điều kiện dừng</t>
  </si>
  <si>
    <t>Quan sát hàm mất mát</t>
  </si>
  <si>
    <t>Iteration</t>
  </si>
  <si>
    <t>Iteration 2</t>
  </si>
  <si>
    <t>Iteration 3</t>
  </si>
  <si>
    <t xml:space="preserve">tổng số mẫu n= </t>
  </si>
  <si>
    <t>mean và variance của income</t>
  </si>
  <si>
    <t>mean và variance của amount</t>
  </si>
  <si>
    <t>mean và variance của downpayment</t>
  </si>
  <si>
    <t>X=</t>
  </si>
  <si>
    <t>(income, amount, down_payment)</t>
  </si>
  <si>
    <t>(thu nhập, số tiền vay, khoản trả trước)</t>
  </si>
  <si>
    <t>y=</t>
  </si>
  <si>
    <t>bị từ chối khoản vay, được gán nhãn</t>
  </si>
  <si>
    <t>=1 nếu bị từ chối, =0 ngược lại</t>
  </si>
  <si>
    <t>Sale X với mean và variance</t>
  </si>
  <si>
    <t>Mô tả dữ liệu</t>
  </si>
  <si>
    <t>Các tham số chạy Gradient Descent để tìm các hệ số hồi quy</t>
  </si>
  <si>
    <t>Điều kiện dừng:</t>
  </si>
  <si>
    <t>Khi '‖𝓛(β)‖ &lt; = ε HOẶC đạt số lần lặp max</t>
  </si>
  <si>
    <t>Before Scale</t>
  </si>
  <si>
    <t>After Scale</t>
  </si>
  <si>
    <t>lable_ŷ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</si>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</sst>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00"/>
    <numFmt numFmtId="165" formatCode="_(* #,##0.0000000000_);_(* \(#,##0.0000000000\);_(* &quot;-&quot;??_);_(@_)"/>
    <numFmt numFmtId="166" formatCode="0.000000000"/>
    <numFmt numFmtId="172" formatCode="0.0000"/>
    <numFmt numFmtId="174" formatCode="0.00000000"/>
    <numFmt numFmtId="177" formatCode="_(* #,##0.00000000_);_(* \(#,##0.00000000\);_(* &quot;-&quot;??_);_(@_)"/>
    <numFmt numFmtId="182" formatCode="0.000000"/>
    <numFmt numFmtId="183" formatCode="_(* #,##0.0000_);_(* \(#,##0.00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vertAlign val="subscript"/>
      <sz val="11"/>
      <color theme="1"/>
      <name val="Aptos Narrow"/>
      <family val="2"/>
    </font>
    <font>
      <sz val="11"/>
      <color rgb="FF9C0006"/>
      <name val="Calibri"/>
      <family val="2"/>
      <scheme val="minor"/>
    </font>
    <font>
      <b/>
      <sz val="11"/>
      <color rgb="FF7030A0"/>
      <name val="Aptos Narrow"/>
      <family val="2"/>
    </font>
    <font>
      <b/>
      <vertAlign val="subscript"/>
      <sz val="11"/>
      <color rgb="FF7030A0"/>
      <name val="Aptos Narrow"/>
      <family val="2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8" fillId="5" borderId="0" applyNumberFormat="0" applyBorder="0" applyAlignment="0" applyProtection="0"/>
  </cellStyleXfs>
  <cellXfs count="7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1" fontId="0" fillId="0" borderId="0" xfId="0" applyNumberFormat="1"/>
    <xf numFmtId="0" fontId="0" fillId="0" borderId="1" xfId="0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1" xfId="0" applyNumberFormat="1" applyBorder="1" applyAlignment="1">
      <alignment horizontal="left" indent="2"/>
    </xf>
    <xf numFmtId="0" fontId="0" fillId="0" borderId="0" xfId="0" applyAlignment="1">
      <alignment horizontal="right"/>
    </xf>
    <xf numFmtId="0" fontId="3" fillId="0" borderId="3" xfId="0" applyFont="1" applyBorder="1"/>
    <xf numFmtId="0" fontId="0" fillId="0" borderId="3" xfId="0" applyBorder="1"/>
    <xf numFmtId="0" fontId="3" fillId="2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43" fontId="0" fillId="0" borderId="3" xfId="1" applyFont="1" applyBorder="1"/>
    <xf numFmtId="2" fontId="0" fillId="0" borderId="3" xfId="0" applyNumberFormat="1" applyBorder="1"/>
    <xf numFmtId="43" fontId="0" fillId="0" borderId="3" xfId="0" applyNumberFormat="1" applyBorder="1"/>
    <xf numFmtId="166" fontId="0" fillId="0" borderId="0" xfId="0" applyNumberFormat="1"/>
    <xf numFmtId="0" fontId="6" fillId="0" borderId="1" xfId="0" applyFont="1" applyBorder="1" applyAlignment="1">
      <alignment horizontal="right"/>
    </xf>
    <xf numFmtId="0" fontId="3" fillId="2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4" xfId="0" applyFont="1" applyFill="1" applyBorder="1" applyAlignment="1">
      <alignment horizontal="center" vertical="center" textRotation="90"/>
    </xf>
    <xf numFmtId="0" fontId="3" fillId="0" borderId="0" xfId="0" applyFont="1"/>
    <xf numFmtId="0" fontId="4" fillId="0" borderId="0" xfId="0" applyFont="1" applyFill="1" applyBorder="1" applyAlignment="1">
      <alignment horizontal="right"/>
    </xf>
    <xf numFmtId="0" fontId="3" fillId="0" borderId="3" xfId="0" applyFont="1" applyFill="1" applyBorder="1"/>
    <xf numFmtId="0" fontId="3" fillId="0" borderId="3" xfId="0" applyFont="1" applyFill="1" applyBorder="1" applyAlignment="1">
      <alignment horizontal="right"/>
    </xf>
    <xf numFmtId="0" fontId="0" fillId="0" borderId="3" xfId="0" applyFill="1" applyBorder="1"/>
    <xf numFmtId="0" fontId="4" fillId="0" borderId="3" xfId="0" applyFont="1" applyFill="1" applyBorder="1" applyAlignment="1">
      <alignment horizontal="right"/>
    </xf>
    <xf numFmtId="0" fontId="3" fillId="0" borderId="5" xfId="0" applyFont="1" applyBorder="1"/>
    <xf numFmtId="0" fontId="0" fillId="0" borderId="6" xfId="0" applyBorder="1"/>
    <xf numFmtId="0" fontId="0" fillId="0" borderId="5" xfId="0" applyBorder="1"/>
    <xf numFmtId="0" fontId="6" fillId="0" borderId="3" xfId="0" applyFont="1" applyFill="1" applyBorder="1" applyAlignment="1">
      <alignment horizontal="right"/>
    </xf>
    <xf numFmtId="0" fontId="4" fillId="0" borderId="3" xfId="0" quotePrefix="1" applyFont="1" applyFill="1" applyBorder="1" applyAlignment="1">
      <alignment horizontal="right"/>
    </xf>
    <xf numFmtId="0" fontId="9" fillId="0" borderId="3" xfId="0" applyFont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9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0" fillId="0" borderId="0" xfId="0" applyBorder="1"/>
    <xf numFmtId="174" fontId="12" fillId="0" borderId="0" xfId="0" applyNumberFormat="1" applyFont="1"/>
    <xf numFmtId="172" fontId="12" fillId="0" borderId="3" xfId="0" applyNumberFormat="1" applyFont="1" applyBorder="1"/>
    <xf numFmtId="0" fontId="6" fillId="0" borderId="6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172" fontId="12" fillId="0" borderId="5" xfId="0" applyNumberFormat="1" applyFont="1" applyBorder="1"/>
    <xf numFmtId="0" fontId="3" fillId="4" borderId="0" xfId="0" applyFont="1" applyFill="1" applyBorder="1" applyAlignment="1">
      <alignment horizontal="center" vertical="center" textRotation="90"/>
    </xf>
    <xf numFmtId="0" fontId="11" fillId="0" borderId="1" xfId="0" applyFont="1" applyBorder="1" applyAlignment="1">
      <alignment horizontal="right"/>
    </xf>
    <xf numFmtId="165" fontId="0" fillId="0" borderId="3" xfId="0" applyNumberFormat="1" applyBorder="1"/>
    <xf numFmtId="0" fontId="0" fillId="0" borderId="3" xfId="0" applyBorder="1" applyAlignment="1">
      <alignment horizontal="left" vertical="center"/>
    </xf>
    <xf numFmtId="166" fontId="0" fillId="0" borderId="3" xfId="0" applyNumberFormat="1" applyBorder="1"/>
    <xf numFmtId="0" fontId="6" fillId="0" borderId="3" xfId="0" quotePrefix="1" applyFont="1" applyFill="1" applyBorder="1" applyAlignment="1">
      <alignment horizontal="right"/>
    </xf>
    <xf numFmtId="172" fontId="0" fillId="0" borderId="3" xfId="0" applyNumberFormat="1" applyBorder="1"/>
    <xf numFmtId="183" fontId="0" fillId="0" borderId="3" xfId="0" applyNumberFormat="1" applyBorder="1"/>
    <xf numFmtId="0" fontId="0" fillId="0" borderId="0" xfId="0" quotePrefix="1"/>
    <xf numFmtId="0" fontId="0" fillId="0" borderId="0" xfId="0" applyFont="1"/>
    <xf numFmtId="0" fontId="0" fillId="0" borderId="0" xfId="0" applyAlignment="1">
      <alignment horizontal="left" indent="2"/>
    </xf>
    <xf numFmtId="0" fontId="6" fillId="0" borderId="3" xfId="0" applyFont="1" applyFill="1" applyBorder="1" applyAlignment="1">
      <alignment horizontal="left"/>
    </xf>
    <xf numFmtId="0" fontId="0" fillId="0" borderId="3" xfId="0" applyBorder="1" applyAlignment="1">
      <alignment horizontal="left" indent="2"/>
    </xf>
    <xf numFmtId="0" fontId="0" fillId="0" borderId="5" xfId="0" applyFill="1" applyBorder="1"/>
    <xf numFmtId="0" fontId="0" fillId="0" borderId="7" xfId="0" applyBorder="1"/>
    <xf numFmtId="0" fontId="0" fillId="0" borderId="6" xfId="0" applyNumberFormat="1" applyBorder="1"/>
    <xf numFmtId="177" fontId="0" fillId="0" borderId="0" xfId="1" applyNumberFormat="1" applyFont="1" applyAlignment="1">
      <alignment horizontal="left"/>
    </xf>
    <xf numFmtId="182" fontId="0" fillId="0" borderId="1" xfId="0" applyNumberFormat="1" applyBorder="1" applyAlignment="1">
      <alignment horizontal="left" indent="2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0" fillId="0" borderId="8" xfId="0" applyBorder="1"/>
    <xf numFmtId="1" fontId="3" fillId="0" borderId="0" xfId="0" applyNumberFormat="1" applyFont="1"/>
    <xf numFmtId="0" fontId="1" fillId="0" borderId="0" xfId="0" applyFont="1" applyFill="1" applyBorder="1" applyAlignment="1">
      <alignment horizontal="center" vertical="top"/>
    </xf>
    <xf numFmtId="0" fontId="8" fillId="5" borderId="0" xfId="2"/>
  </cellXfs>
  <cellStyles count="3">
    <cellStyle name="Bad" xfId="2" builtinId="27"/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'Logistic-Regression'!$B$71</c:f>
              <c:strCache>
                <c:ptCount val="1"/>
                <c:pt idx="0">
                  <c:v>𝓛(β)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'Logistic-Regression'!$C$71:$E$71</c:f>
              <c:numCache>
                <c:formatCode>0.0000</c:formatCode>
                <c:ptCount val="3"/>
                <c:pt idx="0" formatCode="_(* #,##0.0000_);_(* \(#,##0.0000\);_(* &quot;-&quot;??_);_(@_)">
                  <c:v>0.69314718055994495</c:v>
                </c:pt>
                <c:pt idx="1">
                  <c:v>0.69307652045893398</c:v>
                </c:pt>
                <c:pt idx="2">
                  <c:v>0.69300630911723882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17-4188-9FD2-86DF8FD79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616752"/>
        <c:axId val="394826848"/>
      </c:lineChart>
      <c:catAx>
        <c:axId val="5366167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826848"/>
        <c:crosses val="autoZero"/>
        <c:auto val="1"/>
        <c:lblAlgn val="ctr"/>
        <c:lblOffset val="100"/>
        <c:noMultiLvlLbl val="0"/>
      </c:catAx>
      <c:valAx>
        <c:axId val="39482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61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'Logistic-Regression'!$B$70</c:f>
              <c:strCache>
                <c:ptCount val="1"/>
                <c:pt idx="0">
                  <c:v>‖𝓛(β)‖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'Logistic-Regression'!$C$70:$E$70</c:f>
              <c:numCache>
                <c:formatCode>0.0000</c:formatCode>
                <c:ptCount val="3"/>
                <c:pt idx="0" formatCode="_(* #,##0.0000_);_(* \(#,##0.0000\);_(* &quot;-&quot;??_);_(@_)">
                  <c:v>8.4126533460655281E-2</c:v>
                </c:pt>
                <c:pt idx="1">
                  <c:v>8.3858861677816338E-2</c:v>
                </c:pt>
                <c:pt idx="2">
                  <c:v>8.3592458417708224E-2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DA-43D4-B2D1-F1A215132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9657424"/>
        <c:axId val="2003457856"/>
      </c:lineChart>
      <c:catAx>
        <c:axId val="399657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457856"/>
        <c:crosses val="autoZero"/>
        <c:auto val="1"/>
        <c:lblAlgn val="ctr"/>
        <c:lblOffset val="100"/>
        <c:noMultiLvlLbl val="0"/>
      </c:catAx>
      <c:valAx>
        <c:axId val="200345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65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hart" Target="../charts/chart2.xml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371475</xdr:colOff>
      <xdr:row>18</xdr:row>
      <xdr:rowOff>76200</xdr:rowOff>
    </xdr:from>
    <xdr:to>
      <xdr:col>7</xdr:col>
      <xdr:colOff>590815</xdr:colOff>
      <xdr:row>20</xdr:row>
      <xdr:rowOff>171516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49C68F-BFFA-6429-0E0E-D34E6E3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3300" y="3505200"/>
          <a:ext cx="1895740" cy="4763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32</xdr:row>
      <xdr:rowOff>171449</xdr:rowOff>
    </xdr:from>
    <xdr:to>
      <xdr:col>10</xdr:col>
      <xdr:colOff>19050</xdr:colOff>
      <xdr:row>35</xdr:row>
      <xdr:rowOff>4402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D4AEE4-4BD7-49B7-BB48-BFBCAC663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0950" y="6457949"/>
          <a:ext cx="1609725" cy="404453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59</xdr:row>
      <xdr:rowOff>95251</xdr:rowOff>
    </xdr:from>
    <xdr:to>
      <xdr:col>12</xdr:col>
      <xdr:colOff>466725</xdr:colOff>
      <xdr:row>64</xdr:row>
      <xdr:rowOff>200025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ECC966C-AC2F-B8EC-FCCE-2AEF0CF9A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</xdr:colOff>
      <xdr:row>65</xdr:row>
      <xdr:rowOff>9525</xdr:rowOff>
    </xdr:from>
    <xdr:to>
      <xdr:col>12</xdr:col>
      <xdr:colOff>485775</xdr:colOff>
      <xdr:row>70</xdr:row>
      <xdr:rowOff>123825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3A34A3A-71E3-DF08-E8BA-6104B11FD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34</xdr:col>
      <xdr:colOff>66675</xdr:colOff>
      <xdr:row>32</xdr:row>
      <xdr:rowOff>161925</xdr:rowOff>
    </xdr:from>
    <xdr:to>
      <xdr:col>41</xdr:col>
      <xdr:colOff>190500</xdr:colOff>
      <xdr:row>34</xdr:row>
      <xdr:rowOff>138010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E200739-BD93-7D71-D42D-7C640E860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67400" y="2066925"/>
          <a:ext cx="3562350" cy="357085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</xdr:colOff>
      <xdr:row>34</xdr:row>
      <xdr:rowOff>161926</xdr:rowOff>
    </xdr:from>
    <xdr:to>
      <xdr:col>12</xdr:col>
      <xdr:colOff>504825</xdr:colOff>
      <xdr:row>36</xdr:row>
      <xdr:rowOff>5026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999DCD5-27A6-61EA-5828-890D68CB2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86200" y="2447926"/>
          <a:ext cx="3438525" cy="224100"/>
        </a:xfrm>
        <a:prstGeom prst="rect">
          <a:avLst/>
        </a:prstGeom>
      </xdr:spPr>
    </xdr:pic>
    <xdr:clientData/>
  </xdr:twoCellAnchor>
  <xdr:twoCellAnchor editAs="oneCell">
    <xdr:from>
      <xdr:col>4</xdr:col>
      <xdr:colOff>647700</xdr:colOff>
      <xdr:row>36</xdr:row>
      <xdr:rowOff>38100</xdr:rowOff>
    </xdr:from>
    <xdr:to>
      <xdr:col>13</xdr:col>
      <xdr:colOff>38100</xdr:colOff>
      <xdr:row>38</xdr:row>
      <xdr:rowOff>103934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BB8CD2C-9BE6-E437-6D55-17042F8F1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57625" y="2705100"/>
          <a:ext cx="3590925" cy="44683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95250</xdr:rowOff>
    </xdr:from>
    <xdr:to>
      <xdr:col>13</xdr:col>
      <xdr:colOff>373818</xdr:colOff>
      <xdr:row>40</xdr:row>
      <xdr:rowOff>142875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64AEBCC-7D69-FC37-2CAD-0A8BD77DB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09925" y="3143250"/>
          <a:ext cx="4574343" cy="428625"/>
        </a:xfrm>
        <a:prstGeom prst="rect">
          <a:avLst/>
        </a:prstGeom>
      </xdr:spPr>
    </xdr:pic>
    <xdr:clientData/>
  </xdr:twoCellAnchor>
  <xdr:twoCellAnchor editAs="oneCell">
    <xdr:from>
      <xdr:col>13</xdr:col>
      <xdr:colOff>390526</xdr:colOff>
      <xdr:row>33</xdr:row>
      <xdr:rowOff>9525</xdr:rowOff>
    </xdr:from>
    <xdr:to>
      <xdr:col>18</xdr:col>
      <xdr:colOff>228601</xdr:colOff>
      <xdr:row>41</xdr:row>
      <xdr:rowOff>5449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8C9F45D-5A66-048C-5FE1-816E98BB2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00976" y="2105025"/>
          <a:ext cx="2876550" cy="15199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647700</xdr:colOff>
      <xdr:row>15</xdr:row>
      <xdr:rowOff>38100</xdr:rowOff>
    </xdr:from>
    <xdr:to>
      <xdr:col>8</xdr:col>
      <xdr:colOff>581290</xdr:colOff>
      <xdr:row>17</xdr:row>
      <xdr:rowOff>57216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31F53C-9606-48CD-8DC2-4571C0DAF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2050" y="3162300"/>
          <a:ext cx="1895740" cy="4763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61"/>
  <sheetViews>
    <sheetView workbookViewId="0">
      <selection activeCell="J6" sqref="J6"/>
    </sheetView>
  </sheetViews>
  <sheetFormatPr defaultRowHeight="15" x14ac:dyDescent="0.25"/>
  <cols>
    <col min="1" max="1" width="4" bestFit="1" customWidth="1"/>
    <col min="2" max="2" width="3.5703125" bestFit="1" customWidth="1"/>
    <col min="3" max="3" width="9" bestFit="1" customWidth="1"/>
    <col min="4" max="4" width="13.42578125" customWidth="1"/>
    <col min="5" max="5" width="13" customWidth="1"/>
    <col min="6" max="6" width="13.28515625" customWidth="1"/>
    <col min="7" max="7" width="7.28515625" customWidth="1"/>
    <col min="8" max="8" width="15.140625" customWidth="1"/>
    <col min="9" max="9" width="15.85546875" customWidth="1"/>
    <col min="10" max="10" width="11" bestFit="1" customWidth="1"/>
    <col min="11" max="11" width="15.85546875" customWidth="1"/>
    <col min="12" max="12" width="11.42578125" customWidth="1"/>
    <col min="13" max="13" width="6.28515625" customWidth="1"/>
    <col min="14" max="14" width="15.5703125" customWidth="1"/>
    <col min="15" max="15" width="16.140625" customWidth="1"/>
    <col min="16" max="16" width="14.28515625" customWidth="1"/>
    <col min="17" max="17" width="13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>
        <v>202500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179055</v>
      </c>
      <c r="K2">
        <v>0</v>
      </c>
      <c r="L2" t="s">
        <v>25</v>
      </c>
      <c r="M2" t="s">
        <v>26</v>
      </c>
      <c r="N2" t="s">
        <v>27</v>
      </c>
      <c r="O2" t="s">
        <v>28</v>
      </c>
      <c r="P2" t="s">
        <v>26</v>
      </c>
      <c r="Q2">
        <v>0</v>
      </c>
    </row>
    <row r="3" spans="1:17" x14ac:dyDescent="0.25">
      <c r="A3" t="s">
        <v>29</v>
      </c>
      <c r="B3" t="s">
        <v>18</v>
      </c>
      <c r="C3">
        <v>270000</v>
      </c>
      <c r="D3" t="s">
        <v>30</v>
      </c>
      <c r="E3" t="s">
        <v>31</v>
      </c>
      <c r="F3" t="s">
        <v>32</v>
      </c>
      <c r="G3" t="s">
        <v>22</v>
      </c>
      <c r="H3" t="s">
        <v>33</v>
      </c>
      <c r="I3" t="s">
        <v>24</v>
      </c>
      <c r="J3">
        <v>337500</v>
      </c>
      <c r="K3">
        <v>0</v>
      </c>
      <c r="L3" t="s">
        <v>34</v>
      </c>
      <c r="M3" t="s">
        <v>26</v>
      </c>
      <c r="N3" t="s">
        <v>27</v>
      </c>
      <c r="O3" t="s">
        <v>35</v>
      </c>
      <c r="P3" t="s">
        <v>26</v>
      </c>
      <c r="Q3">
        <v>0</v>
      </c>
    </row>
    <row r="4" spans="1:17" x14ac:dyDescent="0.25">
      <c r="A4" t="s">
        <v>17</v>
      </c>
      <c r="B4" t="s">
        <v>36</v>
      </c>
      <c r="C4">
        <v>67500</v>
      </c>
      <c r="D4" t="s">
        <v>19</v>
      </c>
      <c r="E4" t="s">
        <v>20</v>
      </c>
      <c r="F4" t="s">
        <v>21</v>
      </c>
      <c r="G4" t="s">
        <v>22</v>
      </c>
      <c r="H4" t="s">
        <v>37</v>
      </c>
      <c r="I4" t="s">
        <v>24</v>
      </c>
      <c r="J4">
        <v>24282</v>
      </c>
      <c r="K4">
        <v>4860</v>
      </c>
      <c r="L4" t="s">
        <v>38</v>
      </c>
      <c r="M4" t="s">
        <v>26</v>
      </c>
      <c r="N4" t="s">
        <v>27</v>
      </c>
      <c r="O4" t="s">
        <v>35</v>
      </c>
      <c r="P4" t="s">
        <v>26</v>
      </c>
      <c r="Q4">
        <v>0</v>
      </c>
    </row>
    <row r="5" spans="1:17" x14ac:dyDescent="0.25">
      <c r="A5" t="s">
        <v>29</v>
      </c>
      <c r="B5" t="s">
        <v>18</v>
      </c>
      <c r="C5">
        <v>135000</v>
      </c>
      <c r="D5" t="s">
        <v>19</v>
      </c>
      <c r="E5" t="s">
        <v>20</v>
      </c>
      <c r="F5" t="s">
        <v>39</v>
      </c>
      <c r="G5" t="s">
        <v>22</v>
      </c>
      <c r="H5" t="s">
        <v>23</v>
      </c>
      <c r="I5" t="s">
        <v>24</v>
      </c>
      <c r="J5">
        <v>334917</v>
      </c>
      <c r="K5">
        <v>66987</v>
      </c>
      <c r="L5" t="s">
        <v>34</v>
      </c>
      <c r="M5" t="s">
        <v>26</v>
      </c>
      <c r="N5" t="s">
        <v>27</v>
      </c>
      <c r="O5" t="s">
        <v>35</v>
      </c>
      <c r="P5" t="s">
        <v>26</v>
      </c>
      <c r="Q5">
        <v>0</v>
      </c>
    </row>
    <row r="6" spans="1:17" x14ac:dyDescent="0.25">
      <c r="A6" t="s">
        <v>17</v>
      </c>
      <c r="B6" t="s">
        <v>18</v>
      </c>
      <c r="C6">
        <v>99000</v>
      </c>
      <c r="D6" t="s">
        <v>30</v>
      </c>
      <c r="E6" t="s">
        <v>20</v>
      </c>
      <c r="F6" t="s">
        <v>32</v>
      </c>
      <c r="G6" t="s">
        <v>40</v>
      </c>
      <c r="H6" t="s">
        <v>41</v>
      </c>
      <c r="I6" t="s">
        <v>24</v>
      </c>
      <c r="J6">
        <v>162598.5</v>
      </c>
      <c r="K6">
        <v>0</v>
      </c>
      <c r="L6" t="s">
        <v>42</v>
      </c>
      <c r="M6" t="s">
        <v>26</v>
      </c>
      <c r="N6" t="s">
        <v>27</v>
      </c>
      <c r="O6" t="s">
        <v>35</v>
      </c>
      <c r="P6" t="s">
        <v>26</v>
      </c>
      <c r="Q6">
        <v>0</v>
      </c>
    </row>
    <row r="7" spans="1:17" x14ac:dyDescent="0.25">
      <c r="A7" t="s">
        <v>17</v>
      </c>
      <c r="B7" t="s">
        <v>18</v>
      </c>
      <c r="C7">
        <v>99000</v>
      </c>
      <c r="D7" t="s">
        <v>30</v>
      </c>
      <c r="E7" t="s">
        <v>20</v>
      </c>
      <c r="F7" t="s">
        <v>32</v>
      </c>
      <c r="G7" t="s">
        <v>40</v>
      </c>
      <c r="H7" t="s">
        <v>41</v>
      </c>
      <c r="I7" t="s">
        <v>24</v>
      </c>
      <c r="J7">
        <v>44455.5</v>
      </c>
      <c r="K7">
        <v>4500</v>
      </c>
      <c r="L7" t="s">
        <v>43</v>
      </c>
      <c r="M7" t="s">
        <v>26</v>
      </c>
      <c r="N7" t="s">
        <v>27</v>
      </c>
      <c r="O7" t="s">
        <v>35</v>
      </c>
      <c r="P7" t="s">
        <v>26</v>
      </c>
      <c r="Q7">
        <v>0</v>
      </c>
    </row>
    <row r="8" spans="1:17" x14ac:dyDescent="0.25">
      <c r="A8" t="s">
        <v>17</v>
      </c>
      <c r="B8" t="s">
        <v>18</v>
      </c>
      <c r="C8">
        <v>99000</v>
      </c>
      <c r="D8" t="s">
        <v>30</v>
      </c>
      <c r="E8" t="s">
        <v>20</v>
      </c>
      <c r="F8" t="s">
        <v>32</v>
      </c>
      <c r="G8" t="s">
        <v>40</v>
      </c>
      <c r="H8" t="s">
        <v>41</v>
      </c>
      <c r="I8" t="s">
        <v>24</v>
      </c>
      <c r="J8">
        <v>121455</v>
      </c>
      <c r="K8">
        <v>12145.5</v>
      </c>
      <c r="L8" t="s">
        <v>43</v>
      </c>
      <c r="M8" t="s">
        <v>26</v>
      </c>
      <c r="N8" t="s">
        <v>27</v>
      </c>
      <c r="O8" t="s">
        <v>35</v>
      </c>
      <c r="P8" t="s">
        <v>26</v>
      </c>
      <c r="Q8">
        <v>0</v>
      </c>
    </row>
    <row r="9" spans="1:17" x14ac:dyDescent="0.25">
      <c r="A9" t="s">
        <v>29</v>
      </c>
      <c r="B9" t="s">
        <v>36</v>
      </c>
      <c r="C9">
        <v>171000</v>
      </c>
      <c r="D9" t="s">
        <v>44</v>
      </c>
      <c r="E9" t="s">
        <v>31</v>
      </c>
      <c r="F9" t="s">
        <v>32</v>
      </c>
      <c r="G9" t="s">
        <v>22</v>
      </c>
      <c r="H9" t="s">
        <v>23</v>
      </c>
      <c r="I9" t="s">
        <v>24</v>
      </c>
      <c r="J9">
        <v>98239.5</v>
      </c>
      <c r="K9">
        <v>0</v>
      </c>
      <c r="L9" t="s">
        <v>25</v>
      </c>
      <c r="M9" t="s">
        <v>26</v>
      </c>
      <c r="N9" t="s">
        <v>27</v>
      </c>
      <c r="O9" t="s">
        <v>35</v>
      </c>
      <c r="P9" t="s">
        <v>26</v>
      </c>
      <c r="Q9">
        <v>0</v>
      </c>
    </row>
    <row r="10" spans="1:17" x14ac:dyDescent="0.25">
      <c r="A10" t="s">
        <v>29</v>
      </c>
      <c r="B10" t="s">
        <v>36</v>
      </c>
      <c r="C10">
        <v>171000</v>
      </c>
      <c r="D10" t="s">
        <v>44</v>
      </c>
      <c r="E10" t="s">
        <v>31</v>
      </c>
      <c r="F10" t="s">
        <v>32</v>
      </c>
      <c r="G10" t="s">
        <v>22</v>
      </c>
      <c r="H10" t="s">
        <v>23</v>
      </c>
      <c r="I10" t="s">
        <v>24</v>
      </c>
      <c r="J10">
        <v>46876.5</v>
      </c>
      <c r="K10">
        <v>4689</v>
      </c>
      <c r="L10" t="s">
        <v>45</v>
      </c>
      <c r="M10" t="s">
        <v>26</v>
      </c>
      <c r="N10" t="s">
        <v>27</v>
      </c>
      <c r="O10" t="s">
        <v>35</v>
      </c>
      <c r="P10" t="s">
        <v>26</v>
      </c>
      <c r="Q10">
        <v>0</v>
      </c>
    </row>
    <row r="11" spans="1:17" x14ac:dyDescent="0.25">
      <c r="A11" t="s">
        <v>29</v>
      </c>
      <c r="B11" t="s">
        <v>36</v>
      </c>
      <c r="C11">
        <v>171000</v>
      </c>
      <c r="D11" t="s">
        <v>44</v>
      </c>
      <c r="E11" t="s">
        <v>31</v>
      </c>
      <c r="F11" t="s">
        <v>32</v>
      </c>
      <c r="G11" t="s">
        <v>22</v>
      </c>
      <c r="H11" t="s">
        <v>23</v>
      </c>
      <c r="I11" t="s">
        <v>24</v>
      </c>
      <c r="J11">
        <v>47160</v>
      </c>
      <c r="K11">
        <v>9432</v>
      </c>
      <c r="L11" t="s">
        <v>34</v>
      </c>
      <c r="M11" t="s">
        <v>26</v>
      </c>
      <c r="N11" t="s">
        <v>27</v>
      </c>
      <c r="O11" t="s">
        <v>35</v>
      </c>
      <c r="P11" t="s">
        <v>26</v>
      </c>
      <c r="Q11">
        <v>0</v>
      </c>
    </row>
    <row r="12" spans="1:17" x14ac:dyDescent="0.25">
      <c r="A12" t="s">
        <v>29</v>
      </c>
      <c r="B12" t="s">
        <v>18</v>
      </c>
      <c r="C12">
        <v>112500</v>
      </c>
      <c r="D12" t="s">
        <v>46</v>
      </c>
      <c r="E12" t="s">
        <v>20</v>
      </c>
      <c r="F12" t="s">
        <v>32</v>
      </c>
      <c r="G12" t="s">
        <v>22</v>
      </c>
      <c r="H12" t="s">
        <v>28</v>
      </c>
      <c r="I12" t="s">
        <v>24</v>
      </c>
      <c r="J12">
        <v>135931.5</v>
      </c>
      <c r="K12">
        <v>13594.5</v>
      </c>
      <c r="L12" t="s">
        <v>43</v>
      </c>
      <c r="M12" t="s">
        <v>26</v>
      </c>
      <c r="N12" t="s">
        <v>27</v>
      </c>
      <c r="O12" t="s">
        <v>35</v>
      </c>
      <c r="P12" t="s">
        <v>26</v>
      </c>
      <c r="Q12">
        <v>0</v>
      </c>
    </row>
    <row r="13" spans="1:17" x14ac:dyDescent="0.25">
      <c r="A13" t="s">
        <v>17</v>
      </c>
      <c r="B13" t="s">
        <v>18</v>
      </c>
      <c r="C13">
        <v>135000</v>
      </c>
      <c r="D13" t="s">
        <v>19</v>
      </c>
      <c r="E13" t="s">
        <v>20</v>
      </c>
      <c r="F13" t="s">
        <v>21</v>
      </c>
      <c r="G13" t="s">
        <v>22</v>
      </c>
      <c r="H13" t="s">
        <v>47</v>
      </c>
      <c r="I13" t="s">
        <v>24</v>
      </c>
      <c r="J13">
        <v>18720</v>
      </c>
      <c r="K13">
        <v>0</v>
      </c>
      <c r="L13" t="s">
        <v>42</v>
      </c>
      <c r="M13" t="s">
        <v>26</v>
      </c>
      <c r="N13" t="s">
        <v>27</v>
      </c>
      <c r="O13" t="s">
        <v>28</v>
      </c>
      <c r="P13" t="s">
        <v>26</v>
      </c>
      <c r="Q13">
        <v>0</v>
      </c>
    </row>
    <row r="14" spans="1:17" x14ac:dyDescent="0.25">
      <c r="A14" t="s">
        <v>29</v>
      </c>
      <c r="B14" t="s">
        <v>18</v>
      </c>
      <c r="C14">
        <v>67500</v>
      </c>
      <c r="D14" t="s">
        <v>19</v>
      </c>
      <c r="E14" t="s">
        <v>20</v>
      </c>
      <c r="F14" t="s">
        <v>32</v>
      </c>
      <c r="G14" t="s">
        <v>22</v>
      </c>
      <c r="H14" t="s">
        <v>48</v>
      </c>
      <c r="I14" t="s">
        <v>24</v>
      </c>
      <c r="J14">
        <v>47115</v>
      </c>
      <c r="K14">
        <v>4711.5</v>
      </c>
      <c r="L14" t="s">
        <v>43</v>
      </c>
      <c r="M14" t="s">
        <v>26</v>
      </c>
      <c r="N14" t="s">
        <v>27</v>
      </c>
      <c r="O14" t="s">
        <v>35</v>
      </c>
      <c r="P14" t="s">
        <v>26</v>
      </c>
      <c r="Q14">
        <v>0</v>
      </c>
    </row>
    <row r="15" spans="1:17" x14ac:dyDescent="0.25">
      <c r="A15" t="s">
        <v>29</v>
      </c>
      <c r="B15" t="s">
        <v>18</v>
      </c>
      <c r="C15">
        <v>67500</v>
      </c>
      <c r="D15" t="s">
        <v>19</v>
      </c>
      <c r="E15" t="s">
        <v>20</v>
      </c>
      <c r="F15" t="s">
        <v>32</v>
      </c>
      <c r="G15" t="s">
        <v>22</v>
      </c>
      <c r="H15" t="s">
        <v>48</v>
      </c>
      <c r="I15" t="s">
        <v>24</v>
      </c>
      <c r="J15">
        <v>290250</v>
      </c>
      <c r="K15">
        <v>58050</v>
      </c>
      <c r="L15" t="s">
        <v>25</v>
      </c>
      <c r="M15" t="s">
        <v>26</v>
      </c>
      <c r="N15" t="s">
        <v>27</v>
      </c>
      <c r="O15" t="s">
        <v>35</v>
      </c>
      <c r="P15" t="s">
        <v>26</v>
      </c>
      <c r="Q15">
        <v>0</v>
      </c>
    </row>
    <row r="16" spans="1:17" x14ac:dyDescent="0.25">
      <c r="A16" t="s">
        <v>17</v>
      </c>
      <c r="B16" t="s">
        <v>36</v>
      </c>
      <c r="C16">
        <v>225000</v>
      </c>
      <c r="D16" t="s">
        <v>19</v>
      </c>
      <c r="E16" t="s">
        <v>20</v>
      </c>
      <c r="F16" t="s">
        <v>32</v>
      </c>
      <c r="G16" t="s">
        <v>22</v>
      </c>
      <c r="H16" t="s">
        <v>49</v>
      </c>
      <c r="I16" t="s">
        <v>24</v>
      </c>
      <c r="J16">
        <v>158040</v>
      </c>
      <c r="K16">
        <v>15804</v>
      </c>
      <c r="L16" t="s">
        <v>45</v>
      </c>
      <c r="M16" t="s">
        <v>26</v>
      </c>
      <c r="N16" t="s">
        <v>27</v>
      </c>
      <c r="O16" t="s">
        <v>35</v>
      </c>
      <c r="P16" t="s">
        <v>26</v>
      </c>
      <c r="Q16">
        <v>0</v>
      </c>
    </row>
    <row r="17" spans="1:17" x14ac:dyDescent="0.25">
      <c r="A17" t="s">
        <v>17</v>
      </c>
      <c r="B17" t="s">
        <v>36</v>
      </c>
      <c r="C17">
        <v>225000</v>
      </c>
      <c r="D17" t="s">
        <v>19</v>
      </c>
      <c r="E17" t="s">
        <v>20</v>
      </c>
      <c r="F17" t="s">
        <v>32</v>
      </c>
      <c r="G17" t="s">
        <v>22</v>
      </c>
      <c r="H17" t="s">
        <v>49</v>
      </c>
      <c r="I17" t="s">
        <v>24</v>
      </c>
      <c r="J17">
        <v>195291</v>
      </c>
      <c r="K17">
        <v>22500</v>
      </c>
      <c r="L17" t="s">
        <v>38</v>
      </c>
      <c r="M17" t="s">
        <v>26</v>
      </c>
      <c r="N17" t="s">
        <v>27</v>
      </c>
      <c r="O17" t="s">
        <v>35</v>
      </c>
      <c r="P17" t="s">
        <v>26</v>
      </c>
      <c r="Q17">
        <v>0</v>
      </c>
    </row>
    <row r="18" spans="1:17" x14ac:dyDescent="0.25">
      <c r="A18" t="s">
        <v>29</v>
      </c>
      <c r="B18" t="s">
        <v>18</v>
      </c>
      <c r="C18">
        <v>189000</v>
      </c>
      <c r="D18" t="s">
        <v>19</v>
      </c>
      <c r="E18" t="s">
        <v>20</v>
      </c>
      <c r="F18" t="s">
        <v>32</v>
      </c>
      <c r="G18" t="s">
        <v>22</v>
      </c>
      <c r="H18" t="s">
        <v>50</v>
      </c>
      <c r="I18" t="s">
        <v>24</v>
      </c>
      <c r="J18">
        <v>48510</v>
      </c>
      <c r="K18">
        <v>0</v>
      </c>
      <c r="L18" t="s">
        <v>43</v>
      </c>
      <c r="M18" t="s">
        <v>26</v>
      </c>
      <c r="N18" t="s">
        <v>27</v>
      </c>
      <c r="O18" t="s">
        <v>35</v>
      </c>
      <c r="P18" t="s">
        <v>26</v>
      </c>
      <c r="Q18">
        <v>0</v>
      </c>
    </row>
    <row r="19" spans="1:17" x14ac:dyDescent="0.25">
      <c r="A19" t="s">
        <v>29</v>
      </c>
      <c r="B19" t="s">
        <v>18</v>
      </c>
      <c r="C19">
        <v>189000</v>
      </c>
      <c r="D19" t="s">
        <v>19</v>
      </c>
      <c r="E19" t="s">
        <v>20</v>
      </c>
      <c r="F19" t="s">
        <v>32</v>
      </c>
      <c r="G19" t="s">
        <v>22</v>
      </c>
      <c r="H19" t="s">
        <v>50</v>
      </c>
      <c r="I19" t="s">
        <v>24</v>
      </c>
      <c r="J19">
        <v>536364</v>
      </c>
      <c r="K19">
        <v>0</v>
      </c>
      <c r="L19" t="s">
        <v>25</v>
      </c>
      <c r="M19" t="s">
        <v>26</v>
      </c>
      <c r="N19" t="s">
        <v>27</v>
      </c>
      <c r="O19" t="s">
        <v>35</v>
      </c>
      <c r="P19" t="s">
        <v>26</v>
      </c>
      <c r="Q19">
        <v>0</v>
      </c>
    </row>
    <row r="20" spans="1:17" x14ac:dyDescent="0.25">
      <c r="A20" t="s">
        <v>29</v>
      </c>
      <c r="B20" t="s">
        <v>18</v>
      </c>
      <c r="C20">
        <v>189000</v>
      </c>
      <c r="D20" t="s">
        <v>19</v>
      </c>
      <c r="E20" t="s">
        <v>20</v>
      </c>
      <c r="F20" t="s">
        <v>32</v>
      </c>
      <c r="G20" t="s">
        <v>22</v>
      </c>
      <c r="H20" t="s">
        <v>50</v>
      </c>
      <c r="I20" t="s">
        <v>24</v>
      </c>
      <c r="J20">
        <v>571774.5</v>
      </c>
      <c r="K20">
        <v>57181.5</v>
      </c>
      <c r="L20" t="s">
        <v>38</v>
      </c>
      <c r="M20" t="s">
        <v>26</v>
      </c>
      <c r="N20" t="s">
        <v>27</v>
      </c>
      <c r="O20" t="s">
        <v>35</v>
      </c>
      <c r="P20" t="s">
        <v>26</v>
      </c>
      <c r="Q20">
        <v>0</v>
      </c>
    </row>
    <row r="21" spans="1:17" x14ac:dyDescent="0.25">
      <c r="A21" t="s">
        <v>29</v>
      </c>
      <c r="B21" t="s">
        <v>18</v>
      </c>
      <c r="C21">
        <v>189000</v>
      </c>
      <c r="D21" t="s">
        <v>19</v>
      </c>
      <c r="E21" t="s">
        <v>20</v>
      </c>
      <c r="F21" t="s">
        <v>32</v>
      </c>
      <c r="G21" t="s">
        <v>22</v>
      </c>
      <c r="H21" t="s">
        <v>50</v>
      </c>
      <c r="I21" t="s">
        <v>24</v>
      </c>
      <c r="J21">
        <v>36805.364999999998</v>
      </c>
      <c r="K21">
        <v>0</v>
      </c>
      <c r="L21" t="s">
        <v>51</v>
      </c>
      <c r="M21" t="s">
        <v>26</v>
      </c>
      <c r="N21" t="s">
        <v>27</v>
      </c>
      <c r="O21" t="s">
        <v>35</v>
      </c>
      <c r="P21" t="s">
        <v>26</v>
      </c>
      <c r="Q21">
        <v>0</v>
      </c>
    </row>
    <row r="22" spans="1:17" x14ac:dyDescent="0.25">
      <c r="A22" t="s">
        <v>17</v>
      </c>
      <c r="B22" t="s">
        <v>36</v>
      </c>
      <c r="C22">
        <v>157500</v>
      </c>
      <c r="D22" t="s">
        <v>19</v>
      </c>
      <c r="E22" t="s">
        <v>20</v>
      </c>
      <c r="F22" t="s">
        <v>21</v>
      </c>
      <c r="G22" t="s">
        <v>52</v>
      </c>
      <c r="H22" t="s">
        <v>48</v>
      </c>
      <c r="I22" t="s">
        <v>24</v>
      </c>
      <c r="J22">
        <v>84136.5</v>
      </c>
      <c r="K22">
        <v>0</v>
      </c>
      <c r="L22" t="s">
        <v>38</v>
      </c>
      <c r="M22" t="s">
        <v>26</v>
      </c>
      <c r="N22" t="s">
        <v>27</v>
      </c>
      <c r="O22" t="s">
        <v>35</v>
      </c>
      <c r="P22" t="s">
        <v>26</v>
      </c>
      <c r="Q22">
        <v>0</v>
      </c>
    </row>
    <row r="23" spans="1:17" x14ac:dyDescent="0.25">
      <c r="A23" t="s">
        <v>29</v>
      </c>
      <c r="B23" t="s">
        <v>18</v>
      </c>
      <c r="C23">
        <v>81000</v>
      </c>
      <c r="D23" t="s">
        <v>19</v>
      </c>
      <c r="E23" t="s">
        <v>20</v>
      </c>
      <c r="F23" t="s">
        <v>32</v>
      </c>
      <c r="G23" t="s">
        <v>22</v>
      </c>
      <c r="H23" t="s">
        <v>53</v>
      </c>
      <c r="I23" t="s">
        <v>24</v>
      </c>
      <c r="J23">
        <v>26100</v>
      </c>
      <c r="K23">
        <v>0</v>
      </c>
      <c r="L23" t="s">
        <v>34</v>
      </c>
      <c r="M23" t="s">
        <v>26</v>
      </c>
      <c r="N23" t="s">
        <v>27</v>
      </c>
      <c r="O23" t="s">
        <v>35</v>
      </c>
      <c r="P23" t="s">
        <v>26</v>
      </c>
      <c r="Q23">
        <v>0</v>
      </c>
    </row>
    <row r="24" spans="1:17" x14ac:dyDescent="0.25">
      <c r="A24" t="s">
        <v>29</v>
      </c>
      <c r="B24" t="s">
        <v>18</v>
      </c>
      <c r="C24">
        <v>81000</v>
      </c>
      <c r="D24" t="s">
        <v>19</v>
      </c>
      <c r="E24" t="s">
        <v>20</v>
      </c>
      <c r="F24" t="s">
        <v>32</v>
      </c>
      <c r="G24" t="s">
        <v>22</v>
      </c>
      <c r="H24" t="s">
        <v>53</v>
      </c>
      <c r="I24" t="s">
        <v>24</v>
      </c>
      <c r="J24">
        <v>22428</v>
      </c>
      <c r="K24">
        <v>8928</v>
      </c>
      <c r="L24" t="s">
        <v>42</v>
      </c>
      <c r="M24" t="s">
        <v>26</v>
      </c>
      <c r="N24" t="s">
        <v>27</v>
      </c>
      <c r="O24" t="s">
        <v>35</v>
      </c>
      <c r="P24" t="s">
        <v>26</v>
      </c>
      <c r="Q24">
        <v>0</v>
      </c>
    </row>
    <row r="25" spans="1:17" x14ac:dyDescent="0.25">
      <c r="A25" t="s">
        <v>29</v>
      </c>
      <c r="B25" t="s">
        <v>18</v>
      </c>
      <c r="C25">
        <v>81000</v>
      </c>
      <c r="D25" t="s">
        <v>19</v>
      </c>
      <c r="E25" t="s">
        <v>20</v>
      </c>
      <c r="F25" t="s">
        <v>32</v>
      </c>
      <c r="G25" t="s">
        <v>22</v>
      </c>
      <c r="H25" t="s">
        <v>53</v>
      </c>
      <c r="I25" t="s">
        <v>24</v>
      </c>
      <c r="J25">
        <v>71950.5</v>
      </c>
      <c r="K25">
        <v>0</v>
      </c>
      <c r="L25" t="s">
        <v>25</v>
      </c>
      <c r="M25" t="s">
        <v>26</v>
      </c>
      <c r="N25" t="s">
        <v>27</v>
      </c>
      <c r="O25" t="s">
        <v>35</v>
      </c>
      <c r="P25" t="s">
        <v>26</v>
      </c>
      <c r="Q25">
        <v>0</v>
      </c>
    </row>
    <row r="26" spans="1:17" x14ac:dyDescent="0.25">
      <c r="A26" t="s">
        <v>29</v>
      </c>
      <c r="B26" t="s">
        <v>18</v>
      </c>
      <c r="C26">
        <v>81000</v>
      </c>
      <c r="D26" t="s">
        <v>19</v>
      </c>
      <c r="E26" t="s">
        <v>20</v>
      </c>
      <c r="F26" t="s">
        <v>32</v>
      </c>
      <c r="G26" t="s">
        <v>22</v>
      </c>
      <c r="H26" t="s">
        <v>53</v>
      </c>
      <c r="I26" t="s">
        <v>24</v>
      </c>
      <c r="J26">
        <v>99189</v>
      </c>
      <c r="K26">
        <v>9922.5</v>
      </c>
      <c r="L26" t="s">
        <v>38</v>
      </c>
      <c r="M26" t="s">
        <v>26</v>
      </c>
      <c r="N26" t="s">
        <v>27</v>
      </c>
      <c r="O26" t="s">
        <v>35</v>
      </c>
      <c r="P26" t="s">
        <v>26</v>
      </c>
      <c r="Q26">
        <v>0</v>
      </c>
    </row>
    <row r="27" spans="1:17" x14ac:dyDescent="0.25">
      <c r="A27" t="s">
        <v>29</v>
      </c>
      <c r="B27" t="s">
        <v>18</v>
      </c>
      <c r="C27">
        <v>81000</v>
      </c>
      <c r="D27" t="s">
        <v>19</v>
      </c>
      <c r="E27" t="s">
        <v>20</v>
      </c>
      <c r="F27" t="s">
        <v>32</v>
      </c>
      <c r="G27" t="s">
        <v>22</v>
      </c>
      <c r="H27" t="s">
        <v>53</v>
      </c>
      <c r="I27" t="s">
        <v>24</v>
      </c>
      <c r="J27">
        <v>26100</v>
      </c>
      <c r="K27">
        <v>0</v>
      </c>
      <c r="L27" t="s">
        <v>34</v>
      </c>
      <c r="M27" t="s">
        <v>26</v>
      </c>
      <c r="N27" t="s">
        <v>27</v>
      </c>
      <c r="O27" t="s">
        <v>35</v>
      </c>
      <c r="P27" t="s">
        <v>26</v>
      </c>
      <c r="Q27">
        <v>0</v>
      </c>
    </row>
    <row r="28" spans="1:17" x14ac:dyDescent="0.25">
      <c r="A28" t="s">
        <v>29</v>
      </c>
      <c r="B28" t="s">
        <v>18</v>
      </c>
      <c r="C28">
        <v>112500</v>
      </c>
      <c r="D28" t="s">
        <v>19</v>
      </c>
      <c r="E28" t="s">
        <v>20</v>
      </c>
      <c r="F28" t="s">
        <v>54</v>
      </c>
      <c r="G28" t="s">
        <v>22</v>
      </c>
      <c r="H28" t="s">
        <v>55</v>
      </c>
      <c r="I28" t="s">
        <v>24</v>
      </c>
      <c r="J28">
        <v>89091</v>
      </c>
      <c r="K28">
        <v>0</v>
      </c>
      <c r="L28" t="s">
        <v>42</v>
      </c>
      <c r="M28" t="s">
        <v>26</v>
      </c>
      <c r="N28" t="s">
        <v>27</v>
      </c>
      <c r="O28" t="s">
        <v>35</v>
      </c>
      <c r="P28" t="s">
        <v>26</v>
      </c>
      <c r="Q28">
        <v>0</v>
      </c>
    </row>
    <row r="29" spans="1:17" x14ac:dyDescent="0.25">
      <c r="A29" t="s">
        <v>29</v>
      </c>
      <c r="B29" t="s">
        <v>18</v>
      </c>
      <c r="C29">
        <v>90000</v>
      </c>
      <c r="D29" t="s">
        <v>30</v>
      </c>
      <c r="E29" t="s">
        <v>31</v>
      </c>
      <c r="F29" t="s">
        <v>21</v>
      </c>
      <c r="G29" t="s">
        <v>22</v>
      </c>
      <c r="H29" t="s">
        <v>56</v>
      </c>
      <c r="I29" t="s">
        <v>24</v>
      </c>
      <c r="J29">
        <v>91282.5</v>
      </c>
      <c r="K29">
        <v>9000</v>
      </c>
      <c r="L29" t="s">
        <v>25</v>
      </c>
      <c r="M29" t="s">
        <v>26</v>
      </c>
      <c r="N29" t="s">
        <v>27</v>
      </c>
      <c r="O29" t="s">
        <v>35</v>
      </c>
      <c r="P29" t="s">
        <v>26</v>
      </c>
      <c r="Q29">
        <v>0</v>
      </c>
    </row>
    <row r="30" spans="1:17" x14ac:dyDescent="0.25">
      <c r="A30" t="s">
        <v>29</v>
      </c>
      <c r="B30" t="s">
        <v>18</v>
      </c>
      <c r="C30">
        <v>90000</v>
      </c>
      <c r="D30" t="s">
        <v>30</v>
      </c>
      <c r="E30" t="s">
        <v>31</v>
      </c>
      <c r="F30" t="s">
        <v>21</v>
      </c>
      <c r="G30" t="s">
        <v>22</v>
      </c>
      <c r="H30" t="s">
        <v>56</v>
      </c>
      <c r="I30" t="s">
        <v>24</v>
      </c>
      <c r="J30">
        <v>78705</v>
      </c>
      <c r="K30">
        <v>7870.5</v>
      </c>
      <c r="L30" t="s">
        <v>25</v>
      </c>
      <c r="M30" t="s">
        <v>26</v>
      </c>
      <c r="N30" t="s">
        <v>27</v>
      </c>
      <c r="O30" t="s">
        <v>35</v>
      </c>
      <c r="P30" t="s">
        <v>26</v>
      </c>
      <c r="Q30">
        <v>0</v>
      </c>
    </row>
    <row r="31" spans="1:17" x14ac:dyDescent="0.25">
      <c r="A31" t="s">
        <v>29</v>
      </c>
      <c r="B31" t="s">
        <v>36</v>
      </c>
      <c r="C31">
        <v>202500</v>
      </c>
      <c r="D31" t="s">
        <v>44</v>
      </c>
      <c r="E31" t="s">
        <v>20</v>
      </c>
      <c r="F31" t="s">
        <v>32</v>
      </c>
      <c r="G31" t="s">
        <v>22</v>
      </c>
      <c r="H31" t="s">
        <v>57</v>
      </c>
      <c r="I31" t="s">
        <v>24</v>
      </c>
      <c r="J31">
        <v>58455</v>
      </c>
      <c r="K31">
        <v>23382</v>
      </c>
      <c r="L31" t="s">
        <v>25</v>
      </c>
      <c r="M31" t="s">
        <v>26</v>
      </c>
      <c r="N31" t="s">
        <v>27</v>
      </c>
      <c r="O31" t="s">
        <v>28</v>
      </c>
      <c r="P31" t="s">
        <v>26</v>
      </c>
      <c r="Q31">
        <v>0</v>
      </c>
    </row>
    <row r="32" spans="1:17" x14ac:dyDescent="0.25">
      <c r="A32" t="s">
        <v>29</v>
      </c>
      <c r="B32" t="s">
        <v>36</v>
      </c>
      <c r="C32">
        <v>202500</v>
      </c>
      <c r="D32" t="s">
        <v>44</v>
      </c>
      <c r="E32" t="s">
        <v>20</v>
      </c>
      <c r="F32" t="s">
        <v>32</v>
      </c>
      <c r="G32" t="s">
        <v>22</v>
      </c>
      <c r="H32" t="s">
        <v>57</v>
      </c>
      <c r="I32" t="s">
        <v>24</v>
      </c>
      <c r="J32">
        <v>95625</v>
      </c>
      <c r="K32">
        <v>0</v>
      </c>
      <c r="L32" t="s">
        <v>43</v>
      </c>
      <c r="M32" t="s">
        <v>26</v>
      </c>
      <c r="N32" t="s">
        <v>27</v>
      </c>
      <c r="O32" t="s">
        <v>35</v>
      </c>
      <c r="P32" t="s">
        <v>26</v>
      </c>
      <c r="Q32">
        <v>0</v>
      </c>
    </row>
    <row r="33" spans="1:17" x14ac:dyDescent="0.25">
      <c r="A33" t="s">
        <v>29</v>
      </c>
      <c r="B33" t="s">
        <v>36</v>
      </c>
      <c r="C33">
        <v>202500</v>
      </c>
      <c r="D33" t="s">
        <v>44</v>
      </c>
      <c r="E33" t="s">
        <v>20</v>
      </c>
      <c r="F33" t="s">
        <v>32</v>
      </c>
      <c r="G33" t="s">
        <v>22</v>
      </c>
      <c r="H33" t="s">
        <v>57</v>
      </c>
      <c r="I33" t="s">
        <v>24</v>
      </c>
      <c r="J33">
        <v>121500</v>
      </c>
      <c r="K33">
        <v>0</v>
      </c>
      <c r="L33" t="s">
        <v>43</v>
      </c>
      <c r="M33" t="s">
        <v>26</v>
      </c>
      <c r="N33" t="s">
        <v>27</v>
      </c>
      <c r="O33" t="s">
        <v>35</v>
      </c>
      <c r="P33" t="s">
        <v>26</v>
      </c>
      <c r="Q33">
        <v>0</v>
      </c>
    </row>
    <row r="34" spans="1:17" x14ac:dyDescent="0.25">
      <c r="A34" t="s">
        <v>29</v>
      </c>
      <c r="B34" t="s">
        <v>18</v>
      </c>
      <c r="C34">
        <v>450000</v>
      </c>
      <c r="D34" t="s">
        <v>19</v>
      </c>
      <c r="E34" t="s">
        <v>20</v>
      </c>
      <c r="F34" t="s">
        <v>32</v>
      </c>
      <c r="G34" t="s">
        <v>52</v>
      </c>
      <c r="H34" t="s">
        <v>49</v>
      </c>
      <c r="I34" t="s">
        <v>24</v>
      </c>
      <c r="J34">
        <v>132345</v>
      </c>
      <c r="K34">
        <v>0</v>
      </c>
      <c r="L34" t="s">
        <v>38</v>
      </c>
      <c r="M34" t="s">
        <v>26</v>
      </c>
      <c r="N34" t="s">
        <v>27</v>
      </c>
      <c r="O34" t="s">
        <v>35</v>
      </c>
      <c r="P34" t="s">
        <v>26</v>
      </c>
      <c r="Q34">
        <v>0</v>
      </c>
    </row>
    <row r="35" spans="1:17" x14ac:dyDescent="0.25">
      <c r="A35" t="s">
        <v>29</v>
      </c>
      <c r="B35" t="s">
        <v>18</v>
      </c>
      <c r="C35">
        <v>83250</v>
      </c>
      <c r="D35" t="s">
        <v>46</v>
      </c>
      <c r="E35" t="s">
        <v>20</v>
      </c>
      <c r="F35" t="s">
        <v>32</v>
      </c>
      <c r="G35" t="s">
        <v>22</v>
      </c>
      <c r="H35" t="s">
        <v>28</v>
      </c>
      <c r="I35" t="s">
        <v>24</v>
      </c>
      <c r="J35">
        <v>226984.5</v>
      </c>
      <c r="K35">
        <v>0</v>
      </c>
      <c r="L35" t="s">
        <v>43</v>
      </c>
      <c r="M35" t="s">
        <v>26</v>
      </c>
      <c r="N35" t="s">
        <v>27</v>
      </c>
      <c r="O35" t="s">
        <v>35</v>
      </c>
      <c r="P35" t="s">
        <v>26</v>
      </c>
      <c r="Q35">
        <v>0</v>
      </c>
    </row>
    <row r="36" spans="1:17" x14ac:dyDescent="0.25">
      <c r="A36" t="s">
        <v>29</v>
      </c>
      <c r="B36" t="s">
        <v>18</v>
      </c>
      <c r="C36">
        <v>90000</v>
      </c>
      <c r="D36" t="s">
        <v>19</v>
      </c>
      <c r="E36" t="s">
        <v>20</v>
      </c>
      <c r="F36" t="s">
        <v>32</v>
      </c>
      <c r="G36" t="s">
        <v>22</v>
      </c>
      <c r="H36" t="s">
        <v>23</v>
      </c>
      <c r="I36" t="s">
        <v>24</v>
      </c>
      <c r="J36">
        <v>33660</v>
      </c>
      <c r="K36">
        <v>0</v>
      </c>
      <c r="L36" t="s">
        <v>25</v>
      </c>
      <c r="M36" t="s">
        <v>26</v>
      </c>
      <c r="N36" t="s">
        <v>58</v>
      </c>
      <c r="O36" t="s">
        <v>28</v>
      </c>
      <c r="P36" t="s">
        <v>59</v>
      </c>
      <c r="Q36">
        <v>1</v>
      </c>
    </row>
    <row r="37" spans="1:17" x14ac:dyDescent="0.25">
      <c r="A37" t="s">
        <v>29</v>
      </c>
      <c r="B37" t="s">
        <v>18</v>
      </c>
      <c r="C37">
        <v>90000</v>
      </c>
      <c r="D37" t="s">
        <v>19</v>
      </c>
      <c r="E37" t="s">
        <v>20</v>
      </c>
      <c r="F37" t="s">
        <v>32</v>
      </c>
      <c r="G37" t="s">
        <v>22</v>
      </c>
      <c r="H37" t="s">
        <v>23</v>
      </c>
      <c r="I37" t="s">
        <v>24</v>
      </c>
      <c r="J37">
        <v>33660</v>
      </c>
      <c r="K37">
        <v>0</v>
      </c>
      <c r="L37" t="s">
        <v>38</v>
      </c>
      <c r="M37" t="s">
        <v>26</v>
      </c>
      <c r="N37" t="s">
        <v>58</v>
      </c>
      <c r="O37" t="s">
        <v>28</v>
      </c>
      <c r="P37" t="s">
        <v>59</v>
      </c>
      <c r="Q37">
        <v>1</v>
      </c>
    </row>
    <row r="38" spans="1:17" x14ac:dyDescent="0.25">
      <c r="A38" t="s">
        <v>29</v>
      </c>
      <c r="B38" t="s">
        <v>18</v>
      </c>
      <c r="C38">
        <v>90000</v>
      </c>
      <c r="D38" t="s">
        <v>19</v>
      </c>
      <c r="E38" t="s">
        <v>20</v>
      </c>
      <c r="F38" t="s">
        <v>32</v>
      </c>
      <c r="G38" t="s">
        <v>22</v>
      </c>
      <c r="H38" t="s">
        <v>23</v>
      </c>
      <c r="I38" t="s">
        <v>24</v>
      </c>
      <c r="J38">
        <v>33660</v>
      </c>
      <c r="K38">
        <v>0</v>
      </c>
      <c r="L38" t="s">
        <v>38</v>
      </c>
      <c r="M38" t="s">
        <v>26</v>
      </c>
      <c r="N38" t="s">
        <v>58</v>
      </c>
      <c r="O38" t="s">
        <v>28</v>
      </c>
      <c r="P38" t="s">
        <v>59</v>
      </c>
      <c r="Q38">
        <v>1</v>
      </c>
    </row>
    <row r="39" spans="1:17" x14ac:dyDescent="0.25">
      <c r="A39" t="s">
        <v>29</v>
      </c>
      <c r="B39" t="s">
        <v>18</v>
      </c>
      <c r="C39">
        <v>90000</v>
      </c>
      <c r="D39" t="s">
        <v>19</v>
      </c>
      <c r="E39" t="s">
        <v>20</v>
      </c>
      <c r="F39" t="s">
        <v>32</v>
      </c>
      <c r="G39" t="s">
        <v>22</v>
      </c>
      <c r="H39" t="s">
        <v>23</v>
      </c>
      <c r="I39" t="s">
        <v>24</v>
      </c>
      <c r="J39">
        <v>33250.5</v>
      </c>
      <c r="K39">
        <v>0</v>
      </c>
      <c r="L39" t="s">
        <v>45</v>
      </c>
      <c r="M39" t="s">
        <v>26</v>
      </c>
      <c r="N39" t="s">
        <v>58</v>
      </c>
      <c r="O39" t="s">
        <v>35</v>
      </c>
      <c r="P39" t="s">
        <v>60</v>
      </c>
      <c r="Q39">
        <v>1</v>
      </c>
    </row>
    <row r="40" spans="1:17" x14ac:dyDescent="0.25">
      <c r="A40" t="s">
        <v>29</v>
      </c>
      <c r="B40" t="s">
        <v>18</v>
      </c>
      <c r="C40">
        <v>90000</v>
      </c>
      <c r="D40" t="s">
        <v>19</v>
      </c>
      <c r="E40" t="s">
        <v>20</v>
      </c>
      <c r="F40" t="s">
        <v>32</v>
      </c>
      <c r="G40" t="s">
        <v>22</v>
      </c>
      <c r="H40" t="s">
        <v>23</v>
      </c>
      <c r="I40" t="s">
        <v>24</v>
      </c>
      <c r="J40">
        <v>47241</v>
      </c>
      <c r="K40">
        <v>0</v>
      </c>
      <c r="L40" t="s">
        <v>25</v>
      </c>
      <c r="M40" t="s">
        <v>26</v>
      </c>
      <c r="N40" t="s">
        <v>27</v>
      </c>
      <c r="O40" t="s">
        <v>35</v>
      </c>
      <c r="P40" t="s">
        <v>26</v>
      </c>
      <c r="Q40">
        <v>0</v>
      </c>
    </row>
    <row r="41" spans="1:17" x14ac:dyDescent="0.25">
      <c r="A41" t="s">
        <v>29</v>
      </c>
      <c r="B41" t="s">
        <v>18</v>
      </c>
      <c r="C41">
        <v>90000</v>
      </c>
      <c r="D41" t="s">
        <v>19</v>
      </c>
      <c r="E41" t="s">
        <v>20</v>
      </c>
      <c r="F41" t="s">
        <v>32</v>
      </c>
      <c r="G41" t="s">
        <v>22</v>
      </c>
      <c r="H41" t="s">
        <v>23</v>
      </c>
      <c r="I41" t="s">
        <v>24</v>
      </c>
      <c r="J41">
        <v>36720</v>
      </c>
      <c r="K41">
        <v>0</v>
      </c>
      <c r="L41" t="s">
        <v>38</v>
      </c>
      <c r="M41" t="s">
        <v>26</v>
      </c>
      <c r="N41" t="s">
        <v>58</v>
      </c>
      <c r="O41" t="s">
        <v>35</v>
      </c>
      <c r="P41" t="s">
        <v>60</v>
      </c>
      <c r="Q41">
        <v>1</v>
      </c>
    </row>
    <row r="42" spans="1:17" x14ac:dyDescent="0.25">
      <c r="A42" t="s">
        <v>29</v>
      </c>
      <c r="B42" t="s">
        <v>18</v>
      </c>
      <c r="C42">
        <v>90000</v>
      </c>
      <c r="D42" t="s">
        <v>19</v>
      </c>
      <c r="E42" t="s">
        <v>20</v>
      </c>
      <c r="F42" t="s">
        <v>32</v>
      </c>
      <c r="G42" t="s">
        <v>22</v>
      </c>
      <c r="H42" t="s">
        <v>23</v>
      </c>
      <c r="I42" t="s">
        <v>24</v>
      </c>
      <c r="J42">
        <v>33660</v>
      </c>
      <c r="K42">
        <v>3366</v>
      </c>
      <c r="L42" t="s">
        <v>25</v>
      </c>
      <c r="M42" t="s">
        <v>26</v>
      </c>
      <c r="N42" t="s">
        <v>58</v>
      </c>
      <c r="O42" t="s">
        <v>28</v>
      </c>
      <c r="P42" t="s">
        <v>59</v>
      </c>
      <c r="Q42">
        <v>1</v>
      </c>
    </row>
    <row r="43" spans="1:17" x14ac:dyDescent="0.25">
      <c r="A43" t="s">
        <v>29</v>
      </c>
      <c r="B43" t="s">
        <v>18</v>
      </c>
      <c r="C43">
        <v>90000</v>
      </c>
      <c r="D43" t="s">
        <v>19</v>
      </c>
      <c r="E43" t="s">
        <v>20</v>
      </c>
      <c r="F43" t="s">
        <v>32</v>
      </c>
      <c r="G43" t="s">
        <v>22</v>
      </c>
      <c r="H43" t="s">
        <v>23</v>
      </c>
      <c r="I43" t="s">
        <v>24</v>
      </c>
      <c r="J43">
        <v>33660</v>
      </c>
      <c r="K43">
        <v>3366</v>
      </c>
      <c r="L43" t="s">
        <v>42</v>
      </c>
      <c r="M43" t="s">
        <v>26</v>
      </c>
      <c r="N43" t="s">
        <v>58</v>
      </c>
      <c r="O43" t="s">
        <v>28</v>
      </c>
      <c r="P43" t="s">
        <v>60</v>
      </c>
      <c r="Q43">
        <v>1</v>
      </c>
    </row>
    <row r="44" spans="1:17" x14ac:dyDescent="0.25">
      <c r="A44" t="s">
        <v>29</v>
      </c>
      <c r="B44" t="s">
        <v>18</v>
      </c>
      <c r="C44">
        <v>90000</v>
      </c>
      <c r="D44" t="s">
        <v>19</v>
      </c>
      <c r="E44" t="s">
        <v>20</v>
      </c>
      <c r="F44" t="s">
        <v>32</v>
      </c>
      <c r="G44" t="s">
        <v>22</v>
      </c>
      <c r="H44" t="s">
        <v>23</v>
      </c>
      <c r="I44" t="s">
        <v>24</v>
      </c>
      <c r="J44">
        <v>21969.224999999999</v>
      </c>
      <c r="K44">
        <v>0</v>
      </c>
      <c r="L44" t="s">
        <v>25</v>
      </c>
      <c r="M44" t="s">
        <v>26</v>
      </c>
      <c r="N44" t="s">
        <v>58</v>
      </c>
      <c r="O44" t="s">
        <v>35</v>
      </c>
      <c r="P44" t="s">
        <v>60</v>
      </c>
      <c r="Q44">
        <v>1</v>
      </c>
    </row>
    <row r="45" spans="1:17" x14ac:dyDescent="0.25">
      <c r="A45" t="s">
        <v>17</v>
      </c>
      <c r="B45" t="s">
        <v>18</v>
      </c>
      <c r="C45">
        <v>112500</v>
      </c>
      <c r="D45" t="s">
        <v>19</v>
      </c>
      <c r="E45" t="s">
        <v>20</v>
      </c>
      <c r="F45" t="s">
        <v>32</v>
      </c>
      <c r="G45" t="s">
        <v>22</v>
      </c>
      <c r="H45" t="s">
        <v>61</v>
      </c>
      <c r="I45" t="s">
        <v>24</v>
      </c>
      <c r="J45">
        <v>69255</v>
      </c>
      <c r="K45">
        <v>27000</v>
      </c>
      <c r="L45" t="s">
        <v>34</v>
      </c>
      <c r="M45" t="s">
        <v>26</v>
      </c>
      <c r="N45" t="s">
        <v>27</v>
      </c>
      <c r="O45" t="s">
        <v>35</v>
      </c>
      <c r="P45" t="s">
        <v>26</v>
      </c>
      <c r="Q45">
        <v>0</v>
      </c>
    </row>
    <row r="46" spans="1:17" x14ac:dyDescent="0.25">
      <c r="A46" t="s">
        <v>17</v>
      </c>
      <c r="B46" t="s">
        <v>18</v>
      </c>
      <c r="C46">
        <v>90000</v>
      </c>
      <c r="D46" t="s">
        <v>19</v>
      </c>
      <c r="E46" t="s">
        <v>31</v>
      </c>
      <c r="F46" t="s">
        <v>21</v>
      </c>
      <c r="G46" t="s">
        <v>62</v>
      </c>
      <c r="H46" t="s">
        <v>23</v>
      </c>
      <c r="I46" t="s">
        <v>24</v>
      </c>
      <c r="J46">
        <v>121455</v>
      </c>
      <c r="K46">
        <v>12145.5</v>
      </c>
      <c r="L46" t="s">
        <v>43</v>
      </c>
      <c r="M46" t="s">
        <v>26</v>
      </c>
      <c r="N46" t="s">
        <v>27</v>
      </c>
      <c r="O46" t="s">
        <v>35</v>
      </c>
      <c r="P46" t="s">
        <v>26</v>
      </c>
      <c r="Q46">
        <v>0</v>
      </c>
    </row>
    <row r="47" spans="1:17" x14ac:dyDescent="0.25">
      <c r="A47" t="s">
        <v>29</v>
      </c>
      <c r="B47" t="s">
        <v>18</v>
      </c>
      <c r="C47">
        <v>292500</v>
      </c>
      <c r="D47" t="s">
        <v>44</v>
      </c>
      <c r="E47" t="s">
        <v>20</v>
      </c>
      <c r="F47" t="s">
        <v>39</v>
      </c>
      <c r="G47" t="s">
        <v>22</v>
      </c>
      <c r="H47" t="s">
        <v>23</v>
      </c>
      <c r="I47" t="s">
        <v>24</v>
      </c>
      <c r="J47">
        <v>46935</v>
      </c>
      <c r="K47">
        <v>4693.5</v>
      </c>
      <c r="L47" t="s">
        <v>34</v>
      </c>
      <c r="M47" t="s">
        <v>26</v>
      </c>
      <c r="N47" t="s">
        <v>27</v>
      </c>
      <c r="O47" t="s">
        <v>35</v>
      </c>
      <c r="P47" t="s">
        <v>26</v>
      </c>
      <c r="Q47">
        <v>0</v>
      </c>
    </row>
    <row r="48" spans="1:17" x14ac:dyDescent="0.25">
      <c r="A48" t="s">
        <v>29</v>
      </c>
      <c r="B48" t="s">
        <v>18</v>
      </c>
      <c r="C48">
        <v>292500</v>
      </c>
      <c r="D48" t="s">
        <v>44</v>
      </c>
      <c r="E48" t="s">
        <v>20</v>
      </c>
      <c r="F48" t="s">
        <v>39</v>
      </c>
      <c r="G48" t="s">
        <v>22</v>
      </c>
      <c r="H48" t="s">
        <v>23</v>
      </c>
      <c r="I48" t="s">
        <v>24</v>
      </c>
      <c r="J48">
        <v>25087.5</v>
      </c>
      <c r="K48">
        <v>0</v>
      </c>
      <c r="L48" t="s">
        <v>51</v>
      </c>
      <c r="M48" t="s">
        <v>26</v>
      </c>
      <c r="N48" t="s">
        <v>27</v>
      </c>
      <c r="O48" t="s">
        <v>35</v>
      </c>
      <c r="P48" t="s">
        <v>26</v>
      </c>
      <c r="Q48">
        <v>0</v>
      </c>
    </row>
    <row r="49" spans="1:17" x14ac:dyDescent="0.25">
      <c r="A49" t="s">
        <v>29</v>
      </c>
      <c r="B49" t="s">
        <v>18</v>
      </c>
      <c r="C49">
        <v>292500</v>
      </c>
      <c r="D49" t="s">
        <v>44</v>
      </c>
      <c r="E49" t="s">
        <v>20</v>
      </c>
      <c r="F49" t="s">
        <v>39</v>
      </c>
      <c r="G49" t="s">
        <v>22</v>
      </c>
      <c r="H49" t="s">
        <v>23</v>
      </c>
      <c r="I49" t="s">
        <v>24</v>
      </c>
      <c r="J49">
        <v>117000</v>
      </c>
      <c r="K49">
        <v>9360</v>
      </c>
      <c r="L49" t="s">
        <v>43</v>
      </c>
      <c r="M49" t="s">
        <v>26</v>
      </c>
      <c r="N49" t="s">
        <v>27</v>
      </c>
      <c r="O49" t="s">
        <v>35</v>
      </c>
      <c r="P49" t="s">
        <v>26</v>
      </c>
      <c r="Q49">
        <v>0</v>
      </c>
    </row>
    <row r="50" spans="1:17" x14ac:dyDescent="0.25">
      <c r="A50" t="s">
        <v>29</v>
      </c>
      <c r="B50" t="s">
        <v>18</v>
      </c>
      <c r="C50">
        <v>112500</v>
      </c>
      <c r="D50" t="s">
        <v>19</v>
      </c>
      <c r="E50" t="s">
        <v>20</v>
      </c>
      <c r="F50" t="s">
        <v>39</v>
      </c>
      <c r="G50" t="s">
        <v>22</v>
      </c>
      <c r="H50" t="s">
        <v>63</v>
      </c>
      <c r="I50" t="s">
        <v>24</v>
      </c>
      <c r="J50">
        <v>197752.5</v>
      </c>
      <c r="K50">
        <v>0</v>
      </c>
      <c r="L50" t="s">
        <v>25</v>
      </c>
      <c r="M50" t="s">
        <v>26</v>
      </c>
      <c r="N50" t="s">
        <v>58</v>
      </c>
      <c r="O50" t="s">
        <v>35</v>
      </c>
      <c r="P50" t="s">
        <v>64</v>
      </c>
      <c r="Q50">
        <v>1</v>
      </c>
    </row>
    <row r="51" spans="1:17" x14ac:dyDescent="0.25">
      <c r="A51" t="s">
        <v>29</v>
      </c>
      <c r="B51" t="s">
        <v>18</v>
      </c>
      <c r="C51">
        <v>112500</v>
      </c>
      <c r="D51" t="s">
        <v>19</v>
      </c>
      <c r="E51" t="s">
        <v>20</v>
      </c>
      <c r="F51" t="s">
        <v>39</v>
      </c>
      <c r="G51" t="s">
        <v>22</v>
      </c>
      <c r="H51" t="s">
        <v>63</v>
      </c>
      <c r="I51" t="s">
        <v>24</v>
      </c>
      <c r="J51">
        <v>58797</v>
      </c>
      <c r="K51">
        <v>0</v>
      </c>
      <c r="L51" t="s">
        <v>42</v>
      </c>
      <c r="M51" t="s">
        <v>26</v>
      </c>
      <c r="N51" t="s">
        <v>27</v>
      </c>
      <c r="O51" t="s">
        <v>35</v>
      </c>
      <c r="P51" t="s">
        <v>26</v>
      </c>
      <c r="Q51">
        <v>0</v>
      </c>
    </row>
    <row r="52" spans="1:17" x14ac:dyDescent="0.25">
      <c r="A52" t="s">
        <v>29</v>
      </c>
      <c r="B52" t="s">
        <v>18</v>
      </c>
      <c r="C52">
        <v>90000</v>
      </c>
      <c r="D52" t="s">
        <v>19</v>
      </c>
      <c r="E52" t="s">
        <v>20</v>
      </c>
      <c r="F52" t="s">
        <v>39</v>
      </c>
      <c r="G52" t="s">
        <v>22</v>
      </c>
      <c r="H52" t="s">
        <v>48</v>
      </c>
      <c r="I52" t="s">
        <v>24</v>
      </c>
      <c r="J52">
        <v>153877.5</v>
      </c>
      <c r="K52">
        <v>0</v>
      </c>
      <c r="L52" t="s">
        <v>34</v>
      </c>
      <c r="M52" t="s">
        <v>26</v>
      </c>
      <c r="N52" t="s">
        <v>58</v>
      </c>
      <c r="O52" t="s">
        <v>28</v>
      </c>
      <c r="P52" t="s">
        <v>64</v>
      </c>
      <c r="Q52">
        <v>1</v>
      </c>
    </row>
    <row r="53" spans="1:17" x14ac:dyDescent="0.25">
      <c r="A53" t="s">
        <v>29</v>
      </c>
      <c r="B53" t="s">
        <v>18</v>
      </c>
      <c r="C53">
        <v>90000</v>
      </c>
      <c r="D53" t="s">
        <v>19</v>
      </c>
      <c r="E53" t="s">
        <v>20</v>
      </c>
      <c r="F53" t="s">
        <v>39</v>
      </c>
      <c r="G53" t="s">
        <v>22</v>
      </c>
      <c r="H53" t="s">
        <v>48</v>
      </c>
      <c r="I53" t="s">
        <v>24</v>
      </c>
      <c r="J53">
        <v>38385</v>
      </c>
      <c r="K53">
        <v>1935</v>
      </c>
      <c r="L53" t="s">
        <v>25</v>
      </c>
      <c r="M53" t="s">
        <v>26</v>
      </c>
      <c r="N53" t="s">
        <v>27</v>
      </c>
      <c r="O53" t="s">
        <v>28</v>
      </c>
      <c r="P53" t="s">
        <v>26</v>
      </c>
      <c r="Q53">
        <v>0</v>
      </c>
    </row>
    <row r="54" spans="1:17" x14ac:dyDescent="0.25">
      <c r="A54" t="s">
        <v>17</v>
      </c>
      <c r="B54" t="s">
        <v>36</v>
      </c>
      <c r="C54">
        <v>360000</v>
      </c>
      <c r="D54" t="s">
        <v>44</v>
      </c>
      <c r="E54" t="s">
        <v>20</v>
      </c>
      <c r="F54" t="s">
        <v>32</v>
      </c>
      <c r="G54" t="s">
        <v>22</v>
      </c>
      <c r="H54" t="s">
        <v>49</v>
      </c>
      <c r="I54" t="s">
        <v>24</v>
      </c>
      <c r="J54">
        <v>24709.095000000001</v>
      </c>
      <c r="K54">
        <v>4.0949999999999998</v>
      </c>
      <c r="L54" t="s">
        <v>34</v>
      </c>
      <c r="M54" t="s">
        <v>26</v>
      </c>
      <c r="N54" t="s">
        <v>27</v>
      </c>
      <c r="O54" t="s">
        <v>35</v>
      </c>
      <c r="P54" t="s">
        <v>26</v>
      </c>
      <c r="Q54">
        <v>0</v>
      </c>
    </row>
    <row r="55" spans="1:17" x14ac:dyDescent="0.25">
      <c r="A55" t="s">
        <v>29</v>
      </c>
      <c r="B55" t="s">
        <v>18</v>
      </c>
      <c r="C55">
        <v>198000</v>
      </c>
      <c r="D55" t="s">
        <v>44</v>
      </c>
      <c r="E55" t="s">
        <v>20</v>
      </c>
      <c r="F55" t="s">
        <v>32</v>
      </c>
      <c r="G55" t="s">
        <v>22</v>
      </c>
      <c r="H55" t="s">
        <v>41</v>
      </c>
      <c r="I55" t="s">
        <v>24</v>
      </c>
      <c r="J55">
        <v>35775</v>
      </c>
      <c r="K55">
        <v>4500</v>
      </c>
      <c r="L55" t="s">
        <v>43</v>
      </c>
      <c r="M55" t="s">
        <v>26</v>
      </c>
      <c r="N55" t="s">
        <v>27</v>
      </c>
      <c r="O55" t="s">
        <v>35</v>
      </c>
      <c r="P55" t="s">
        <v>26</v>
      </c>
      <c r="Q55">
        <v>0</v>
      </c>
    </row>
    <row r="56" spans="1:17" x14ac:dyDescent="0.25">
      <c r="A56" t="s">
        <v>29</v>
      </c>
      <c r="B56" t="s">
        <v>18</v>
      </c>
      <c r="C56">
        <v>198000</v>
      </c>
      <c r="D56" t="s">
        <v>44</v>
      </c>
      <c r="E56" t="s">
        <v>20</v>
      </c>
      <c r="F56" t="s">
        <v>32</v>
      </c>
      <c r="G56" t="s">
        <v>22</v>
      </c>
      <c r="H56" t="s">
        <v>41</v>
      </c>
      <c r="I56" t="s">
        <v>24</v>
      </c>
      <c r="J56">
        <v>1575000</v>
      </c>
      <c r="K56">
        <v>315000</v>
      </c>
      <c r="L56" t="s">
        <v>43</v>
      </c>
      <c r="M56" t="s">
        <v>26</v>
      </c>
      <c r="N56" t="s">
        <v>58</v>
      </c>
      <c r="O56" t="s">
        <v>28</v>
      </c>
      <c r="P56" t="s">
        <v>60</v>
      </c>
      <c r="Q56">
        <v>1</v>
      </c>
    </row>
    <row r="57" spans="1:17" x14ac:dyDescent="0.25">
      <c r="A57" t="s">
        <v>29</v>
      </c>
      <c r="B57" t="s">
        <v>18</v>
      </c>
      <c r="C57">
        <v>198000</v>
      </c>
      <c r="D57" t="s">
        <v>44</v>
      </c>
      <c r="E57" t="s">
        <v>20</v>
      </c>
      <c r="F57" t="s">
        <v>32</v>
      </c>
      <c r="G57" t="s">
        <v>22</v>
      </c>
      <c r="H57" t="s">
        <v>41</v>
      </c>
      <c r="I57" t="s">
        <v>24</v>
      </c>
      <c r="J57">
        <v>1575000</v>
      </c>
      <c r="K57">
        <v>0</v>
      </c>
      <c r="L57" t="s">
        <v>43</v>
      </c>
      <c r="M57" t="s">
        <v>26</v>
      </c>
      <c r="N57" t="s">
        <v>58</v>
      </c>
      <c r="O57" t="s">
        <v>28</v>
      </c>
      <c r="P57" t="s">
        <v>64</v>
      </c>
      <c r="Q57">
        <v>1</v>
      </c>
    </row>
    <row r="58" spans="1:17" x14ac:dyDescent="0.25">
      <c r="A58" t="s">
        <v>29</v>
      </c>
      <c r="B58" t="s">
        <v>18</v>
      </c>
      <c r="C58">
        <v>198000</v>
      </c>
      <c r="D58" t="s">
        <v>44</v>
      </c>
      <c r="E58" t="s">
        <v>20</v>
      </c>
      <c r="F58" t="s">
        <v>32</v>
      </c>
      <c r="G58" t="s">
        <v>22</v>
      </c>
      <c r="H58" t="s">
        <v>41</v>
      </c>
      <c r="I58" t="s">
        <v>24</v>
      </c>
      <c r="J58">
        <v>1575000</v>
      </c>
      <c r="K58">
        <v>0</v>
      </c>
      <c r="L58" t="s">
        <v>43</v>
      </c>
      <c r="M58" t="s">
        <v>26</v>
      </c>
      <c r="N58" t="s">
        <v>58</v>
      </c>
      <c r="O58" t="s">
        <v>28</v>
      </c>
      <c r="P58" t="s">
        <v>64</v>
      </c>
      <c r="Q58">
        <v>1</v>
      </c>
    </row>
    <row r="59" spans="1:17" x14ac:dyDescent="0.25">
      <c r="A59" t="s">
        <v>29</v>
      </c>
      <c r="B59" t="s">
        <v>18</v>
      </c>
      <c r="C59">
        <v>198000</v>
      </c>
      <c r="D59" t="s">
        <v>44</v>
      </c>
      <c r="E59" t="s">
        <v>20</v>
      </c>
      <c r="F59" t="s">
        <v>32</v>
      </c>
      <c r="G59" t="s">
        <v>22</v>
      </c>
      <c r="H59" t="s">
        <v>41</v>
      </c>
      <c r="I59" t="s">
        <v>24</v>
      </c>
      <c r="J59">
        <v>1125000</v>
      </c>
      <c r="K59">
        <v>0</v>
      </c>
      <c r="L59" t="s">
        <v>51</v>
      </c>
      <c r="M59" t="s">
        <v>26</v>
      </c>
      <c r="N59" t="s">
        <v>58</v>
      </c>
      <c r="O59" t="s">
        <v>28</v>
      </c>
      <c r="P59" t="s">
        <v>60</v>
      </c>
      <c r="Q59">
        <v>1</v>
      </c>
    </row>
    <row r="60" spans="1:17" x14ac:dyDescent="0.25">
      <c r="A60" t="s">
        <v>17</v>
      </c>
      <c r="B60" t="s">
        <v>18</v>
      </c>
      <c r="C60">
        <v>121500</v>
      </c>
      <c r="D60" t="s">
        <v>19</v>
      </c>
      <c r="E60" t="s">
        <v>20</v>
      </c>
      <c r="F60" t="s">
        <v>32</v>
      </c>
      <c r="G60" t="s">
        <v>22</v>
      </c>
      <c r="H60" t="s">
        <v>65</v>
      </c>
      <c r="I60" t="s">
        <v>24</v>
      </c>
      <c r="J60">
        <v>50850</v>
      </c>
      <c r="K60">
        <v>5085</v>
      </c>
      <c r="L60" t="s">
        <v>25</v>
      </c>
      <c r="M60" t="s">
        <v>26</v>
      </c>
      <c r="N60" t="s">
        <v>27</v>
      </c>
      <c r="O60" t="s">
        <v>35</v>
      </c>
      <c r="P60" t="s">
        <v>26</v>
      </c>
      <c r="Q60">
        <v>0</v>
      </c>
    </row>
    <row r="61" spans="1:17" x14ac:dyDescent="0.25">
      <c r="A61" t="s">
        <v>17</v>
      </c>
      <c r="B61" t="s">
        <v>18</v>
      </c>
      <c r="C61">
        <v>121500</v>
      </c>
      <c r="D61" t="s">
        <v>19</v>
      </c>
      <c r="E61" t="s">
        <v>20</v>
      </c>
      <c r="F61" t="s">
        <v>32</v>
      </c>
      <c r="G61" t="s">
        <v>22</v>
      </c>
      <c r="H61" t="s">
        <v>65</v>
      </c>
      <c r="I61" t="s">
        <v>66</v>
      </c>
      <c r="J61">
        <v>315000</v>
      </c>
      <c r="K61">
        <v>0</v>
      </c>
      <c r="L61" t="s">
        <v>38</v>
      </c>
      <c r="M61" t="s">
        <v>28</v>
      </c>
      <c r="N61" t="s">
        <v>27</v>
      </c>
      <c r="O61" t="s">
        <v>35</v>
      </c>
      <c r="P61" t="s">
        <v>26</v>
      </c>
      <c r="Q61">
        <v>0</v>
      </c>
    </row>
    <row r="62" spans="1:17" x14ac:dyDescent="0.25">
      <c r="A62" t="s">
        <v>29</v>
      </c>
      <c r="B62" t="s">
        <v>18</v>
      </c>
      <c r="C62">
        <v>99000</v>
      </c>
      <c r="D62" t="s">
        <v>46</v>
      </c>
      <c r="E62" t="s">
        <v>20</v>
      </c>
      <c r="F62" t="s">
        <v>32</v>
      </c>
      <c r="G62" t="s">
        <v>22</v>
      </c>
      <c r="H62" t="s">
        <v>28</v>
      </c>
      <c r="I62" t="s">
        <v>24</v>
      </c>
      <c r="J62">
        <v>80995.5</v>
      </c>
      <c r="K62">
        <v>0</v>
      </c>
      <c r="L62" t="s">
        <v>38</v>
      </c>
      <c r="M62" t="s">
        <v>26</v>
      </c>
      <c r="N62" t="s">
        <v>27</v>
      </c>
      <c r="O62" t="s">
        <v>35</v>
      </c>
      <c r="P62" t="s">
        <v>26</v>
      </c>
      <c r="Q62">
        <v>0</v>
      </c>
    </row>
    <row r="63" spans="1:17" x14ac:dyDescent="0.25">
      <c r="A63" t="s">
        <v>29</v>
      </c>
      <c r="B63" t="s">
        <v>18</v>
      </c>
      <c r="C63">
        <v>99000</v>
      </c>
      <c r="D63" t="s">
        <v>46</v>
      </c>
      <c r="E63" t="s">
        <v>20</v>
      </c>
      <c r="F63" t="s">
        <v>32</v>
      </c>
      <c r="G63" t="s">
        <v>22</v>
      </c>
      <c r="H63" t="s">
        <v>28</v>
      </c>
      <c r="I63" t="s">
        <v>24</v>
      </c>
      <c r="J63">
        <v>72445.5</v>
      </c>
      <c r="K63">
        <v>0</v>
      </c>
      <c r="L63" t="s">
        <v>38</v>
      </c>
      <c r="M63" t="s">
        <v>26</v>
      </c>
      <c r="N63" t="s">
        <v>27</v>
      </c>
      <c r="O63" t="s">
        <v>35</v>
      </c>
      <c r="P63" t="s">
        <v>26</v>
      </c>
      <c r="Q63">
        <v>0</v>
      </c>
    </row>
    <row r="64" spans="1:17" x14ac:dyDescent="0.25">
      <c r="A64" t="s">
        <v>17</v>
      </c>
      <c r="B64" t="s">
        <v>18</v>
      </c>
      <c r="C64">
        <v>202500</v>
      </c>
      <c r="D64" t="s">
        <v>44</v>
      </c>
      <c r="E64" t="s">
        <v>20</v>
      </c>
      <c r="F64" t="s">
        <v>32</v>
      </c>
      <c r="G64" t="s">
        <v>22</v>
      </c>
      <c r="H64" t="s">
        <v>23</v>
      </c>
      <c r="I64" t="s">
        <v>24</v>
      </c>
      <c r="J64">
        <v>38205</v>
      </c>
      <c r="K64">
        <v>3820.5</v>
      </c>
      <c r="L64" t="s">
        <v>34</v>
      </c>
      <c r="M64" t="s">
        <v>26</v>
      </c>
      <c r="N64" t="s">
        <v>27</v>
      </c>
      <c r="O64" t="s">
        <v>35</v>
      </c>
      <c r="P64" t="s">
        <v>26</v>
      </c>
      <c r="Q64">
        <v>0</v>
      </c>
    </row>
    <row r="65" spans="1:17" x14ac:dyDescent="0.25">
      <c r="A65" t="s">
        <v>29</v>
      </c>
      <c r="B65" t="s">
        <v>18</v>
      </c>
      <c r="C65">
        <v>135000</v>
      </c>
      <c r="D65" t="s">
        <v>19</v>
      </c>
      <c r="E65" t="s">
        <v>20</v>
      </c>
      <c r="F65" t="s">
        <v>39</v>
      </c>
      <c r="G65" t="s">
        <v>22</v>
      </c>
      <c r="H65" t="s">
        <v>49</v>
      </c>
      <c r="I65" t="s">
        <v>24</v>
      </c>
      <c r="J65">
        <v>33250.5</v>
      </c>
      <c r="K65">
        <v>0</v>
      </c>
      <c r="L65" t="s">
        <v>43</v>
      </c>
      <c r="M65" t="s">
        <v>26</v>
      </c>
      <c r="N65" t="s">
        <v>27</v>
      </c>
      <c r="O65" t="s">
        <v>35</v>
      </c>
      <c r="P65" t="s">
        <v>26</v>
      </c>
      <c r="Q65">
        <v>0</v>
      </c>
    </row>
    <row r="66" spans="1:17" x14ac:dyDescent="0.25">
      <c r="A66" t="s">
        <v>29</v>
      </c>
      <c r="B66" t="s">
        <v>18</v>
      </c>
      <c r="C66">
        <v>135000</v>
      </c>
      <c r="D66" t="s">
        <v>19</v>
      </c>
      <c r="E66" t="s">
        <v>20</v>
      </c>
      <c r="F66" t="s">
        <v>39</v>
      </c>
      <c r="G66" t="s">
        <v>22</v>
      </c>
      <c r="H66" t="s">
        <v>49</v>
      </c>
      <c r="I66" t="s">
        <v>24</v>
      </c>
      <c r="J66">
        <v>41305.5</v>
      </c>
      <c r="K66">
        <v>4131</v>
      </c>
      <c r="L66" t="s">
        <v>34</v>
      </c>
      <c r="M66" t="s">
        <v>26</v>
      </c>
      <c r="N66" t="s">
        <v>27</v>
      </c>
      <c r="O66" t="s">
        <v>35</v>
      </c>
      <c r="P66" t="s">
        <v>26</v>
      </c>
      <c r="Q66">
        <v>0</v>
      </c>
    </row>
    <row r="67" spans="1:17" x14ac:dyDescent="0.25">
      <c r="A67" t="s">
        <v>17</v>
      </c>
      <c r="B67" t="s">
        <v>18</v>
      </c>
      <c r="C67">
        <v>202500</v>
      </c>
      <c r="D67" t="s">
        <v>19</v>
      </c>
      <c r="E67" t="s">
        <v>20</v>
      </c>
      <c r="F67" t="s">
        <v>39</v>
      </c>
      <c r="G67" t="s">
        <v>22</v>
      </c>
      <c r="H67" t="s">
        <v>23</v>
      </c>
      <c r="I67" t="s">
        <v>24</v>
      </c>
      <c r="J67">
        <v>136620</v>
      </c>
      <c r="K67">
        <v>0</v>
      </c>
      <c r="L67" t="s">
        <v>34</v>
      </c>
      <c r="M67" t="s">
        <v>26</v>
      </c>
      <c r="N67" t="s">
        <v>27</v>
      </c>
      <c r="O67" t="s">
        <v>35</v>
      </c>
      <c r="P67" t="s">
        <v>26</v>
      </c>
      <c r="Q67">
        <v>0</v>
      </c>
    </row>
    <row r="68" spans="1:17" x14ac:dyDescent="0.25">
      <c r="A68" t="s">
        <v>29</v>
      </c>
      <c r="B68" t="s">
        <v>18</v>
      </c>
      <c r="C68">
        <v>90000</v>
      </c>
      <c r="D68" t="s">
        <v>19</v>
      </c>
      <c r="E68" t="s">
        <v>20</v>
      </c>
      <c r="F68" t="s">
        <v>39</v>
      </c>
      <c r="G68" t="s">
        <v>22</v>
      </c>
      <c r="H68" t="s">
        <v>49</v>
      </c>
      <c r="I68" t="s">
        <v>24</v>
      </c>
      <c r="J68">
        <v>20160</v>
      </c>
      <c r="K68">
        <v>0</v>
      </c>
      <c r="L68" t="s">
        <v>43</v>
      </c>
      <c r="M68" t="s">
        <v>26</v>
      </c>
      <c r="N68" t="s">
        <v>27</v>
      </c>
      <c r="O68" t="s">
        <v>35</v>
      </c>
      <c r="P68" t="s">
        <v>26</v>
      </c>
      <c r="Q68">
        <v>0</v>
      </c>
    </row>
    <row r="69" spans="1:17" x14ac:dyDescent="0.25">
      <c r="A69" t="s">
        <v>29</v>
      </c>
      <c r="B69" t="s">
        <v>18</v>
      </c>
      <c r="C69">
        <v>90000</v>
      </c>
      <c r="D69" t="s">
        <v>19</v>
      </c>
      <c r="E69" t="s">
        <v>20</v>
      </c>
      <c r="F69" t="s">
        <v>39</v>
      </c>
      <c r="G69" t="s">
        <v>22</v>
      </c>
      <c r="H69" t="s">
        <v>49</v>
      </c>
      <c r="I69" t="s">
        <v>24</v>
      </c>
      <c r="J69">
        <v>27175.5</v>
      </c>
      <c r="K69">
        <v>0</v>
      </c>
      <c r="L69" t="s">
        <v>42</v>
      </c>
      <c r="M69" t="s">
        <v>26</v>
      </c>
      <c r="N69" t="s">
        <v>27</v>
      </c>
      <c r="O69" t="s">
        <v>35</v>
      </c>
      <c r="P69" t="s">
        <v>26</v>
      </c>
      <c r="Q69">
        <v>0</v>
      </c>
    </row>
    <row r="70" spans="1:17" x14ac:dyDescent="0.25">
      <c r="A70" t="s">
        <v>29</v>
      </c>
      <c r="B70" t="s">
        <v>18</v>
      </c>
      <c r="C70">
        <v>99000</v>
      </c>
      <c r="D70" t="s">
        <v>19</v>
      </c>
      <c r="E70" t="s">
        <v>20</v>
      </c>
      <c r="F70" t="s">
        <v>32</v>
      </c>
      <c r="G70" t="s">
        <v>22</v>
      </c>
      <c r="H70" t="s">
        <v>23</v>
      </c>
      <c r="I70" t="s">
        <v>24</v>
      </c>
      <c r="J70">
        <v>92025</v>
      </c>
      <c r="K70">
        <v>0</v>
      </c>
      <c r="L70" t="s">
        <v>45</v>
      </c>
      <c r="M70" t="s">
        <v>26</v>
      </c>
      <c r="N70" t="s">
        <v>27</v>
      </c>
      <c r="O70" t="s">
        <v>35</v>
      </c>
      <c r="P70" t="s">
        <v>26</v>
      </c>
      <c r="Q70">
        <v>0</v>
      </c>
    </row>
    <row r="71" spans="1:17" x14ac:dyDescent="0.25">
      <c r="A71" t="s">
        <v>29</v>
      </c>
      <c r="B71" t="s">
        <v>18</v>
      </c>
      <c r="C71">
        <v>99000</v>
      </c>
      <c r="D71" t="s">
        <v>19</v>
      </c>
      <c r="E71" t="s">
        <v>20</v>
      </c>
      <c r="F71" t="s">
        <v>32</v>
      </c>
      <c r="G71" t="s">
        <v>22</v>
      </c>
      <c r="H71" t="s">
        <v>23</v>
      </c>
      <c r="I71" t="s">
        <v>24</v>
      </c>
      <c r="J71">
        <v>77400</v>
      </c>
      <c r="K71">
        <v>7740</v>
      </c>
      <c r="L71" t="s">
        <v>51</v>
      </c>
      <c r="M71" t="s">
        <v>26</v>
      </c>
      <c r="N71" t="s">
        <v>27</v>
      </c>
      <c r="O71" t="s">
        <v>35</v>
      </c>
      <c r="P71" t="s">
        <v>26</v>
      </c>
      <c r="Q71">
        <v>0</v>
      </c>
    </row>
    <row r="72" spans="1:17" x14ac:dyDescent="0.25">
      <c r="A72" t="s">
        <v>29</v>
      </c>
      <c r="B72" t="s">
        <v>18</v>
      </c>
      <c r="C72">
        <v>99000</v>
      </c>
      <c r="D72" t="s">
        <v>19</v>
      </c>
      <c r="E72" t="s">
        <v>20</v>
      </c>
      <c r="F72" t="s">
        <v>32</v>
      </c>
      <c r="G72" t="s">
        <v>22</v>
      </c>
      <c r="H72" t="s">
        <v>23</v>
      </c>
      <c r="I72" t="s">
        <v>24</v>
      </c>
      <c r="J72">
        <v>95310</v>
      </c>
      <c r="K72">
        <v>0</v>
      </c>
      <c r="L72" t="s">
        <v>25</v>
      </c>
      <c r="M72" t="s">
        <v>26</v>
      </c>
      <c r="N72" t="s">
        <v>27</v>
      </c>
      <c r="O72" t="s">
        <v>35</v>
      </c>
      <c r="P72" t="s">
        <v>26</v>
      </c>
      <c r="Q72">
        <v>0</v>
      </c>
    </row>
    <row r="73" spans="1:17" x14ac:dyDescent="0.25">
      <c r="A73" t="s">
        <v>29</v>
      </c>
      <c r="B73" t="s">
        <v>18</v>
      </c>
      <c r="C73">
        <v>99000</v>
      </c>
      <c r="D73" t="s">
        <v>19</v>
      </c>
      <c r="E73" t="s">
        <v>20</v>
      </c>
      <c r="F73" t="s">
        <v>32</v>
      </c>
      <c r="G73" t="s">
        <v>22</v>
      </c>
      <c r="H73" t="s">
        <v>23</v>
      </c>
      <c r="I73" t="s">
        <v>24</v>
      </c>
      <c r="J73">
        <v>62325</v>
      </c>
      <c r="K73">
        <v>6232.5</v>
      </c>
      <c r="L73" t="s">
        <v>25</v>
      </c>
      <c r="M73" t="s">
        <v>26</v>
      </c>
      <c r="N73" t="s">
        <v>58</v>
      </c>
      <c r="O73" t="s">
        <v>35</v>
      </c>
      <c r="P73" t="s">
        <v>60</v>
      </c>
      <c r="Q73">
        <v>1</v>
      </c>
    </row>
    <row r="74" spans="1:17" x14ac:dyDescent="0.25">
      <c r="A74" t="s">
        <v>29</v>
      </c>
      <c r="B74" t="s">
        <v>18</v>
      </c>
      <c r="C74">
        <v>130500</v>
      </c>
      <c r="D74" t="s">
        <v>30</v>
      </c>
      <c r="E74" t="s">
        <v>20</v>
      </c>
      <c r="F74" t="s">
        <v>32</v>
      </c>
      <c r="G74" t="s">
        <v>22</v>
      </c>
      <c r="H74" t="s">
        <v>37</v>
      </c>
      <c r="I74" t="s">
        <v>24</v>
      </c>
      <c r="J74">
        <v>109309.5</v>
      </c>
      <c r="K74">
        <v>10935</v>
      </c>
      <c r="L74" t="s">
        <v>38</v>
      </c>
      <c r="M74" t="s">
        <v>26</v>
      </c>
      <c r="N74" t="s">
        <v>27</v>
      </c>
      <c r="O74" t="s">
        <v>28</v>
      </c>
      <c r="P74" t="s">
        <v>26</v>
      </c>
      <c r="Q74">
        <v>0</v>
      </c>
    </row>
    <row r="75" spans="1:17" x14ac:dyDescent="0.25">
      <c r="A75" t="s">
        <v>17</v>
      </c>
      <c r="B75" t="s">
        <v>36</v>
      </c>
      <c r="C75">
        <v>360000</v>
      </c>
      <c r="D75" t="s">
        <v>19</v>
      </c>
      <c r="E75" t="s">
        <v>20</v>
      </c>
      <c r="F75" t="s">
        <v>32</v>
      </c>
      <c r="G75" t="s">
        <v>22</v>
      </c>
      <c r="H75" t="s">
        <v>50</v>
      </c>
      <c r="I75" t="s">
        <v>24</v>
      </c>
      <c r="J75">
        <v>223920</v>
      </c>
      <c r="K75">
        <v>22392</v>
      </c>
      <c r="L75" t="s">
        <v>42</v>
      </c>
      <c r="M75" t="s">
        <v>26</v>
      </c>
      <c r="N75" t="s">
        <v>27</v>
      </c>
      <c r="O75" t="s">
        <v>35</v>
      </c>
      <c r="P75" t="s">
        <v>26</v>
      </c>
      <c r="Q75">
        <v>0</v>
      </c>
    </row>
    <row r="76" spans="1:17" x14ac:dyDescent="0.25">
      <c r="A76" t="s">
        <v>17</v>
      </c>
      <c r="B76" t="s">
        <v>36</v>
      </c>
      <c r="C76">
        <v>360000</v>
      </c>
      <c r="D76" t="s">
        <v>19</v>
      </c>
      <c r="E76" t="s">
        <v>20</v>
      </c>
      <c r="F76" t="s">
        <v>32</v>
      </c>
      <c r="G76" t="s">
        <v>22</v>
      </c>
      <c r="H76" t="s">
        <v>50</v>
      </c>
      <c r="I76" t="s">
        <v>66</v>
      </c>
      <c r="J76">
        <v>405000</v>
      </c>
      <c r="K76">
        <v>0</v>
      </c>
      <c r="L76" t="s">
        <v>43</v>
      </c>
      <c r="M76" t="s">
        <v>28</v>
      </c>
      <c r="N76" t="s">
        <v>27</v>
      </c>
      <c r="O76" t="s">
        <v>35</v>
      </c>
      <c r="P76" t="s">
        <v>26</v>
      </c>
      <c r="Q76">
        <v>0</v>
      </c>
    </row>
    <row r="77" spans="1:17" x14ac:dyDescent="0.25">
      <c r="A77" t="s">
        <v>17</v>
      </c>
      <c r="B77" t="s">
        <v>36</v>
      </c>
      <c r="C77">
        <v>540000</v>
      </c>
      <c r="D77" t="s">
        <v>44</v>
      </c>
      <c r="E77" t="s">
        <v>31</v>
      </c>
      <c r="F77" t="s">
        <v>32</v>
      </c>
      <c r="G77" t="s">
        <v>22</v>
      </c>
      <c r="H77" t="s">
        <v>63</v>
      </c>
      <c r="I77" t="s">
        <v>24</v>
      </c>
      <c r="J77">
        <v>49593.824999999997</v>
      </c>
      <c r="K77">
        <v>4962.8249999999998</v>
      </c>
      <c r="L77" t="s">
        <v>43</v>
      </c>
      <c r="M77" t="s">
        <v>26</v>
      </c>
      <c r="N77" t="s">
        <v>58</v>
      </c>
      <c r="O77" t="s">
        <v>35</v>
      </c>
      <c r="P77" t="s">
        <v>67</v>
      </c>
      <c r="Q77">
        <v>1</v>
      </c>
    </row>
    <row r="78" spans="1:17" x14ac:dyDescent="0.25">
      <c r="A78" t="s">
        <v>17</v>
      </c>
      <c r="B78" t="s">
        <v>36</v>
      </c>
      <c r="C78">
        <v>540000</v>
      </c>
      <c r="D78" t="s">
        <v>44</v>
      </c>
      <c r="E78" t="s">
        <v>31</v>
      </c>
      <c r="F78" t="s">
        <v>32</v>
      </c>
      <c r="G78" t="s">
        <v>22</v>
      </c>
      <c r="H78" t="s">
        <v>63</v>
      </c>
      <c r="I78" t="s">
        <v>24</v>
      </c>
      <c r="J78">
        <v>35680.050000000003</v>
      </c>
      <c r="K78">
        <v>13504.05</v>
      </c>
      <c r="L78" t="s">
        <v>42</v>
      </c>
      <c r="M78" t="s">
        <v>26</v>
      </c>
      <c r="N78" t="s">
        <v>58</v>
      </c>
      <c r="O78" t="s">
        <v>35</v>
      </c>
      <c r="P78" t="s">
        <v>60</v>
      </c>
      <c r="Q78">
        <v>1</v>
      </c>
    </row>
    <row r="79" spans="1:17" x14ac:dyDescent="0.25">
      <c r="A79" t="s">
        <v>17</v>
      </c>
      <c r="B79" t="s">
        <v>36</v>
      </c>
      <c r="C79">
        <v>540000</v>
      </c>
      <c r="D79" t="s">
        <v>44</v>
      </c>
      <c r="E79" t="s">
        <v>31</v>
      </c>
      <c r="F79" t="s">
        <v>32</v>
      </c>
      <c r="G79" t="s">
        <v>22</v>
      </c>
      <c r="H79" t="s">
        <v>63</v>
      </c>
      <c r="I79" t="s">
        <v>24</v>
      </c>
      <c r="J79">
        <v>46304.55</v>
      </c>
      <c r="K79">
        <v>4.05</v>
      </c>
      <c r="L79" t="s">
        <v>45</v>
      </c>
      <c r="M79" t="s">
        <v>26</v>
      </c>
      <c r="N79" t="s">
        <v>58</v>
      </c>
      <c r="O79" t="s">
        <v>35</v>
      </c>
      <c r="P79" t="s">
        <v>59</v>
      </c>
      <c r="Q79">
        <v>1</v>
      </c>
    </row>
    <row r="80" spans="1:17" x14ac:dyDescent="0.25">
      <c r="A80" t="s">
        <v>17</v>
      </c>
      <c r="B80" t="s">
        <v>36</v>
      </c>
      <c r="C80">
        <v>540000</v>
      </c>
      <c r="D80" t="s">
        <v>44</v>
      </c>
      <c r="E80" t="s">
        <v>31</v>
      </c>
      <c r="F80" t="s">
        <v>32</v>
      </c>
      <c r="G80" t="s">
        <v>22</v>
      </c>
      <c r="H80" t="s">
        <v>63</v>
      </c>
      <c r="I80" t="s">
        <v>24</v>
      </c>
      <c r="J80">
        <v>1305000</v>
      </c>
      <c r="K80">
        <v>0</v>
      </c>
      <c r="L80" t="s">
        <v>25</v>
      </c>
      <c r="M80" t="s">
        <v>26</v>
      </c>
      <c r="N80" t="s">
        <v>58</v>
      </c>
      <c r="O80" t="s">
        <v>35</v>
      </c>
      <c r="P80" t="s">
        <v>60</v>
      </c>
      <c r="Q80">
        <v>1</v>
      </c>
    </row>
    <row r="81" spans="1:17" x14ac:dyDescent="0.25">
      <c r="A81" t="s">
        <v>29</v>
      </c>
      <c r="B81" t="s">
        <v>18</v>
      </c>
      <c r="C81">
        <v>225000</v>
      </c>
      <c r="D81" t="s">
        <v>44</v>
      </c>
      <c r="E81" t="s">
        <v>31</v>
      </c>
      <c r="F81" t="s">
        <v>32</v>
      </c>
      <c r="G81" t="s">
        <v>22</v>
      </c>
      <c r="H81" t="s">
        <v>49</v>
      </c>
      <c r="I81" t="s">
        <v>24</v>
      </c>
      <c r="J81">
        <v>44055</v>
      </c>
      <c r="K81">
        <v>4405.5</v>
      </c>
      <c r="L81" t="s">
        <v>25</v>
      </c>
      <c r="M81" t="s">
        <v>26</v>
      </c>
      <c r="N81" t="s">
        <v>27</v>
      </c>
      <c r="O81" t="s">
        <v>28</v>
      </c>
      <c r="P81" t="s">
        <v>26</v>
      </c>
      <c r="Q81">
        <v>0</v>
      </c>
    </row>
    <row r="82" spans="1:17" x14ac:dyDescent="0.25">
      <c r="A82" t="s">
        <v>17</v>
      </c>
      <c r="B82" t="s">
        <v>36</v>
      </c>
      <c r="C82">
        <v>81000</v>
      </c>
      <c r="D82" t="s">
        <v>46</v>
      </c>
      <c r="E82" t="s">
        <v>20</v>
      </c>
      <c r="F82" t="s">
        <v>32</v>
      </c>
      <c r="G82" t="s">
        <v>22</v>
      </c>
      <c r="H82" t="s">
        <v>28</v>
      </c>
      <c r="I82" t="s">
        <v>24</v>
      </c>
      <c r="J82">
        <v>751500</v>
      </c>
      <c r="K82">
        <v>75150</v>
      </c>
      <c r="L82" t="s">
        <v>42</v>
      </c>
      <c r="M82" t="s">
        <v>26</v>
      </c>
      <c r="N82" t="s">
        <v>27</v>
      </c>
      <c r="O82" t="s">
        <v>35</v>
      </c>
      <c r="P82" t="s">
        <v>26</v>
      </c>
      <c r="Q82">
        <v>0</v>
      </c>
    </row>
    <row r="83" spans="1:17" x14ac:dyDescent="0.25">
      <c r="A83" t="s">
        <v>29</v>
      </c>
      <c r="B83" t="s">
        <v>18</v>
      </c>
      <c r="C83">
        <v>180000</v>
      </c>
      <c r="D83" t="s">
        <v>19</v>
      </c>
      <c r="E83" t="s">
        <v>31</v>
      </c>
      <c r="F83" t="s">
        <v>32</v>
      </c>
      <c r="G83" t="s">
        <v>22</v>
      </c>
      <c r="H83" t="s">
        <v>68</v>
      </c>
      <c r="I83" t="s">
        <v>24</v>
      </c>
      <c r="J83">
        <v>166410</v>
      </c>
      <c r="K83">
        <v>0</v>
      </c>
      <c r="L83" t="s">
        <v>43</v>
      </c>
      <c r="M83" t="s">
        <v>26</v>
      </c>
      <c r="N83" t="s">
        <v>27</v>
      </c>
      <c r="O83" t="s">
        <v>35</v>
      </c>
      <c r="P83" t="s">
        <v>26</v>
      </c>
      <c r="Q83">
        <v>0</v>
      </c>
    </row>
    <row r="84" spans="1:17" x14ac:dyDescent="0.25">
      <c r="A84" t="s">
        <v>17</v>
      </c>
      <c r="B84" t="s">
        <v>36</v>
      </c>
      <c r="C84">
        <v>360000</v>
      </c>
      <c r="D84" t="s">
        <v>19</v>
      </c>
      <c r="E84" t="s">
        <v>20</v>
      </c>
      <c r="F84" t="s">
        <v>69</v>
      </c>
      <c r="G84" t="s">
        <v>22</v>
      </c>
      <c r="H84" t="s">
        <v>65</v>
      </c>
      <c r="I84" t="s">
        <v>24</v>
      </c>
      <c r="J84">
        <v>353250</v>
      </c>
      <c r="K84">
        <v>35325</v>
      </c>
      <c r="L84" t="s">
        <v>38</v>
      </c>
      <c r="M84" t="s">
        <v>26</v>
      </c>
      <c r="N84" t="s">
        <v>27</v>
      </c>
      <c r="O84" t="s">
        <v>35</v>
      </c>
      <c r="P84" t="s">
        <v>26</v>
      </c>
      <c r="Q84">
        <v>0</v>
      </c>
    </row>
    <row r="85" spans="1:17" x14ac:dyDescent="0.25">
      <c r="A85" t="s">
        <v>17</v>
      </c>
      <c r="B85" t="s">
        <v>36</v>
      </c>
      <c r="C85">
        <v>360000</v>
      </c>
      <c r="D85" t="s">
        <v>19</v>
      </c>
      <c r="E85" t="s">
        <v>20</v>
      </c>
      <c r="F85" t="s">
        <v>69</v>
      </c>
      <c r="G85" t="s">
        <v>22</v>
      </c>
      <c r="H85" t="s">
        <v>65</v>
      </c>
      <c r="I85" t="s">
        <v>24</v>
      </c>
      <c r="J85">
        <v>112770</v>
      </c>
      <c r="K85">
        <v>22554</v>
      </c>
      <c r="L85" t="s">
        <v>43</v>
      </c>
      <c r="M85" t="s">
        <v>26</v>
      </c>
      <c r="N85" t="s">
        <v>27</v>
      </c>
      <c r="O85" t="s">
        <v>28</v>
      </c>
      <c r="P85" t="s">
        <v>26</v>
      </c>
      <c r="Q85">
        <v>0</v>
      </c>
    </row>
    <row r="86" spans="1:17" x14ac:dyDescent="0.25">
      <c r="A86" t="s">
        <v>17</v>
      </c>
      <c r="B86" t="s">
        <v>36</v>
      </c>
      <c r="C86">
        <v>360000</v>
      </c>
      <c r="D86" t="s">
        <v>19</v>
      </c>
      <c r="E86" t="s">
        <v>20</v>
      </c>
      <c r="F86" t="s">
        <v>69</v>
      </c>
      <c r="G86" t="s">
        <v>22</v>
      </c>
      <c r="H86" t="s">
        <v>65</v>
      </c>
      <c r="I86" t="s">
        <v>24</v>
      </c>
      <c r="J86">
        <v>157315.5</v>
      </c>
      <c r="K86">
        <v>7875</v>
      </c>
      <c r="L86" t="s">
        <v>43</v>
      </c>
      <c r="M86" t="s">
        <v>26</v>
      </c>
      <c r="N86" t="s">
        <v>27</v>
      </c>
      <c r="O86" t="s">
        <v>35</v>
      </c>
      <c r="P86" t="s">
        <v>26</v>
      </c>
      <c r="Q86">
        <v>0</v>
      </c>
    </row>
    <row r="87" spans="1:17" x14ac:dyDescent="0.25">
      <c r="A87" t="s">
        <v>17</v>
      </c>
      <c r="B87" t="s">
        <v>36</v>
      </c>
      <c r="C87">
        <v>360000</v>
      </c>
      <c r="D87" t="s">
        <v>19</v>
      </c>
      <c r="E87" t="s">
        <v>20</v>
      </c>
      <c r="F87" t="s">
        <v>69</v>
      </c>
      <c r="G87" t="s">
        <v>22</v>
      </c>
      <c r="H87" t="s">
        <v>65</v>
      </c>
      <c r="I87" t="s">
        <v>24</v>
      </c>
      <c r="J87">
        <v>130860</v>
      </c>
      <c r="K87">
        <v>13086</v>
      </c>
      <c r="L87" t="s">
        <v>34</v>
      </c>
      <c r="M87" t="s">
        <v>26</v>
      </c>
      <c r="N87" t="s">
        <v>27</v>
      </c>
      <c r="O87" t="s">
        <v>35</v>
      </c>
      <c r="P87" t="s">
        <v>26</v>
      </c>
      <c r="Q87">
        <v>0</v>
      </c>
    </row>
    <row r="88" spans="1:17" x14ac:dyDescent="0.25">
      <c r="A88" t="s">
        <v>17</v>
      </c>
      <c r="B88" t="s">
        <v>36</v>
      </c>
      <c r="C88">
        <v>360000</v>
      </c>
      <c r="D88" t="s">
        <v>19</v>
      </c>
      <c r="E88" t="s">
        <v>20</v>
      </c>
      <c r="F88" t="s">
        <v>69</v>
      </c>
      <c r="G88" t="s">
        <v>22</v>
      </c>
      <c r="H88" t="s">
        <v>65</v>
      </c>
      <c r="I88" t="s">
        <v>24</v>
      </c>
      <c r="J88">
        <v>126945.675</v>
      </c>
      <c r="K88">
        <v>0.67500000000000004</v>
      </c>
      <c r="L88" t="s">
        <v>25</v>
      </c>
      <c r="M88" t="s">
        <v>26</v>
      </c>
      <c r="N88" t="s">
        <v>27</v>
      </c>
      <c r="O88" t="s">
        <v>35</v>
      </c>
      <c r="P88" t="s">
        <v>26</v>
      </c>
      <c r="Q88">
        <v>0</v>
      </c>
    </row>
    <row r="89" spans="1:17" x14ac:dyDescent="0.25">
      <c r="A89" t="s">
        <v>17</v>
      </c>
      <c r="B89" t="s">
        <v>18</v>
      </c>
      <c r="C89">
        <v>180000</v>
      </c>
      <c r="D89" t="s">
        <v>19</v>
      </c>
      <c r="E89" t="s">
        <v>70</v>
      </c>
      <c r="F89" t="s">
        <v>21</v>
      </c>
      <c r="G89" t="s">
        <v>62</v>
      </c>
      <c r="H89" t="s">
        <v>71</v>
      </c>
      <c r="I89" t="s">
        <v>24</v>
      </c>
      <c r="J89">
        <v>191614.5</v>
      </c>
      <c r="K89">
        <v>38326.5</v>
      </c>
      <c r="L89" t="s">
        <v>45</v>
      </c>
      <c r="M89" t="s">
        <v>26</v>
      </c>
      <c r="N89" t="s">
        <v>58</v>
      </c>
      <c r="O89" t="s">
        <v>35</v>
      </c>
      <c r="P89" t="s">
        <v>60</v>
      </c>
      <c r="Q89">
        <v>1</v>
      </c>
    </row>
    <row r="90" spans="1:17" x14ac:dyDescent="0.25">
      <c r="A90" t="s">
        <v>17</v>
      </c>
      <c r="B90" t="s">
        <v>18</v>
      </c>
      <c r="C90">
        <v>180000</v>
      </c>
      <c r="D90" t="s">
        <v>19</v>
      </c>
      <c r="E90" t="s">
        <v>70</v>
      </c>
      <c r="F90" t="s">
        <v>21</v>
      </c>
      <c r="G90" t="s">
        <v>62</v>
      </c>
      <c r="H90" t="s">
        <v>71</v>
      </c>
      <c r="I90" t="s">
        <v>24</v>
      </c>
      <c r="J90">
        <v>191169</v>
      </c>
      <c r="K90">
        <v>19120.5</v>
      </c>
      <c r="L90" t="s">
        <v>51</v>
      </c>
      <c r="M90" t="s">
        <v>26</v>
      </c>
      <c r="N90" t="s">
        <v>58</v>
      </c>
      <c r="O90" t="s">
        <v>35</v>
      </c>
      <c r="P90" t="s">
        <v>60</v>
      </c>
      <c r="Q90">
        <v>1</v>
      </c>
    </row>
    <row r="91" spans="1:17" x14ac:dyDescent="0.25">
      <c r="A91" t="s">
        <v>17</v>
      </c>
      <c r="B91" t="s">
        <v>18</v>
      </c>
      <c r="C91">
        <v>180000</v>
      </c>
      <c r="D91" t="s">
        <v>19</v>
      </c>
      <c r="E91" t="s">
        <v>70</v>
      </c>
      <c r="F91" t="s">
        <v>21</v>
      </c>
      <c r="G91" t="s">
        <v>62</v>
      </c>
      <c r="H91" t="s">
        <v>71</v>
      </c>
      <c r="I91" t="s">
        <v>24</v>
      </c>
      <c r="J91">
        <v>96466.5</v>
      </c>
      <c r="K91">
        <v>0</v>
      </c>
      <c r="L91" t="s">
        <v>34</v>
      </c>
      <c r="M91" t="s">
        <v>26</v>
      </c>
      <c r="N91" t="s">
        <v>27</v>
      </c>
      <c r="O91" t="s">
        <v>28</v>
      </c>
      <c r="P91" t="s">
        <v>26</v>
      </c>
      <c r="Q91">
        <v>0</v>
      </c>
    </row>
    <row r="92" spans="1:17" x14ac:dyDescent="0.25">
      <c r="A92" t="s">
        <v>17</v>
      </c>
      <c r="B92" t="s">
        <v>36</v>
      </c>
      <c r="C92">
        <v>324000</v>
      </c>
      <c r="D92" t="s">
        <v>46</v>
      </c>
      <c r="E92" t="s">
        <v>31</v>
      </c>
      <c r="F92" t="s">
        <v>39</v>
      </c>
      <c r="G92" t="s">
        <v>22</v>
      </c>
      <c r="H92" t="s">
        <v>28</v>
      </c>
      <c r="I92" t="s">
        <v>24</v>
      </c>
      <c r="J92">
        <v>360000</v>
      </c>
      <c r="K92">
        <v>36000</v>
      </c>
      <c r="L92" t="s">
        <v>25</v>
      </c>
      <c r="M92" t="s">
        <v>26</v>
      </c>
      <c r="N92" t="s">
        <v>27</v>
      </c>
      <c r="O92" t="s">
        <v>28</v>
      </c>
      <c r="P92" t="s">
        <v>26</v>
      </c>
      <c r="Q92">
        <v>0</v>
      </c>
    </row>
    <row r="93" spans="1:17" x14ac:dyDescent="0.25">
      <c r="A93" t="s">
        <v>17</v>
      </c>
      <c r="B93" t="s">
        <v>36</v>
      </c>
      <c r="C93">
        <v>324000</v>
      </c>
      <c r="D93" t="s">
        <v>46</v>
      </c>
      <c r="E93" t="s">
        <v>31</v>
      </c>
      <c r="F93" t="s">
        <v>39</v>
      </c>
      <c r="G93" t="s">
        <v>22</v>
      </c>
      <c r="H93" t="s">
        <v>28</v>
      </c>
      <c r="I93" t="s">
        <v>24</v>
      </c>
      <c r="J93">
        <v>187632</v>
      </c>
      <c r="K93">
        <v>18765</v>
      </c>
      <c r="L93" t="s">
        <v>25</v>
      </c>
      <c r="M93" t="s">
        <v>26</v>
      </c>
      <c r="N93" t="s">
        <v>27</v>
      </c>
      <c r="O93" t="s">
        <v>35</v>
      </c>
      <c r="P93" t="s">
        <v>26</v>
      </c>
      <c r="Q93">
        <v>0</v>
      </c>
    </row>
    <row r="94" spans="1:17" x14ac:dyDescent="0.25">
      <c r="A94" t="s">
        <v>29</v>
      </c>
      <c r="B94" t="s">
        <v>18</v>
      </c>
      <c r="C94">
        <v>112500</v>
      </c>
      <c r="D94" t="s">
        <v>19</v>
      </c>
      <c r="E94" t="s">
        <v>31</v>
      </c>
      <c r="F94" t="s">
        <v>21</v>
      </c>
      <c r="G94" t="s">
        <v>22</v>
      </c>
      <c r="H94" t="s">
        <v>72</v>
      </c>
      <c r="I94" t="s">
        <v>24</v>
      </c>
      <c r="J94">
        <v>57555</v>
      </c>
      <c r="K94">
        <v>0</v>
      </c>
      <c r="L94" t="s">
        <v>45</v>
      </c>
      <c r="M94" t="s">
        <v>26</v>
      </c>
      <c r="N94" t="s">
        <v>27</v>
      </c>
      <c r="O94" t="s">
        <v>35</v>
      </c>
      <c r="P94" t="s">
        <v>26</v>
      </c>
      <c r="Q94">
        <v>0</v>
      </c>
    </row>
    <row r="95" spans="1:17" x14ac:dyDescent="0.25">
      <c r="A95" t="s">
        <v>17</v>
      </c>
      <c r="B95" t="s">
        <v>18</v>
      </c>
      <c r="C95">
        <v>225000</v>
      </c>
      <c r="D95" t="s">
        <v>19</v>
      </c>
      <c r="E95" t="s">
        <v>20</v>
      </c>
      <c r="F95" t="s">
        <v>69</v>
      </c>
      <c r="G95" t="s">
        <v>73</v>
      </c>
      <c r="H95" t="s">
        <v>53</v>
      </c>
      <c r="I95" t="s">
        <v>24</v>
      </c>
      <c r="J95">
        <v>76477.5</v>
      </c>
      <c r="K95">
        <v>15295.5</v>
      </c>
      <c r="L95" t="s">
        <v>25</v>
      </c>
      <c r="M95" t="s">
        <v>26</v>
      </c>
      <c r="N95" t="s">
        <v>58</v>
      </c>
      <c r="O95" t="s">
        <v>35</v>
      </c>
      <c r="P95" t="s">
        <v>60</v>
      </c>
      <c r="Q95">
        <v>1</v>
      </c>
    </row>
    <row r="96" spans="1:17" x14ac:dyDescent="0.25">
      <c r="A96" t="s">
        <v>17</v>
      </c>
      <c r="B96" t="s">
        <v>18</v>
      </c>
      <c r="C96">
        <v>225000</v>
      </c>
      <c r="D96" t="s">
        <v>19</v>
      </c>
      <c r="E96" t="s">
        <v>20</v>
      </c>
      <c r="F96" t="s">
        <v>69</v>
      </c>
      <c r="G96" t="s">
        <v>73</v>
      </c>
      <c r="H96" t="s">
        <v>53</v>
      </c>
      <c r="I96" t="s">
        <v>24</v>
      </c>
      <c r="J96">
        <v>80730</v>
      </c>
      <c r="K96">
        <v>31500</v>
      </c>
      <c r="L96" t="s">
        <v>34</v>
      </c>
      <c r="M96" t="s">
        <v>26</v>
      </c>
      <c r="N96" t="s">
        <v>27</v>
      </c>
      <c r="O96" t="s">
        <v>35</v>
      </c>
      <c r="P96" t="s">
        <v>26</v>
      </c>
      <c r="Q96">
        <v>0</v>
      </c>
    </row>
    <row r="97" spans="1:17" x14ac:dyDescent="0.25">
      <c r="A97" t="s">
        <v>29</v>
      </c>
      <c r="B97" t="s">
        <v>18</v>
      </c>
      <c r="C97">
        <v>157500</v>
      </c>
      <c r="D97" t="s">
        <v>44</v>
      </c>
      <c r="E97" t="s">
        <v>20</v>
      </c>
      <c r="F97" t="s">
        <v>39</v>
      </c>
      <c r="G97" t="s">
        <v>22</v>
      </c>
      <c r="H97" t="s">
        <v>56</v>
      </c>
      <c r="I97" t="s">
        <v>66</v>
      </c>
      <c r="J97">
        <v>67500</v>
      </c>
      <c r="K97">
        <v>0</v>
      </c>
      <c r="L97" t="s">
        <v>51</v>
      </c>
      <c r="M97" t="s">
        <v>74</v>
      </c>
      <c r="N97" t="s">
        <v>27</v>
      </c>
      <c r="O97" t="s">
        <v>35</v>
      </c>
      <c r="P97" t="s">
        <v>26</v>
      </c>
      <c r="Q97">
        <v>0</v>
      </c>
    </row>
    <row r="98" spans="1:17" x14ac:dyDescent="0.25">
      <c r="A98" t="s">
        <v>17</v>
      </c>
      <c r="B98" t="s">
        <v>18</v>
      </c>
      <c r="C98">
        <v>180000</v>
      </c>
      <c r="D98" t="s">
        <v>44</v>
      </c>
      <c r="E98" t="s">
        <v>31</v>
      </c>
      <c r="F98" t="s">
        <v>32</v>
      </c>
      <c r="G98" t="s">
        <v>22</v>
      </c>
      <c r="H98" t="s">
        <v>23</v>
      </c>
      <c r="I98" t="s">
        <v>24</v>
      </c>
      <c r="J98">
        <v>81558</v>
      </c>
      <c r="K98">
        <v>8158.5</v>
      </c>
      <c r="L98" t="s">
        <v>38</v>
      </c>
      <c r="M98" t="s">
        <v>26</v>
      </c>
      <c r="N98" t="s">
        <v>27</v>
      </c>
      <c r="O98" t="s">
        <v>35</v>
      </c>
      <c r="P98" t="s">
        <v>26</v>
      </c>
      <c r="Q98">
        <v>0</v>
      </c>
    </row>
    <row r="99" spans="1:17" x14ac:dyDescent="0.25">
      <c r="A99" t="s">
        <v>17</v>
      </c>
      <c r="B99" t="s">
        <v>36</v>
      </c>
      <c r="C99">
        <v>103500</v>
      </c>
      <c r="D99" t="s">
        <v>19</v>
      </c>
      <c r="E99" t="s">
        <v>20</v>
      </c>
      <c r="F99" t="s">
        <v>32</v>
      </c>
      <c r="G99" t="s">
        <v>22</v>
      </c>
      <c r="H99" t="s">
        <v>23</v>
      </c>
      <c r="I99" t="s">
        <v>24</v>
      </c>
      <c r="J99">
        <v>48181.5</v>
      </c>
      <c r="K99">
        <v>7231.5</v>
      </c>
      <c r="L99" t="s">
        <v>25</v>
      </c>
      <c r="M99" t="s">
        <v>26</v>
      </c>
      <c r="N99" t="s">
        <v>27</v>
      </c>
      <c r="O99" t="s">
        <v>35</v>
      </c>
      <c r="P99" t="s">
        <v>26</v>
      </c>
      <c r="Q99">
        <v>0</v>
      </c>
    </row>
    <row r="100" spans="1:17" x14ac:dyDescent="0.25">
      <c r="A100" t="s">
        <v>17</v>
      </c>
      <c r="B100" t="s">
        <v>18</v>
      </c>
      <c r="C100">
        <v>225000</v>
      </c>
      <c r="D100" t="s">
        <v>19</v>
      </c>
      <c r="E100" t="s">
        <v>20</v>
      </c>
      <c r="F100" t="s">
        <v>69</v>
      </c>
      <c r="G100" t="s">
        <v>22</v>
      </c>
      <c r="H100" t="s">
        <v>23</v>
      </c>
      <c r="I100" t="s">
        <v>24</v>
      </c>
      <c r="J100">
        <v>58590</v>
      </c>
      <c r="K100">
        <v>5859</v>
      </c>
      <c r="L100" t="s">
        <v>43</v>
      </c>
      <c r="M100" t="s">
        <v>26</v>
      </c>
      <c r="N100" t="s">
        <v>58</v>
      </c>
      <c r="O100" t="s">
        <v>35</v>
      </c>
      <c r="P100" t="s">
        <v>64</v>
      </c>
      <c r="Q100">
        <v>1</v>
      </c>
    </row>
    <row r="101" spans="1:17" x14ac:dyDescent="0.25">
      <c r="A101" t="s">
        <v>17</v>
      </c>
      <c r="B101" t="s">
        <v>18</v>
      </c>
      <c r="C101">
        <v>225000</v>
      </c>
      <c r="D101" t="s">
        <v>19</v>
      </c>
      <c r="E101" t="s">
        <v>20</v>
      </c>
      <c r="F101" t="s">
        <v>69</v>
      </c>
      <c r="G101" t="s">
        <v>22</v>
      </c>
      <c r="H101" t="s">
        <v>23</v>
      </c>
      <c r="I101" t="s">
        <v>24</v>
      </c>
      <c r="J101">
        <v>85500</v>
      </c>
      <c r="K101">
        <v>8550</v>
      </c>
      <c r="L101" t="s">
        <v>34</v>
      </c>
      <c r="M101" t="s">
        <v>26</v>
      </c>
      <c r="N101" t="s">
        <v>27</v>
      </c>
      <c r="O101" t="s">
        <v>35</v>
      </c>
      <c r="P101" t="s">
        <v>26</v>
      </c>
      <c r="Q101">
        <v>0</v>
      </c>
    </row>
    <row r="102" spans="1:17" x14ac:dyDescent="0.25">
      <c r="A102" t="s">
        <v>17</v>
      </c>
      <c r="B102" t="s">
        <v>18</v>
      </c>
      <c r="C102">
        <v>157500</v>
      </c>
      <c r="D102" t="s">
        <v>19</v>
      </c>
      <c r="E102" t="s">
        <v>20</v>
      </c>
      <c r="F102" t="s">
        <v>32</v>
      </c>
      <c r="G102" t="s">
        <v>22</v>
      </c>
      <c r="H102" t="s">
        <v>75</v>
      </c>
      <c r="I102" t="s">
        <v>24</v>
      </c>
      <c r="J102">
        <v>23985</v>
      </c>
      <c r="K102">
        <v>0</v>
      </c>
      <c r="L102" t="s">
        <v>34</v>
      </c>
      <c r="M102" t="s">
        <v>26</v>
      </c>
      <c r="N102" t="s">
        <v>58</v>
      </c>
      <c r="O102" t="s">
        <v>35</v>
      </c>
      <c r="P102" t="s">
        <v>64</v>
      </c>
      <c r="Q102">
        <v>1</v>
      </c>
    </row>
    <row r="103" spans="1:17" x14ac:dyDescent="0.25">
      <c r="A103" t="s">
        <v>29</v>
      </c>
      <c r="B103" t="s">
        <v>18</v>
      </c>
      <c r="C103">
        <v>135000</v>
      </c>
      <c r="D103" t="s">
        <v>44</v>
      </c>
      <c r="E103" t="s">
        <v>31</v>
      </c>
      <c r="F103" t="s">
        <v>54</v>
      </c>
      <c r="G103" t="s">
        <v>22</v>
      </c>
      <c r="H103" t="s">
        <v>49</v>
      </c>
      <c r="I103" t="s">
        <v>24</v>
      </c>
      <c r="J103">
        <v>76072.95</v>
      </c>
      <c r="K103">
        <v>0</v>
      </c>
      <c r="L103" t="s">
        <v>25</v>
      </c>
      <c r="M103" t="s">
        <v>26</v>
      </c>
      <c r="N103" t="s">
        <v>76</v>
      </c>
      <c r="O103" t="s">
        <v>35</v>
      </c>
      <c r="P103" t="s">
        <v>77</v>
      </c>
      <c r="Q103">
        <v>0</v>
      </c>
    </row>
    <row r="104" spans="1:17" x14ac:dyDescent="0.25">
      <c r="A104" t="s">
        <v>29</v>
      </c>
      <c r="B104" t="s">
        <v>18</v>
      </c>
      <c r="C104">
        <v>135000</v>
      </c>
      <c r="D104" t="s">
        <v>44</v>
      </c>
      <c r="E104" t="s">
        <v>31</v>
      </c>
      <c r="F104" t="s">
        <v>54</v>
      </c>
      <c r="G104" t="s">
        <v>22</v>
      </c>
      <c r="H104" t="s">
        <v>49</v>
      </c>
      <c r="I104" t="s">
        <v>24</v>
      </c>
      <c r="J104">
        <v>24835.5</v>
      </c>
      <c r="K104">
        <v>3600</v>
      </c>
      <c r="L104" t="s">
        <v>38</v>
      </c>
      <c r="M104" t="s">
        <v>26</v>
      </c>
      <c r="N104" t="s">
        <v>58</v>
      </c>
      <c r="O104" t="s">
        <v>35</v>
      </c>
      <c r="P104" t="s">
        <v>59</v>
      </c>
      <c r="Q104">
        <v>1</v>
      </c>
    </row>
    <row r="105" spans="1:17" x14ac:dyDescent="0.25">
      <c r="A105" t="s">
        <v>29</v>
      </c>
      <c r="B105" t="s">
        <v>18</v>
      </c>
      <c r="C105">
        <v>202500</v>
      </c>
      <c r="D105" t="s">
        <v>19</v>
      </c>
      <c r="E105" t="s">
        <v>20</v>
      </c>
      <c r="F105" t="s">
        <v>32</v>
      </c>
      <c r="G105" t="s">
        <v>22</v>
      </c>
      <c r="H105" t="s">
        <v>49</v>
      </c>
      <c r="I105" t="s">
        <v>24</v>
      </c>
      <c r="J105">
        <v>31401</v>
      </c>
      <c r="K105">
        <v>0</v>
      </c>
      <c r="L105" t="s">
        <v>38</v>
      </c>
      <c r="M105" t="s">
        <v>26</v>
      </c>
      <c r="N105" t="s">
        <v>27</v>
      </c>
      <c r="O105" t="s">
        <v>35</v>
      </c>
      <c r="P105" t="s">
        <v>26</v>
      </c>
      <c r="Q105">
        <v>0</v>
      </c>
    </row>
    <row r="106" spans="1:17" x14ac:dyDescent="0.25">
      <c r="A106" t="s">
        <v>29</v>
      </c>
      <c r="B106" t="s">
        <v>18</v>
      </c>
      <c r="C106">
        <v>94500</v>
      </c>
      <c r="D106" t="s">
        <v>19</v>
      </c>
      <c r="E106" t="s">
        <v>20</v>
      </c>
      <c r="F106" t="s">
        <v>32</v>
      </c>
      <c r="G106" t="s">
        <v>22</v>
      </c>
      <c r="H106" t="s">
        <v>78</v>
      </c>
      <c r="I106" t="s">
        <v>24</v>
      </c>
      <c r="J106">
        <v>96061.5</v>
      </c>
      <c r="K106">
        <v>0</v>
      </c>
      <c r="L106" t="s">
        <v>42</v>
      </c>
      <c r="M106" t="s">
        <v>26</v>
      </c>
      <c r="N106" t="s">
        <v>27</v>
      </c>
      <c r="O106" t="s">
        <v>35</v>
      </c>
      <c r="P106" t="s">
        <v>26</v>
      </c>
      <c r="Q106">
        <v>0</v>
      </c>
    </row>
    <row r="107" spans="1:17" x14ac:dyDescent="0.25">
      <c r="A107" t="s">
        <v>29</v>
      </c>
      <c r="B107" t="s">
        <v>18</v>
      </c>
      <c r="C107">
        <v>94500</v>
      </c>
      <c r="D107" t="s">
        <v>19</v>
      </c>
      <c r="E107" t="s">
        <v>20</v>
      </c>
      <c r="F107" t="s">
        <v>32</v>
      </c>
      <c r="G107" t="s">
        <v>22</v>
      </c>
      <c r="H107" t="s">
        <v>78</v>
      </c>
      <c r="I107" t="s">
        <v>24</v>
      </c>
      <c r="J107">
        <v>80505</v>
      </c>
      <c r="K107">
        <v>8050.5</v>
      </c>
      <c r="L107" t="s">
        <v>34</v>
      </c>
      <c r="M107" t="s">
        <v>26</v>
      </c>
      <c r="N107" t="s">
        <v>27</v>
      </c>
      <c r="O107" t="s">
        <v>35</v>
      </c>
      <c r="P107" t="s">
        <v>26</v>
      </c>
      <c r="Q107">
        <v>0</v>
      </c>
    </row>
    <row r="108" spans="1:17" x14ac:dyDescent="0.25">
      <c r="A108" t="s">
        <v>29</v>
      </c>
      <c r="B108" t="s">
        <v>18</v>
      </c>
      <c r="C108">
        <v>94500</v>
      </c>
      <c r="D108" t="s">
        <v>19</v>
      </c>
      <c r="E108" t="s">
        <v>20</v>
      </c>
      <c r="F108" t="s">
        <v>32</v>
      </c>
      <c r="G108" t="s">
        <v>22</v>
      </c>
      <c r="H108" t="s">
        <v>78</v>
      </c>
      <c r="I108" t="s">
        <v>24</v>
      </c>
      <c r="J108">
        <v>24025.5</v>
      </c>
      <c r="K108">
        <v>4815</v>
      </c>
      <c r="L108" t="s">
        <v>38</v>
      </c>
      <c r="M108" t="s">
        <v>26</v>
      </c>
      <c r="N108" t="s">
        <v>27</v>
      </c>
      <c r="O108" t="s">
        <v>35</v>
      </c>
      <c r="P108" t="s">
        <v>26</v>
      </c>
      <c r="Q108">
        <v>0</v>
      </c>
    </row>
    <row r="109" spans="1:17" x14ac:dyDescent="0.25">
      <c r="A109" t="s">
        <v>29</v>
      </c>
      <c r="B109" t="s">
        <v>18</v>
      </c>
      <c r="C109">
        <v>94500</v>
      </c>
      <c r="D109" t="s">
        <v>19</v>
      </c>
      <c r="E109" t="s">
        <v>20</v>
      </c>
      <c r="F109" t="s">
        <v>32</v>
      </c>
      <c r="G109" t="s">
        <v>22</v>
      </c>
      <c r="H109" t="s">
        <v>78</v>
      </c>
      <c r="I109" t="s">
        <v>24</v>
      </c>
      <c r="J109">
        <v>26775</v>
      </c>
      <c r="K109">
        <v>2677.5</v>
      </c>
      <c r="L109" t="s">
        <v>38</v>
      </c>
      <c r="M109" t="s">
        <v>26</v>
      </c>
      <c r="N109" t="s">
        <v>27</v>
      </c>
      <c r="O109" t="s">
        <v>35</v>
      </c>
      <c r="P109" t="s">
        <v>26</v>
      </c>
      <c r="Q109">
        <v>0</v>
      </c>
    </row>
    <row r="110" spans="1:17" x14ac:dyDescent="0.25">
      <c r="A110" t="s">
        <v>29</v>
      </c>
      <c r="B110" t="s">
        <v>18</v>
      </c>
      <c r="C110">
        <v>108000</v>
      </c>
      <c r="D110" t="s">
        <v>46</v>
      </c>
      <c r="E110" t="s">
        <v>31</v>
      </c>
      <c r="F110" t="s">
        <v>21</v>
      </c>
      <c r="G110" t="s">
        <v>22</v>
      </c>
      <c r="H110" t="s">
        <v>28</v>
      </c>
      <c r="I110" t="s">
        <v>24</v>
      </c>
      <c r="J110">
        <v>87205.5</v>
      </c>
      <c r="K110">
        <v>17442</v>
      </c>
      <c r="L110" t="s">
        <v>45</v>
      </c>
      <c r="M110" t="s">
        <v>26</v>
      </c>
      <c r="N110" t="s">
        <v>27</v>
      </c>
      <c r="O110" t="s">
        <v>35</v>
      </c>
      <c r="P110" t="s">
        <v>26</v>
      </c>
      <c r="Q110">
        <v>0</v>
      </c>
    </row>
    <row r="111" spans="1:17" x14ac:dyDescent="0.25">
      <c r="A111" t="s">
        <v>29</v>
      </c>
      <c r="B111" t="s">
        <v>18</v>
      </c>
      <c r="C111">
        <v>67500</v>
      </c>
      <c r="D111" t="s">
        <v>19</v>
      </c>
      <c r="E111" t="s">
        <v>20</v>
      </c>
      <c r="F111" t="s">
        <v>32</v>
      </c>
      <c r="G111" t="s">
        <v>22</v>
      </c>
      <c r="H111" t="s">
        <v>57</v>
      </c>
      <c r="I111" t="s">
        <v>24</v>
      </c>
      <c r="J111">
        <v>52911</v>
      </c>
      <c r="K111">
        <v>0</v>
      </c>
      <c r="L111" t="s">
        <v>25</v>
      </c>
      <c r="M111" t="s">
        <v>26</v>
      </c>
      <c r="N111" t="s">
        <v>58</v>
      </c>
      <c r="O111" t="s">
        <v>35</v>
      </c>
      <c r="P111" t="s">
        <v>64</v>
      </c>
      <c r="Q111">
        <v>1</v>
      </c>
    </row>
    <row r="112" spans="1:17" x14ac:dyDescent="0.25">
      <c r="A112" t="s">
        <v>17</v>
      </c>
      <c r="B112" t="s">
        <v>36</v>
      </c>
      <c r="C112">
        <v>157500</v>
      </c>
      <c r="D112" t="s">
        <v>19</v>
      </c>
      <c r="E112" t="s">
        <v>20</v>
      </c>
      <c r="F112" t="s">
        <v>32</v>
      </c>
      <c r="G112" t="s">
        <v>22</v>
      </c>
      <c r="H112" t="s">
        <v>23</v>
      </c>
      <c r="I112" t="s">
        <v>24</v>
      </c>
      <c r="J112">
        <v>67455</v>
      </c>
      <c r="K112">
        <v>6745.5</v>
      </c>
      <c r="L112" t="s">
        <v>34</v>
      </c>
      <c r="M112" t="s">
        <v>26</v>
      </c>
      <c r="N112" t="s">
        <v>27</v>
      </c>
      <c r="O112" t="s">
        <v>35</v>
      </c>
      <c r="P112" t="s">
        <v>26</v>
      </c>
      <c r="Q112">
        <v>0</v>
      </c>
    </row>
    <row r="113" spans="1:17" x14ac:dyDescent="0.25">
      <c r="A113" t="s">
        <v>17</v>
      </c>
      <c r="B113" t="s">
        <v>36</v>
      </c>
      <c r="C113">
        <v>157500</v>
      </c>
      <c r="D113" t="s">
        <v>19</v>
      </c>
      <c r="E113" t="s">
        <v>20</v>
      </c>
      <c r="F113" t="s">
        <v>32</v>
      </c>
      <c r="G113" t="s">
        <v>22</v>
      </c>
      <c r="H113" t="s">
        <v>23</v>
      </c>
      <c r="I113" t="s">
        <v>24</v>
      </c>
      <c r="J113">
        <v>108000</v>
      </c>
      <c r="K113">
        <v>0</v>
      </c>
      <c r="L113" t="s">
        <v>42</v>
      </c>
      <c r="M113" t="s">
        <v>26</v>
      </c>
      <c r="N113" t="s">
        <v>27</v>
      </c>
      <c r="O113" t="s">
        <v>28</v>
      </c>
      <c r="P113" t="s">
        <v>26</v>
      </c>
      <c r="Q113">
        <v>0</v>
      </c>
    </row>
    <row r="114" spans="1:17" x14ac:dyDescent="0.25">
      <c r="A114" t="s">
        <v>17</v>
      </c>
      <c r="B114" t="s">
        <v>36</v>
      </c>
      <c r="C114">
        <v>225000</v>
      </c>
      <c r="D114" t="s">
        <v>19</v>
      </c>
      <c r="E114" t="s">
        <v>20</v>
      </c>
      <c r="F114" t="s">
        <v>39</v>
      </c>
      <c r="G114" t="s">
        <v>22</v>
      </c>
      <c r="H114" t="s">
        <v>79</v>
      </c>
      <c r="I114" t="s">
        <v>24</v>
      </c>
      <c r="J114">
        <v>26050.5</v>
      </c>
      <c r="K114">
        <v>2610</v>
      </c>
      <c r="L114" t="s">
        <v>51</v>
      </c>
      <c r="M114" t="s">
        <v>26</v>
      </c>
      <c r="N114" t="s">
        <v>27</v>
      </c>
      <c r="O114" t="s">
        <v>35</v>
      </c>
      <c r="P114" t="s">
        <v>26</v>
      </c>
      <c r="Q114">
        <v>0</v>
      </c>
    </row>
    <row r="115" spans="1:17" x14ac:dyDescent="0.25">
      <c r="A115" t="s">
        <v>17</v>
      </c>
      <c r="B115" t="s">
        <v>36</v>
      </c>
      <c r="C115">
        <v>225000</v>
      </c>
      <c r="D115" t="s">
        <v>19</v>
      </c>
      <c r="E115" t="s">
        <v>20</v>
      </c>
      <c r="F115" t="s">
        <v>39</v>
      </c>
      <c r="G115" t="s">
        <v>22</v>
      </c>
      <c r="H115" t="s">
        <v>79</v>
      </c>
      <c r="I115" t="s">
        <v>24</v>
      </c>
      <c r="J115">
        <v>22126.5</v>
      </c>
      <c r="K115">
        <v>4500</v>
      </c>
      <c r="L115" t="s">
        <v>25</v>
      </c>
      <c r="M115" t="s">
        <v>26</v>
      </c>
      <c r="N115" t="s">
        <v>58</v>
      </c>
      <c r="O115" t="s">
        <v>35</v>
      </c>
      <c r="P115" t="s">
        <v>59</v>
      </c>
      <c r="Q115">
        <v>1</v>
      </c>
    </row>
    <row r="116" spans="1:17" x14ac:dyDescent="0.25">
      <c r="A116" t="s">
        <v>17</v>
      </c>
      <c r="B116" t="s">
        <v>36</v>
      </c>
      <c r="C116">
        <v>202500</v>
      </c>
      <c r="D116" t="s">
        <v>19</v>
      </c>
      <c r="E116" t="s">
        <v>31</v>
      </c>
      <c r="F116" t="s">
        <v>32</v>
      </c>
      <c r="G116" t="s">
        <v>22</v>
      </c>
      <c r="H116" t="s">
        <v>61</v>
      </c>
      <c r="I116" t="s">
        <v>24</v>
      </c>
      <c r="J116">
        <v>107766</v>
      </c>
      <c r="K116">
        <v>0</v>
      </c>
      <c r="L116" t="s">
        <v>34</v>
      </c>
      <c r="M116" t="s">
        <v>26</v>
      </c>
      <c r="N116" t="s">
        <v>27</v>
      </c>
      <c r="O116" t="s">
        <v>35</v>
      </c>
      <c r="P116" t="s">
        <v>26</v>
      </c>
      <c r="Q116">
        <v>0</v>
      </c>
    </row>
    <row r="117" spans="1:17" x14ac:dyDescent="0.25">
      <c r="A117" t="s">
        <v>17</v>
      </c>
      <c r="B117" t="s">
        <v>36</v>
      </c>
      <c r="C117">
        <v>202500</v>
      </c>
      <c r="D117" t="s">
        <v>19</v>
      </c>
      <c r="E117" t="s">
        <v>31</v>
      </c>
      <c r="F117" t="s">
        <v>32</v>
      </c>
      <c r="G117" t="s">
        <v>22</v>
      </c>
      <c r="H117" t="s">
        <v>61</v>
      </c>
      <c r="I117" t="s">
        <v>24</v>
      </c>
      <c r="J117">
        <v>91057.5</v>
      </c>
      <c r="K117">
        <v>0</v>
      </c>
      <c r="L117" t="s">
        <v>43</v>
      </c>
      <c r="M117" t="s">
        <v>26</v>
      </c>
      <c r="N117" t="s">
        <v>27</v>
      </c>
      <c r="O117" t="s">
        <v>35</v>
      </c>
      <c r="P117" t="s">
        <v>26</v>
      </c>
      <c r="Q117">
        <v>0</v>
      </c>
    </row>
    <row r="118" spans="1:17" x14ac:dyDescent="0.25">
      <c r="A118" t="s">
        <v>29</v>
      </c>
      <c r="B118" t="s">
        <v>36</v>
      </c>
      <c r="C118">
        <v>202500</v>
      </c>
      <c r="D118" t="s">
        <v>30</v>
      </c>
      <c r="E118" t="s">
        <v>31</v>
      </c>
      <c r="F118" t="s">
        <v>21</v>
      </c>
      <c r="G118" t="s">
        <v>22</v>
      </c>
      <c r="H118" t="s">
        <v>75</v>
      </c>
      <c r="I118" t="s">
        <v>24</v>
      </c>
      <c r="J118">
        <v>36216</v>
      </c>
      <c r="K118">
        <v>0</v>
      </c>
      <c r="L118" t="s">
        <v>34</v>
      </c>
      <c r="M118" t="s">
        <v>26</v>
      </c>
      <c r="N118" t="s">
        <v>27</v>
      </c>
      <c r="O118" t="s">
        <v>35</v>
      </c>
      <c r="P118" t="s">
        <v>26</v>
      </c>
      <c r="Q118">
        <v>0</v>
      </c>
    </row>
    <row r="119" spans="1:17" x14ac:dyDescent="0.25">
      <c r="A119" t="s">
        <v>29</v>
      </c>
      <c r="B119" t="s">
        <v>18</v>
      </c>
      <c r="C119">
        <v>72000</v>
      </c>
      <c r="D119" t="s">
        <v>19</v>
      </c>
      <c r="E119" t="s">
        <v>20</v>
      </c>
      <c r="F119" t="s">
        <v>32</v>
      </c>
      <c r="G119" t="s">
        <v>22</v>
      </c>
      <c r="H119" t="s">
        <v>33</v>
      </c>
      <c r="I119" t="s">
        <v>24</v>
      </c>
      <c r="J119">
        <v>45585</v>
      </c>
      <c r="K119">
        <v>0</v>
      </c>
      <c r="L119" t="s">
        <v>51</v>
      </c>
      <c r="M119" t="s">
        <v>26</v>
      </c>
      <c r="N119" t="s">
        <v>27</v>
      </c>
      <c r="O119" t="s">
        <v>28</v>
      </c>
      <c r="P119" t="s">
        <v>26</v>
      </c>
      <c r="Q119">
        <v>0</v>
      </c>
    </row>
    <row r="120" spans="1:17" x14ac:dyDescent="0.25">
      <c r="A120" t="s">
        <v>29</v>
      </c>
      <c r="B120" t="s">
        <v>18</v>
      </c>
      <c r="C120">
        <v>193500</v>
      </c>
      <c r="D120" t="s">
        <v>19</v>
      </c>
      <c r="E120" t="s">
        <v>20</v>
      </c>
      <c r="F120" t="s">
        <v>32</v>
      </c>
      <c r="G120" t="s">
        <v>22</v>
      </c>
      <c r="H120" t="s">
        <v>37</v>
      </c>
      <c r="I120" t="s">
        <v>24</v>
      </c>
      <c r="J120">
        <v>138690</v>
      </c>
      <c r="K120">
        <v>0</v>
      </c>
      <c r="L120" t="s">
        <v>45</v>
      </c>
      <c r="M120" t="s">
        <v>26</v>
      </c>
      <c r="N120" t="s">
        <v>27</v>
      </c>
      <c r="O120" t="s">
        <v>35</v>
      </c>
      <c r="P120" t="s">
        <v>26</v>
      </c>
      <c r="Q120">
        <v>0</v>
      </c>
    </row>
    <row r="121" spans="1:17" x14ac:dyDescent="0.25">
      <c r="A121" t="s">
        <v>29</v>
      </c>
      <c r="B121" t="s">
        <v>18</v>
      </c>
      <c r="C121">
        <v>193500</v>
      </c>
      <c r="D121" t="s">
        <v>19</v>
      </c>
      <c r="E121" t="s">
        <v>20</v>
      </c>
      <c r="F121" t="s">
        <v>32</v>
      </c>
      <c r="G121" t="s">
        <v>22</v>
      </c>
      <c r="H121" t="s">
        <v>37</v>
      </c>
      <c r="I121" t="s">
        <v>24</v>
      </c>
      <c r="J121">
        <v>77400</v>
      </c>
      <c r="K121">
        <v>40500</v>
      </c>
      <c r="L121" t="s">
        <v>51</v>
      </c>
      <c r="M121" t="s">
        <v>26</v>
      </c>
      <c r="N121" t="s">
        <v>27</v>
      </c>
      <c r="O121" t="s">
        <v>35</v>
      </c>
      <c r="P121" t="s">
        <v>26</v>
      </c>
      <c r="Q121">
        <v>0</v>
      </c>
    </row>
    <row r="122" spans="1:17" x14ac:dyDescent="0.25">
      <c r="A122" t="s">
        <v>29</v>
      </c>
      <c r="B122" t="s">
        <v>18</v>
      </c>
      <c r="C122">
        <v>193500</v>
      </c>
      <c r="D122" t="s">
        <v>19</v>
      </c>
      <c r="E122" t="s">
        <v>20</v>
      </c>
      <c r="F122" t="s">
        <v>32</v>
      </c>
      <c r="G122" t="s">
        <v>22</v>
      </c>
      <c r="H122" t="s">
        <v>37</v>
      </c>
      <c r="I122" t="s">
        <v>24</v>
      </c>
      <c r="J122">
        <v>52200</v>
      </c>
      <c r="K122">
        <v>10440</v>
      </c>
      <c r="L122" t="s">
        <v>38</v>
      </c>
      <c r="M122" t="s">
        <v>26</v>
      </c>
      <c r="N122" t="s">
        <v>58</v>
      </c>
      <c r="O122" t="s">
        <v>35</v>
      </c>
      <c r="P122" t="s">
        <v>64</v>
      </c>
      <c r="Q122">
        <v>1</v>
      </c>
    </row>
    <row r="123" spans="1:17" x14ac:dyDescent="0.25">
      <c r="A123" t="s">
        <v>29</v>
      </c>
      <c r="B123" t="s">
        <v>18</v>
      </c>
      <c r="C123">
        <v>193500</v>
      </c>
      <c r="D123" t="s">
        <v>19</v>
      </c>
      <c r="E123" t="s">
        <v>20</v>
      </c>
      <c r="F123" t="s">
        <v>32</v>
      </c>
      <c r="G123" t="s">
        <v>22</v>
      </c>
      <c r="H123" t="s">
        <v>37</v>
      </c>
      <c r="I123" t="s">
        <v>24</v>
      </c>
      <c r="J123">
        <v>127125</v>
      </c>
      <c r="K123">
        <v>12825</v>
      </c>
      <c r="L123" t="s">
        <v>38</v>
      </c>
      <c r="M123" t="s">
        <v>26</v>
      </c>
      <c r="N123" t="s">
        <v>27</v>
      </c>
      <c r="O123" t="s">
        <v>35</v>
      </c>
      <c r="P123" t="s">
        <v>26</v>
      </c>
      <c r="Q123">
        <v>0</v>
      </c>
    </row>
    <row r="124" spans="1:17" x14ac:dyDescent="0.25">
      <c r="A124" t="s">
        <v>29</v>
      </c>
      <c r="B124" t="s">
        <v>18</v>
      </c>
      <c r="C124">
        <v>193500</v>
      </c>
      <c r="D124" t="s">
        <v>19</v>
      </c>
      <c r="E124" t="s">
        <v>20</v>
      </c>
      <c r="F124" t="s">
        <v>32</v>
      </c>
      <c r="G124" t="s">
        <v>22</v>
      </c>
      <c r="H124" t="s">
        <v>37</v>
      </c>
      <c r="I124" t="s">
        <v>24</v>
      </c>
      <c r="J124">
        <v>67230</v>
      </c>
      <c r="K124">
        <v>6750</v>
      </c>
      <c r="L124" t="s">
        <v>38</v>
      </c>
      <c r="M124" t="s">
        <v>26</v>
      </c>
      <c r="N124" t="s">
        <v>27</v>
      </c>
      <c r="O124" t="s">
        <v>35</v>
      </c>
      <c r="P124" t="s">
        <v>26</v>
      </c>
      <c r="Q124">
        <v>0</v>
      </c>
    </row>
    <row r="125" spans="1:17" x14ac:dyDescent="0.25">
      <c r="A125" t="s">
        <v>29</v>
      </c>
      <c r="B125" t="s">
        <v>18</v>
      </c>
      <c r="C125">
        <v>193500</v>
      </c>
      <c r="D125" t="s">
        <v>19</v>
      </c>
      <c r="E125" t="s">
        <v>20</v>
      </c>
      <c r="F125" t="s">
        <v>32</v>
      </c>
      <c r="G125" t="s">
        <v>22</v>
      </c>
      <c r="H125" t="s">
        <v>37</v>
      </c>
      <c r="I125" t="s">
        <v>24</v>
      </c>
      <c r="J125">
        <v>198900</v>
      </c>
      <c r="K125">
        <v>39780</v>
      </c>
      <c r="L125" t="s">
        <v>51</v>
      </c>
      <c r="M125" t="s">
        <v>26</v>
      </c>
      <c r="N125" t="s">
        <v>27</v>
      </c>
      <c r="O125" t="s">
        <v>35</v>
      </c>
      <c r="P125" t="s">
        <v>26</v>
      </c>
      <c r="Q125">
        <v>0</v>
      </c>
    </row>
    <row r="126" spans="1:17" x14ac:dyDescent="0.25">
      <c r="A126" t="s">
        <v>29</v>
      </c>
      <c r="B126" t="s">
        <v>18</v>
      </c>
      <c r="C126">
        <v>193500</v>
      </c>
      <c r="D126" t="s">
        <v>19</v>
      </c>
      <c r="E126" t="s">
        <v>20</v>
      </c>
      <c r="F126" t="s">
        <v>32</v>
      </c>
      <c r="G126" t="s">
        <v>22</v>
      </c>
      <c r="H126" t="s">
        <v>37</v>
      </c>
      <c r="I126" t="s">
        <v>24</v>
      </c>
      <c r="J126">
        <v>24390</v>
      </c>
      <c r="K126">
        <v>0</v>
      </c>
      <c r="L126" t="s">
        <v>42</v>
      </c>
      <c r="M126" t="s">
        <v>26</v>
      </c>
      <c r="N126" t="s">
        <v>27</v>
      </c>
      <c r="O126" t="s">
        <v>35</v>
      </c>
      <c r="P126" t="s">
        <v>26</v>
      </c>
      <c r="Q126">
        <v>0</v>
      </c>
    </row>
    <row r="127" spans="1:17" x14ac:dyDescent="0.25">
      <c r="A127" t="s">
        <v>29</v>
      </c>
      <c r="B127" t="s">
        <v>18</v>
      </c>
      <c r="C127">
        <v>171000</v>
      </c>
      <c r="D127" t="s">
        <v>19</v>
      </c>
      <c r="E127" t="s">
        <v>20</v>
      </c>
      <c r="F127" t="s">
        <v>32</v>
      </c>
      <c r="G127" t="s">
        <v>22</v>
      </c>
      <c r="H127" t="s">
        <v>23</v>
      </c>
      <c r="I127" t="s">
        <v>24</v>
      </c>
      <c r="J127">
        <v>125955</v>
      </c>
      <c r="K127">
        <v>22500</v>
      </c>
      <c r="L127" t="s">
        <v>45</v>
      </c>
      <c r="M127" t="s">
        <v>26</v>
      </c>
      <c r="N127" t="s">
        <v>27</v>
      </c>
      <c r="O127" t="s">
        <v>28</v>
      </c>
      <c r="P127" t="s">
        <v>26</v>
      </c>
      <c r="Q127">
        <v>0</v>
      </c>
    </row>
    <row r="128" spans="1:17" x14ac:dyDescent="0.25">
      <c r="A128" t="s">
        <v>17</v>
      </c>
      <c r="B128" t="s">
        <v>36</v>
      </c>
      <c r="C128">
        <v>135000</v>
      </c>
      <c r="D128" t="s">
        <v>44</v>
      </c>
      <c r="E128" t="s">
        <v>20</v>
      </c>
      <c r="F128" t="s">
        <v>32</v>
      </c>
      <c r="G128" t="s">
        <v>22</v>
      </c>
      <c r="H128" t="s">
        <v>55</v>
      </c>
      <c r="I128" t="s">
        <v>24</v>
      </c>
      <c r="J128">
        <v>38029.5</v>
      </c>
      <c r="K128">
        <v>0</v>
      </c>
      <c r="L128" t="s">
        <v>45</v>
      </c>
      <c r="M128" t="s">
        <v>26</v>
      </c>
      <c r="N128" t="s">
        <v>27</v>
      </c>
      <c r="O128" t="s">
        <v>35</v>
      </c>
      <c r="P128" t="s">
        <v>26</v>
      </c>
      <c r="Q128">
        <v>0</v>
      </c>
    </row>
    <row r="129" spans="1:17" x14ac:dyDescent="0.25">
      <c r="A129" t="s">
        <v>17</v>
      </c>
      <c r="B129" t="s">
        <v>36</v>
      </c>
      <c r="C129">
        <v>135000</v>
      </c>
      <c r="D129" t="s">
        <v>44</v>
      </c>
      <c r="E129" t="s">
        <v>20</v>
      </c>
      <c r="F129" t="s">
        <v>32</v>
      </c>
      <c r="G129" t="s">
        <v>22</v>
      </c>
      <c r="H129" t="s">
        <v>55</v>
      </c>
      <c r="I129" t="s">
        <v>24</v>
      </c>
      <c r="J129">
        <v>136210.5</v>
      </c>
      <c r="K129">
        <v>13621.5</v>
      </c>
      <c r="L129" t="s">
        <v>25</v>
      </c>
      <c r="M129" t="s">
        <v>26</v>
      </c>
      <c r="N129" t="s">
        <v>27</v>
      </c>
      <c r="O129" t="s">
        <v>35</v>
      </c>
      <c r="P129" t="s">
        <v>26</v>
      </c>
      <c r="Q129">
        <v>0</v>
      </c>
    </row>
    <row r="130" spans="1:17" x14ac:dyDescent="0.25">
      <c r="A130" t="s">
        <v>17</v>
      </c>
      <c r="B130" t="s">
        <v>36</v>
      </c>
      <c r="C130">
        <v>135000</v>
      </c>
      <c r="D130" t="s">
        <v>44</v>
      </c>
      <c r="E130" t="s">
        <v>20</v>
      </c>
      <c r="F130" t="s">
        <v>32</v>
      </c>
      <c r="G130" t="s">
        <v>22</v>
      </c>
      <c r="H130" t="s">
        <v>55</v>
      </c>
      <c r="I130" t="s">
        <v>24</v>
      </c>
      <c r="J130">
        <v>54531</v>
      </c>
      <c r="K130">
        <v>0</v>
      </c>
      <c r="L130" t="s">
        <v>34</v>
      </c>
      <c r="M130" t="s">
        <v>26</v>
      </c>
      <c r="N130" t="s">
        <v>27</v>
      </c>
      <c r="O130" t="s">
        <v>35</v>
      </c>
      <c r="P130" t="s">
        <v>26</v>
      </c>
      <c r="Q130">
        <v>0</v>
      </c>
    </row>
    <row r="131" spans="1:17" x14ac:dyDescent="0.25">
      <c r="A131" t="s">
        <v>29</v>
      </c>
      <c r="B131" t="s">
        <v>36</v>
      </c>
      <c r="C131">
        <v>112500</v>
      </c>
      <c r="D131" t="s">
        <v>44</v>
      </c>
      <c r="E131" t="s">
        <v>20</v>
      </c>
      <c r="F131" t="s">
        <v>32</v>
      </c>
      <c r="G131" t="s">
        <v>62</v>
      </c>
      <c r="H131" t="s">
        <v>23</v>
      </c>
      <c r="I131" t="s">
        <v>24</v>
      </c>
      <c r="J131">
        <v>45854.595000000001</v>
      </c>
      <c r="K131">
        <v>4589.5950000000003</v>
      </c>
      <c r="L131" t="s">
        <v>43</v>
      </c>
      <c r="M131" t="s">
        <v>26</v>
      </c>
      <c r="N131" t="s">
        <v>27</v>
      </c>
      <c r="O131" t="s">
        <v>35</v>
      </c>
      <c r="P131" t="s">
        <v>26</v>
      </c>
      <c r="Q131">
        <v>0</v>
      </c>
    </row>
    <row r="132" spans="1:17" x14ac:dyDescent="0.25">
      <c r="A132" t="s">
        <v>29</v>
      </c>
      <c r="B132" t="s">
        <v>36</v>
      </c>
      <c r="C132">
        <v>112500</v>
      </c>
      <c r="D132" t="s">
        <v>44</v>
      </c>
      <c r="E132" t="s">
        <v>20</v>
      </c>
      <c r="F132" t="s">
        <v>32</v>
      </c>
      <c r="G132" t="s">
        <v>62</v>
      </c>
      <c r="H132" t="s">
        <v>23</v>
      </c>
      <c r="I132" t="s">
        <v>24</v>
      </c>
      <c r="J132">
        <v>48465</v>
      </c>
      <c r="K132">
        <v>4950</v>
      </c>
      <c r="L132" t="s">
        <v>42</v>
      </c>
      <c r="M132" t="s">
        <v>26</v>
      </c>
      <c r="N132" t="s">
        <v>27</v>
      </c>
      <c r="O132" t="s">
        <v>35</v>
      </c>
      <c r="P132" t="s">
        <v>26</v>
      </c>
      <c r="Q132">
        <v>0</v>
      </c>
    </row>
    <row r="133" spans="1:17" x14ac:dyDescent="0.25">
      <c r="A133" t="s">
        <v>29</v>
      </c>
      <c r="B133" t="s">
        <v>36</v>
      </c>
      <c r="C133">
        <v>112500</v>
      </c>
      <c r="D133" t="s">
        <v>44</v>
      </c>
      <c r="E133" t="s">
        <v>20</v>
      </c>
      <c r="F133" t="s">
        <v>32</v>
      </c>
      <c r="G133" t="s">
        <v>62</v>
      </c>
      <c r="H133" t="s">
        <v>23</v>
      </c>
      <c r="I133" t="s">
        <v>24</v>
      </c>
      <c r="J133">
        <v>44991</v>
      </c>
      <c r="K133">
        <v>0</v>
      </c>
      <c r="L133" t="s">
        <v>38</v>
      </c>
      <c r="M133" t="s">
        <v>26</v>
      </c>
      <c r="N133" t="s">
        <v>27</v>
      </c>
      <c r="O133" t="s">
        <v>35</v>
      </c>
      <c r="P133" t="s">
        <v>26</v>
      </c>
      <c r="Q133">
        <v>0</v>
      </c>
    </row>
    <row r="134" spans="1:17" x14ac:dyDescent="0.25">
      <c r="A134" t="s">
        <v>17</v>
      </c>
      <c r="B134" t="s">
        <v>36</v>
      </c>
      <c r="C134">
        <v>315000</v>
      </c>
      <c r="D134" t="s">
        <v>44</v>
      </c>
      <c r="E134" t="s">
        <v>70</v>
      </c>
      <c r="F134" t="s">
        <v>21</v>
      </c>
      <c r="G134" t="s">
        <v>62</v>
      </c>
      <c r="H134" t="s">
        <v>80</v>
      </c>
      <c r="I134" t="s">
        <v>24</v>
      </c>
      <c r="J134">
        <v>121135.5</v>
      </c>
      <c r="K134">
        <v>12114</v>
      </c>
      <c r="L134" t="s">
        <v>42</v>
      </c>
      <c r="M134" t="s">
        <v>26</v>
      </c>
      <c r="N134" t="s">
        <v>27</v>
      </c>
      <c r="O134" t="s">
        <v>35</v>
      </c>
      <c r="P134" t="s">
        <v>26</v>
      </c>
      <c r="Q134">
        <v>0</v>
      </c>
    </row>
    <row r="135" spans="1:17" x14ac:dyDescent="0.25">
      <c r="A135" t="s">
        <v>17</v>
      </c>
      <c r="B135" t="s">
        <v>36</v>
      </c>
      <c r="C135">
        <v>315000</v>
      </c>
      <c r="D135" t="s">
        <v>44</v>
      </c>
      <c r="E135" t="s">
        <v>70</v>
      </c>
      <c r="F135" t="s">
        <v>21</v>
      </c>
      <c r="G135" t="s">
        <v>62</v>
      </c>
      <c r="H135" t="s">
        <v>80</v>
      </c>
      <c r="I135" t="s">
        <v>24</v>
      </c>
      <c r="J135">
        <v>135085.5</v>
      </c>
      <c r="K135">
        <v>0</v>
      </c>
      <c r="L135" t="s">
        <v>51</v>
      </c>
      <c r="M135" t="s">
        <v>26</v>
      </c>
      <c r="N135" t="s">
        <v>27</v>
      </c>
      <c r="O135" t="s">
        <v>35</v>
      </c>
      <c r="P135" t="s">
        <v>26</v>
      </c>
      <c r="Q135">
        <v>0</v>
      </c>
    </row>
    <row r="136" spans="1:17" x14ac:dyDescent="0.25">
      <c r="A136" t="s">
        <v>17</v>
      </c>
      <c r="B136" t="s">
        <v>36</v>
      </c>
      <c r="C136">
        <v>315000</v>
      </c>
      <c r="D136" t="s">
        <v>44</v>
      </c>
      <c r="E136" t="s">
        <v>70</v>
      </c>
      <c r="F136" t="s">
        <v>21</v>
      </c>
      <c r="G136" t="s">
        <v>62</v>
      </c>
      <c r="H136" t="s">
        <v>80</v>
      </c>
      <c r="I136" t="s">
        <v>24</v>
      </c>
      <c r="J136">
        <v>60736.5</v>
      </c>
      <c r="K136">
        <v>30370.5</v>
      </c>
      <c r="L136" t="s">
        <v>38</v>
      </c>
      <c r="M136" t="s">
        <v>26</v>
      </c>
      <c r="N136" t="s">
        <v>27</v>
      </c>
      <c r="O136" t="s">
        <v>35</v>
      </c>
      <c r="P136" t="s">
        <v>26</v>
      </c>
      <c r="Q136">
        <v>0</v>
      </c>
    </row>
    <row r="137" spans="1:17" x14ac:dyDescent="0.25">
      <c r="A137" t="s">
        <v>17</v>
      </c>
      <c r="B137" t="s">
        <v>36</v>
      </c>
      <c r="C137">
        <v>76500</v>
      </c>
      <c r="D137" t="s">
        <v>19</v>
      </c>
      <c r="E137" t="s">
        <v>20</v>
      </c>
      <c r="F137" t="s">
        <v>21</v>
      </c>
      <c r="G137" t="s">
        <v>22</v>
      </c>
      <c r="H137" t="s">
        <v>81</v>
      </c>
      <c r="I137" t="s">
        <v>24</v>
      </c>
      <c r="J137">
        <v>26950.5</v>
      </c>
      <c r="K137">
        <v>2700</v>
      </c>
      <c r="L137" t="s">
        <v>42</v>
      </c>
      <c r="M137" t="s">
        <v>26</v>
      </c>
      <c r="N137" t="s">
        <v>27</v>
      </c>
      <c r="O137" t="s">
        <v>35</v>
      </c>
      <c r="P137" t="s">
        <v>26</v>
      </c>
      <c r="Q137">
        <v>0</v>
      </c>
    </row>
    <row r="138" spans="1:17" x14ac:dyDescent="0.25">
      <c r="A138" t="s">
        <v>17</v>
      </c>
      <c r="B138" t="s">
        <v>36</v>
      </c>
      <c r="C138">
        <v>76500</v>
      </c>
      <c r="D138" t="s">
        <v>19</v>
      </c>
      <c r="E138" t="s">
        <v>20</v>
      </c>
      <c r="F138" t="s">
        <v>21</v>
      </c>
      <c r="G138" t="s">
        <v>22</v>
      </c>
      <c r="H138" t="s">
        <v>81</v>
      </c>
      <c r="I138" t="s">
        <v>24</v>
      </c>
      <c r="J138">
        <v>46260</v>
      </c>
      <c r="K138">
        <v>0</v>
      </c>
      <c r="L138" t="s">
        <v>43</v>
      </c>
      <c r="M138" t="s">
        <v>26</v>
      </c>
      <c r="N138" t="s">
        <v>58</v>
      </c>
      <c r="O138" t="s">
        <v>35</v>
      </c>
      <c r="P138" t="s">
        <v>60</v>
      </c>
      <c r="Q138">
        <v>1</v>
      </c>
    </row>
    <row r="139" spans="1:17" x14ac:dyDescent="0.25">
      <c r="A139" t="s">
        <v>29</v>
      </c>
      <c r="B139" t="s">
        <v>18</v>
      </c>
      <c r="C139">
        <v>90000</v>
      </c>
      <c r="D139" t="s">
        <v>19</v>
      </c>
      <c r="E139" t="s">
        <v>20</v>
      </c>
      <c r="F139" t="s">
        <v>32</v>
      </c>
      <c r="G139" t="s">
        <v>22</v>
      </c>
      <c r="H139" t="s">
        <v>23</v>
      </c>
      <c r="I139" t="s">
        <v>24</v>
      </c>
      <c r="J139">
        <v>28305</v>
      </c>
      <c r="K139">
        <v>0</v>
      </c>
      <c r="L139" t="s">
        <v>51</v>
      </c>
      <c r="M139" t="s">
        <v>26</v>
      </c>
      <c r="N139" t="s">
        <v>27</v>
      </c>
      <c r="O139" t="s">
        <v>35</v>
      </c>
      <c r="P139" t="s">
        <v>26</v>
      </c>
      <c r="Q139">
        <v>0</v>
      </c>
    </row>
    <row r="140" spans="1:17" x14ac:dyDescent="0.25">
      <c r="A140" t="s">
        <v>29</v>
      </c>
      <c r="B140" t="s">
        <v>18</v>
      </c>
      <c r="C140">
        <v>243000</v>
      </c>
      <c r="D140" t="s">
        <v>19</v>
      </c>
      <c r="E140" t="s">
        <v>31</v>
      </c>
      <c r="F140" t="s">
        <v>32</v>
      </c>
      <c r="G140" t="s">
        <v>22</v>
      </c>
      <c r="H140" t="s">
        <v>56</v>
      </c>
      <c r="I140" t="s">
        <v>24</v>
      </c>
      <c r="J140">
        <v>107210.25</v>
      </c>
      <c r="K140">
        <v>0</v>
      </c>
      <c r="L140" t="s">
        <v>25</v>
      </c>
      <c r="M140" t="s">
        <v>26</v>
      </c>
      <c r="N140" t="s">
        <v>76</v>
      </c>
      <c r="O140" t="s">
        <v>35</v>
      </c>
      <c r="P140" t="s">
        <v>77</v>
      </c>
      <c r="Q140">
        <v>0</v>
      </c>
    </row>
    <row r="141" spans="1:17" x14ac:dyDescent="0.25">
      <c r="A141" t="s">
        <v>29</v>
      </c>
      <c r="B141" t="s">
        <v>18</v>
      </c>
      <c r="C141">
        <v>243000</v>
      </c>
      <c r="D141" t="s">
        <v>19</v>
      </c>
      <c r="E141" t="s">
        <v>31</v>
      </c>
      <c r="F141" t="s">
        <v>32</v>
      </c>
      <c r="G141" t="s">
        <v>22</v>
      </c>
      <c r="H141" t="s">
        <v>56</v>
      </c>
      <c r="I141" t="s">
        <v>24</v>
      </c>
      <c r="J141">
        <v>109710</v>
      </c>
      <c r="K141">
        <v>5490</v>
      </c>
      <c r="L141" t="s">
        <v>25</v>
      </c>
      <c r="M141" t="s">
        <v>26</v>
      </c>
      <c r="N141" t="s">
        <v>27</v>
      </c>
      <c r="O141" t="s">
        <v>35</v>
      </c>
      <c r="P141" t="s">
        <v>26</v>
      </c>
      <c r="Q141">
        <v>0</v>
      </c>
    </row>
    <row r="142" spans="1:17" x14ac:dyDescent="0.25">
      <c r="A142" t="s">
        <v>29</v>
      </c>
      <c r="B142" t="s">
        <v>18</v>
      </c>
      <c r="C142">
        <v>243000</v>
      </c>
      <c r="D142" t="s">
        <v>19</v>
      </c>
      <c r="E142" t="s">
        <v>31</v>
      </c>
      <c r="F142" t="s">
        <v>32</v>
      </c>
      <c r="G142" t="s">
        <v>22</v>
      </c>
      <c r="H142" t="s">
        <v>56</v>
      </c>
      <c r="I142" t="s">
        <v>24</v>
      </c>
      <c r="J142">
        <v>72805.5</v>
      </c>
      <c r="K142">
        <v>0</v>
      </c>
      <c r="L142" t="s">
        <v>25</v>
      </c>
      <c r="M142" t="s">
        <v>26</v>
      </c>
      <c r="N142" t="s">
        <v>76</v>
      </c>
      <c r="O142" t="s">
        <v>35</v>
      </c>
      <c r="P142" t="s">
        <v>77</v>
      </c>
      <c r="Q142">
        <v>0</v>
      </c>
    </row>
    <row r="143" spans="1:17" x14ac:dyDescent="0.25">
      <c r="A143" t="s">
        <v>29</v>
      </c>
      <c r="B143" t="s">
        <v>18</v>
      </c>
      <c r="C143">
        <v>243000</v>
      </c>
      <c r="D143" t="s">
        <v>19</v>
      </c>
      <c r="E143" t="s">
        <v>31</v>
      </c>
      <c r="F143" t="s">
        <v>32</v>
      </c>
      <c r="G143" t="s">
        <v>22</v>
      </c>
      <c r="H143" t="s">
        <v>56</v>
      </c>
      <c r="I143" t="s">
        <v>24</v>
      </c>
      <c r="J143">
        <v>121905</v>
      </c>
      <c r="K143">
        <v>0</v>
      </c>
      <c r="L143" t="s">
        <v>34</v>
      </c>
      <c r="M143" t="s">
        <v>26</v>
      </c>
      <c r="N143" t="s">
        <v>58</v>
      </c>
      <c r="O143" t="s">
        <v>35</v>
      </c>
      <c r="P143" t="s">
        <v>60</v>
      </c>
      <c r="Q143">
        <v>1</v>
      </c>
    </row>
    <row r="144" spans="1:17" x14ac:dyDescent="0.25">
      <c r="A144" t="s">
        <v>29</v>
      </c>
      <c r="B144" t="s">
        <v>18</v>
      </c>
      <c r="C144">
        <v>243000</v>
      </c>
      <c r="D144" t="s">
        <v>19</v>
      </c>
      <c r="E144" t="s">
        <v>31</v>
      </c>
      <c r="F144" t="s">
        <v>32</v>
      </c>
      <c r="G144" t="s">
        <v>22</v>
      </c>
      <c r="H144" t="s">
        <v>56</v>
      </c>
      <c r="I144" t="s">
        <v>24</v>
      </c>
      <c r="J144">
        <v>36522</v>
      </c>
      <c r="K144">
        <v>0</v>
      </c>
      <c r="L144" t="s">
        <v>45</v>
      </c>
      <c r="M144" t="s">
        <v>26</v>
      </c>
      <c r="N144" t="s">
        <v>27</v>
      </c>
      <c r="O144" t="s">
        <v>35</v>
      </c>
      <c r="P144" t="s">
        <v>26</v>
      </c>
      <c r="Q144">
        <v>0</v>
      </c>
    </row>
    <row r="145" spans="1:17" x14ac:dyDescent="0.25">
      <c r="A145" t="s">
        <v>29</v>
      </c>
      <c r="B145" t="s">
        <v>18</v>
      </c>
      <c r="C145">
        <v>243000</v>
      </c>
      <c r="D145" t="s">
        <v>19</v>
      </c>
      <c r="E145" t="s">
        <v>31</v>
      </c>
      <c r="F145" t="s">
        <v>32</v>
      </c>
      <c r="G145" t="s">
        <v>22</v>
      </c>
      <c r="H145" t="s">
        <v>56</v>
      </c>
      <c r="I145" t="s">
        <v>24</v>
      </c>
      <c r="J145">
        <v>186048</v>
      </c>
      <c r="K145">
        <v>0</v>
      </c>
      <c r="L145" t="s">
        <v>45</v>
      </c>
      <c r="M145" t="s">
        <v>26</v>
      </c>
      <c r="N145" t="s">
        <v>58</v>
      </c>
      <c r="O145" t="s">
        <v>35</v>
      </c>
      <c r="P145" t="s">
        <v>60</v>
      </c>
      <c r="Q145">
        <v>1</v>
      </c>
    </row>
    <row r="146" spans="1:17" x14ac:dyDescent="0.25">
      <c r="A146" t="s">
        <v>29</v>
      </c>
      <c r="B146" t="s">
        <v>18</v>
      </c>
      <c r="C146">
        <v>243000</v>
      </c>
      <c r="D146" t="s">
        <v>19</v>
      </c>
      <c r="E146" t="s">
        <v>31</v>
      </c>
      <c r="F146" t="s">
        <v>32</v>
      </c>
      <c r="G146" t="s">
        <v>22</v>
      </c>
      <c r="H146" t="s">
        <v>56</v>
      </c>
      <c r="I146" t="s">
        <v>66</v>
      </c>
      <c r="J146">
        <v>180000</v>
      </c>
      <c r="K146">
        <v>0</v>
      </c>
      <c r="L146" t="s">
        <v>51</v>
      </c>
      <c r="M146" t="s">
        <v>28</v>
      </c>
      <c r="N146" t="s">
        <v>58</v>
      </c>
      <c r="O146" t="s">
        <v>35</v>
      </c>
      <c r="P146" t="s">
        <v>64</v>
      </c>
      <c r="Q146">
        <v>1</v>
      </c>
    </row>
    <row r="147" spans="1:17" x14ac:dyDescent="0.25">
      <c r="A147" t="s">
        <v>29</v>
      </c>
      <c r="B147" t="s">
        <v>18</v>
      </c>
      <c r="C147">
        <v>90000</v>
      </c>
      <c r="D147" t="s">
        <v>46</v>
      </c>
      <c r="E147" t="s">
        <v>20</v>
      </c>
      <c r="F147" t="s">
        <v>54</v>
      </c>
      <c r="G147" t="s">
        <v>22</v>
      </c>
      <c r="H147" t="s">
        <v>28</v>
      </c>
      <c r="I147" t="s">
        <v>24</v>
      </c>
      <c r="J147">
        <v>153000</v>
      </c>
      <c r="K147">
        <v>15300</v>
      </c>
      <c r="L147" t="s">
        <v>45</v>
      </c>
      <c r="M147" t="s">
        <v>26</v>
      </c>
      <c r="N147" t="s">
        <v>27</v>
      </c>
      <c r="O147" t="s">
        <v>35</v>
      </c>
      <c r="P147" t="s">
        <v>26</v>
      </c>
      <c r="Q147">
        <v>0</v>
      </c>
    </row>
    <row r="148" spans="1:17" x14ac:dyDescent="0.25">
      <c r="A148" t="s">
        <v>29</v>
      </c>
      <c r="B148" t="s">
        <v>18</v>
      </c>
      <c r="C148">
        <v>54000</v>
      </c>
      <c r="D148" t="s">
        <v>19</v>
      </c>
      <c r="E148" t="s">
        <v>20</v>
      </c>
      <c r="F148" t="s">
        <v>32</v>
      </c>
      <c r="G148" t="s">
        <v>22</v>
      </c>
      <c r="H148" t="s">
        <v>68</v>
      </c>
      <c r="I148" t="s">
        <v>24</v>
      </c>
      <c r="J148">
        <v>34020</v>
      </c>
      <c r="K148">
        <v>0</v>
      </c>
      <c r="L148" t="s">
        <v>42</v>
      </c>
      <c r="M148" t="s">
        <v>26</v>
      </c>
      <c r="N148" t="s">
        <v>27</v>
      </c>
      <c r="O148" t="s">
        <v>35</v>
      </c>
      <c r="P148" t="s">
        <v>26</v>
      </c>
      <c r="Q148">
        <v>0</v>
      </c>
    </row>
    <row r="149" spans="1:17" x14ac:dyDescent="0.25">
      <c r="A149" t="s">
        <v>17</v>
      </c>
      <c r="B149" t="s">
        <v>18</v>
      </c>
      <c r="C149">
        <v>126000</v>
      </c>
      <c r="D149" t="s">
        <v>19</v>
      </c>
      <c r="E149" t="s">
        <v>20</v>
      </c>
      <c r="F149" t="s">
        <v>32</v>
      </c>
      <c r="G149" t="s">
        <v>62</v>
      </c>
      <c r="H149" t="s">
        <v>48</v>
      </c>
      <c r="I149" t="s">
        <v>24</v>
      </c>
      <c r="J149">
        <v>18441</v>
      </c>
      <c r="K149">
        <v>1845</v>
      </c>
      <c r="L149" t="s">
        <v>25</v>
      </c>
      <c r="M149" t="s">
        <v>26</v>
      </c>
      <c r="N149" t="s">
        <v>27</v>
      </c>
      <c r="O149" t="s">
        <v>35</v>
      </c>
      <c r="P149" t="s">
        <v>26</v>
      </c>
      <c r="Q149">
        <v>0</v>
      </c>
    </row>
    <row r="150" spans="1:17" x14ac:dyDescent="0.25">
      <c r="A150" t="s">
        <v>17</v>
      </c>
      <c r="B150" t="s">
        <v>18</v>
      </c>
      <c r="C150">
        <v>126000</v>
      </c>
      <c r="D150" t="s">
        <v>19</v>
      </c>
      <c r="E150" t="s">
        <v>20</v>
      </c>
      <c r="F150" t="s">
        <v>32</v>
      </c>
      <c r="G150" t="s">
        <v>62</v>
      </c>
      <c r="H150" t="s">
        <v>48</v>
      </c>
      <c r="I150" t="s">
        <v>24</v>
      </c>
      <c r="J150">
        <v>19750.455000000002</v>
      </c>
      <c r="K150">
        <v>4.4550000000000001</v>
      </c>
      <c r="L150" t="s">
        <v>45</v>
      </c>
      <c r="M150" t="s">
        <v>26</v>
      </c>
      <c r="N150" t="s">
        <v>27</v>
      </c>
      <c r="O150" t="s">
        <v>35</v>
      </c>
      <c r="P150" t="s">
        <v>26</v>
      </c>
      <c r="Q150">
        <v>0</v>
      </c>
    </row>
    <row r="151" spans="1:17" x14ac:dyDescent="0.25">
      <c r="A151" t="s">
        <v>29</v>
      </c>
      <c r="B151" t="s">
        <v>18</v>
      </c>
      <c r="C151">
        <v>76500</v>
      </c>
      <c r="D151" t="s">
        <v>44</v>
      </c>
      <c r="E151" t="s">
        <v>31</v>
      </c>
      <c r="F151" t="s">
        <v>32</v>
      </c>
      <c r="G151" t="s">
        <v>62</v>
      </c>
      <c r="H151" t="s">
        <v>41</v>
      </c>
      <c r="I151" t="s">
        <v>66</v>
      </c>
      <c r="J151">
        <v>135000</v>
      </c>
      <c r="K151">
        <v>0</v>
      </c>
      <c r="L151" t="s">
        <v>45</v>
      </c>
      <c r="M151" t="s">
        <v>82</v>
      </c>
      <c r="N151" t="s">
        <v>27</v>
      </c>
      <c r="O151" t="s">
        <v>35</v>
      </c>
      <c r="P151" t="s">
        <v>26</v>
      </c>
      <c r="Q151">
        <v>0</v>
      </c>
    </row>
    <row r="152" spans="1:17" x14ac:dyDescent="0.25">
      <c r="A152" t="s">
        <v>17</v>
      </c>
      <c r="B152" t="s">
        <v>18</v>
      </c>
      <c r="C152">
        <v>225000</v>
      </c>
      <c r="D152" t="s">
        <v>46</v>
      </c>
      <c r="E152" t="s">
        <v>20</v>
      </c>
      <c r="F152" t="s">
        <v>54</v>
      </c>
      <c r="G152" t="s">
        <v>22</v>
      </c>
      <c r="H152" t="s">
        <v>28</v>
      </c>
      <c r="I152" t="s">
        <v>24</v>
      </c>
      <c r="J152">
        <v>62491.5</v>
      </c>
      <c r="K152">
        <v>0</v>
      </c>
      <c r="L152" t="s">
        <v>25</v>
      </c>
      <c r="M152" t="s">
        <v>26</v>
      </c>
      <c r="N152" t="s">
        <v>27</v>
      </c>
      <c r="O152" t="s">
        <v>35</v>
      </c>
      <c r="P152" t="s">
        <v>26</v>
      </c>
      <c r="Q152">
        <v>0</v>
      </c>
    </row>
    <row r="153" spans="1:17" x14ac:dyDescent="0.25">
      <c r="A153" t="s">
        <v>17</v>
      </c>
      <c r="B153" t="s">
        <v>18</v>
      </c>
      <c r="C153">
        <v>225000</v>
      </c>
      <c r="D153" t="s">
        <v>46</v>
      </c>
      <c r="E153" t="s">
        <v>20</v>
      </c>
      <c r="F153" t="s">
        <v>54</v>
      </c>
      <c r="G153" t="s">
        <v>22</v>
      </c>
      <c r="H153" t="s">
        <v>28</v>
      </c>
      <c r="I153" t="s">
        <v>24</v>
      </c>
      <c r="J153">
        <v>27400.5</v>
      </c>
      <c r="K153">
        <v>2740.5</v>
      </c>
      <c r="L153" t="s">
        <v>43</v>
      </c>
      <c r="M153" t="s">
        <v>26</v>
      </c>
      <c r="N153" t="s">
        <v>27</v>
      </c>
      <c r="O153" t="s">
        <v>35</v>
      </c>
      <c r="P153" t="s">
        <v>26</v>
      </c>
      <c r="Q153">
        <v>0</v>
      </c>
    </row>
    <row r="154" spans="1:17" x14ac:dyDescent="0.25">
      <c r="A154" t="s">
        <v>17</v>
      </c>
      <c r="B154" t="s">
        <v>18</v>
      </c>
      <c r="C154">
        <v>225000</v>
      </c>
      <c r="D154" t="s">
        <v>46</v>
      </c>
      <c r="E154" t="s">
        <v>20</v>
      </c>
      <c r="F154" t="s">
        <v>54</v>
      </c>
      <c r="G154" t="s">
        <v>22</v>
      </c>
      <c r="H154" t="s">
        <v>28</v>
      </c>
      <c r="I154" t="s">
        <v>24</v>
      </c>
      <c r="J154">
        <v>30267</v>
      </c>
      <c r="K154">
        <v>0</v>
      </c>
      <c r="L154" t="s">
        <v>42</v>
      </c>
      <c r="M154" t="s">
        <v>26</v>
      </c>
      <c r="N154" t="s">
        <v>27</v>
      </c>
      <c r="O154" t="s">
        <v>35</v>
      </c>
      <c r="P154" t="s">
        <v>26</v>
      </c>
      <c r="Q154">
        <v>0</v>
      </c>
    </row>
    <row r="155" spans="1:17" x14ac:dyDescent="0.25">
      <c r="A155" t="s">
        <v>29</v>
      </c>
      <c r="B155" t="s">
        <v>18</v>
      </c>
      <c r="C155">
        <v>126000</v>
      </c>
      <c r="D155" t="s">
        <v>46</v>
      </c>
      <c r="E155" t="s">
        <v>20</v>
      </c>
      <c r="F155" t="s">
        <v>32</v>
      </c>
      <c r="G155" t="s">
        <v>22</v>
      </c>
      <c r="H155" t="s">
        <v>28</v>
      </c>
      <c r="I155" t="s">
        <v>24</v>
      </c>
      <c r="J155">
        <v>80995.184999999998</v>
      </c>
      <c r="K155">
        <v>24299.685000000001</v>
      </c>
      <c r="L155" t="s">
        <v>38</v>
      </c>
      <c r="M155" t="s">
        <v>26</v>
      </c>
      <c r="N155" t="s">
        <v>58</v>
      </c>
      <c r="O155" t="s">
        <v>35</v>
      </c>
      <c r="P155" t="s">
        <v>59</v>
      </c>
      <c r="Q155">
        <v>1</v>
      </c>
    </row>
    <row r="156" spans="1:17" x14ac:dyDescent="0.25">
      <c r="A156" t="s">
        <v>29</v>
      </c>
      <c r="B156" t="s">
        <v>18</v>
      </c>
      <c r="C156">
        <v>126000</v>
      </c>
      <c r="D156" t="s">
        <v>46</v>
      </c>
      <c r="E156" t="s">
        <v>20</v>
      </c>
      <c r="F156" t="s">
        <v>32</v>
      </c>
      <c r="G156" t="s">
        <v>22</v>
      </c>
      <c r="H156" t="s">
        <v>28</v>
      </c>
      <c r="I156" t="s">
        <v>24</v>
      </c>
      <c r="J156">
        <v>80995.274999999994</v>
      </c>
      <c r="K156">
        <v>24299.775000000001</v>
      </c>
      <c r="L156" t="s">
        <v>38</v>
      </c>
      <c r="M156" t="s">
        <v>26</v>
      </c>
      <c r="N156" t="s">
        <v>27</v>
      </c>
      <c r="O156" t="s">
        <v>35</v>
      </c>
      <c r="P156" t="s">
        <v>26</v>
      </c>
      <c r="Q156">
        <v>0</v>
      </c>
    </row>
    <row r="157" spans="1:17" x14ac:dyDescent="0.25">
      <c r="A157" t="s">
        <v>17</v>
      </c>
      <c r="B157" t="s">
        <v>18</v>
      </c>
      <c r="C157">
        <v>135000</v>
      </c>
      <c r="D157" t="s">
        <v>19</v>
      </c>
      <c r="E157" t="s">
        <v>20</v>
      </c>
      <c r="F157" t="s">
        <v>32</v>
      </c>
      <c r="G157" t="s">
        <v>22</v>
      </c>
      <c r="H157" t="s">
        <v>65</v>
      </c>
      <c r="I157" t="s">
        <v>24</v>
      </c>
      <c r="J157">
        <v>172458</v>
      </c>
      <c r="K157">
        <v>0</v>
      </c>
      <c r="L157" t="s">
        <v>25</v>
      </c>
      <c r="M157" t="s">
        <v>26</v>
      </c>
      <c r="N157" t="s">
        <v>27</v>
      </c>
      <c r="O157" t="s">
        <v>35</v>
      </c>
      <c r="P157" t="s">
        <v>26</v>
      </c>
      <c r="Q157">
        <v>0</v>
      </c>
    </row>
    <row r="158" spans="1:17" x14ac:dyDescent="0.25">
      <c r="A158" t="s">
        <v>17</v>
      </c>
      <c r="B158" t="s">
        <v>18</v>
      </c>
      <c r="C158">
        <v>112500</v>
      </c>
      <c r="D158" t="s">
        <v>46</v>
      </c>
      <c r="E158" t="s">
        <v>20</v>
      </c>
      <c r="F158" t="s">
        <v>32</v>
      </c>
      <c r="G158" t="s">
        <v>22</v>
      </c>
      <c r="H158" t="s">
        <v>28</v>
      </c>
      <c r="I158" t="s">
        <v>24</v>
      </c>
      <c r="J158">
        <v>26820</v>
      </c>
      <c r="K158">
        <v>2682</v>
      </c>
      <c r="L158" t="s">
        <v>43</v>
      </c>
      <c r="M158" t="s">
        <v>26</v>
      </c>
      <c r="N158" t="s">
        <v>27</v>
      </c>
      <c r="O158" t="s">
        <v>35</v>
      </c>
      <c r="P158" t="s">
        <v>26</v>
      </c>
      <c r="Q158">
        <v>0</v>
      </c>
    </row>
    <row r="159" spans="1:17" x14ac:dyDescent="0.25">
      <c r="A159" t="s">
        <v>29</v>
      </c>
      <c r="B159" t="s">
        <v>18</v>
      </c>
      <c r="C159">
        <v>157500</v>
      </c>
      <c r="D159" t="s">
        <v>44</v>
      </c>
      <c r="E159" t="s">
        <v>70</v>
      </c>
      <c r="F159" t="s">
        <v>69</v>
      </c>
      <c r="G159" t="s">
        <v>22</v>
      </c>
      <c r="H159" t="s">
        <v>71</v>
      </c>
      <c r="I159" t="s">
        <v>24</v>
      </c>
      <c r="J159">
        <v>99013.5</v>
      </c>
      <c r="K159">
        <v>0</v>
      </c>
      <c r="L159" t="s">
        <v>34</v>
      </c>
      <c r="M159" t="s">
        <v>26</v>
      </c>
      <c r="N159" t="s">
        <v>27</v>
      </c>
      <c r="O159" t="s">
        <v>35</v>
      </c>
      <c r="P159" t="s">
        <v>26</v>
      </c>
      <c r="Q159">
        <v>0</v>
      </c>
    </row>
    <row r="160" spans="1:17" x14ac:dyDescent="0.25">
      <c r="A160" t="s">
        <v>29</v>
      </c>
      <c r="B160" t="s">
        <v>18</v>
      </c>
      <c r="C160">
        <v>202500</v>
      </c>
      <c r="D160" t="s">
        <v>44</v>
      </c>
      <c r="E160" t="s">
        <v>20</v>
      </c>
      <c r="F160" t="s">
        <v>54</v>
      </c>
      <c r="G160" t="s">
        <v>22</v>
      </c>
      <c r="H160" t="s">
        <v>48</v>
      </c>
      <c r="I160" t="s">
        <v>24</v>
      </c>
      <c r="J160">
        <v>301563</v>
      </c>
      <c r="K160">
        <v>0</v>
      </c>
      <c r="L160" t="s">
        <v>34</v>
      </c>
      <c r="M160" t="s">
        <v>26</v>
      </c>
      <c r="N160" t="s">
        <v>27</v>
      </c>
      <c r="O160" t="s">
        <v>35</v>
      </c>
      <c r="P160" t="s">
        <v>26</v>
      </c>
      <c r="Q160">
        <v>0</v>
      </c>
    </row>
    <row r="161" spans="1:17" x14ac:dyDescent="0.25">
      <c r="A161" t="s">
        <v>29</v>
      </c>
      <c r="B161" t="s">
        <v>18</v>
      </c>
      <c r="C161">
        <v>67500</v>
      </c>
      <c r="D161" t="s">
        <v>19</v>
      </c>
      <c r="E161" t="s">
        <v>20</v>
      </c>
      <c r="F161" t="s">
        <v>39</v>
      </c>
      <c r="G161" t="s">
        <v>62</v>
      </c>
      <c r="H161" t="s">
        <v>37</v>
      </c>
      <c r="I161" t="s">
        <v>24</v>
      </c>
      <c r="J161">
        <v>73570.5</v>
      </c>
      <c r="K161">
        <v>0</v>
      </c>
      <c r="L161" t="s">
        <v>34</v>
      </c>
      <c r="M161" t="s">
        <v>26</v>
      </c>
      <c r="N161" t="s">
        <v>27</v>
      </c>
      <c r="O161" t="s">
        <v>35</v>
      </c>
      <c r="P161" t="s">
        <v>26</v>
      </c>
      <c r="Q161">
        <v>0</v>
      </c>
    </row>
    <row r="162" spans="1:17" x14ac:dyDescent="0.25">
      <c r="A162" t="s">
        <v>29</v>
      </c>
      <c r="B162" t="s">
        <v>18</v>
      </c>
      <c r="C162">
        <v>67500</v>
      </c>
      <c r="D162" t="s">
        <v>19</v>
      </c>
      <c r="E162" t="s">
        <v>20</v>
      </c>
      <c r="F162" t="s">
        <v>39</v>
      </c>
      <c r="G162" t="s">
        <v>62</v>
      </c>
      <c r="H162" t="s">
        <v>37</v>
      </c>
      <c r="I162" t="s">
        <v>24</v>
      </c>
      <c r="J162">
        <v>71334</v>
      </c>
      <c r="K162">
        <v>0</v>
      </c>
      <c r="L162" t="s">
        <v>25</v>
      </c>
      <c r="M162" t="s">
        <v>26</v>
      </c>
      <c r="N162" t="s">
        <v>27</v>
      </c>
      <c r="O162" t="s">
        <v>35</v>
      </c>
      <c r="P162" t="s">
        <v>26</v>
      </c>
      <c r="Q162">
        <v>0</v>
      </c>
    </row>
    <row r="163" spans="1:17" x14ac:dyDescent="0.25">
      <c r="A163" t="s">
        <v>17</v>
      </c>
      <c r="B163" t="s">
        <v>18</v>
      </c>
      <c r="C163">
        <v>135000</v>
      </c>
      <c r="D163" t="s">
        <v>44</v>
      </c>
      <c r="E163" t="s">
        <v>20</v>
      </c>
      <c r="F163" t="s">
        <v>32</v>
      </c>
      <c r="G163" t="s">
        <v>22</v>
      </c>
      <c r="H163" t="s">
        <v>23</v>
      </c>
      <c r="I163" t="s">
        <v>24</v>
      </c>
      <c r="J163">
        <v>145593</v>
      </c>
      <c r="K163">
        <v>0</v>
      </c>
      <c r="L163" t="s">
        <v>42</v>
      </c>
      <c r="M163" t="s">
        <v>26</v>
      </c>
      <c r="N163" t="s">
        <v>58</v>
      </c>
      <c r="O163" t="s">
        <v>35</v>
      </c>
      <c r="P163" t="s">
        <v>64</v>
      </c>
      <c r="Q163">
        <v>1</v>
      </c>
    </row>
    <row r="164" spans="1:17" x14ac:dyDescent="0.25">
      <c r="A164" t="s">
        <v>17</v>
      </c>
      <c r="B164" t="s">
        <v>18</v>
      </c>
      <c r="C164">
        <v>135000</v>
      </c>
      <c r="D164" t="s">
        <v>44</v>
      </c>
      <c r="E164" t="s">
        <v>20</v>
      </c>
      <c r="F164" t="s">
        <v>32</v>
      </c>
      <c r="G164" t="s">
        <v>22</v>
      </c>
      <c r="H164" t="s">
        <v>23</v>
      </c>
      <c r="I164" t="s">
        <v>24</v>
      </c>
      <c r="J164">
        <v>158490</v>
      </c>
      <c r="K164">
        <v>0</v>
      </c>
      <c r="L164" t="s">
        <v>25</v>
      </c>
      <c r="M164" t="s">
        <v>26</v>
      </c>
      <c r="N164" t="s">
        <v>58</v>
      </c>
      <c r="O164" t="s">
        <v>35</v>
      </c>
      <c r="P164" t="s">
        <v>59</v>
      </c>
      <c r="Q164">
        <v>1</v>
      </c>
    </row>
    <row r="165" spans="1:17" x14ac:dyDescent="0.25">
      <c r="A165" t="s">
        <v>17</v>
      </c>
      <c r="B165" t="s">
        <v>18</v>
      </c>
      <c r="C165">
        <v>135000</v>
      </c>
      <c r="D165" t="s">
        <v>44</v>
      </c>
      <c r="E165" t="s">
        <v>20</v>
      </c>
      <c r="F165" t="s">
        <v>32</v>
      </c>
      <c r="G165" t="s">
        <v>22</v>
      </c>
      <c r="H165" t="s">
        <v>23</v>
      </c>
      <c r="I165" t="s">
        <v>24</v>
      </c>
      <c r="J165">
        <v>158490</v>
      </c>
      <c r="K165">
        <v>0</v>
      </c>
      <c r="L165" t="s">
        <v>25</v>
      </c>
      <c r="M165" t="s">
        <v>26</v>
      </c>
      <c r="N165" t="s">
        <v>58</v>
      </c>
      <c r="O165" t="s">
        <v>35</v>
      </c>
      <c r="P165" t="s">
        <v>59</v>
      </c>
      <c r="Q165">
        <v>1</v>
      </c>
    </row>
    <row r="166" spans="1:17" x14ac:dyDescent="0.25">
      <c r="A166" t="s">
        <v>29</v>
      </c>
      <c r="B166" t="s">
        <v>36</v>
      </c>
      <c r="C166">
        <v>225000</v>
      </c>
      <c r="D166" t="s">
        <v>46</v>
      </c>
      <c r="E166" t="s">
        <v>20</v>
      </c>
      <c r="F166" t="s">
        <v>32</v>
      </c>
      <c r="G166" t="s">
        <v>22</v>
      </c>
      <c r="H166" t="s">
        <v>28</v>
      </c>
      <c r="I166" t="s">
        <v>66</v>
      </c>
      <c r="J166">
        <v>405000</v>
      </c>
      <c r="K166">
        <v>0</v>
      </c>
      <c r="L166" t="s">
        <v>43</v>
      </c>
      <c r="M166" t="s">
        <v>28</v>
      </c>
      <c r="N166" t="s">
        <v>58</v>
      </c>
      <c r="O166" t="s">
        <v>28</v>
      </c>
      <c r="P166" t="s">
        <v>60</v>
      </c>
      <c r="Q166">
        <v>1</v>
      </c>
    </row>
    <row r="167" spans="1:17" x14ac:dyDescent="0.25">
      <c r="A167" t="s">
        <v>29</v>
      </c>
      <c r="B167" t="s">
        <v>36</v>
      </c>
      <c r="C167">
        <v>225000</v>
      </c>
      <c r="D167" t="s">
        <v>46</v>
      </c>
      <c r="E167" t="s">
        <v>20</v>
      </c>
      <c r="F167" t="s">
        <v>32</v>
      </c>
      <c r="G167" t="s">
        <v>22</v>
      </c>
      <c r="H167" t="s">
        <v>28</v>
      </c>
      <c r="I167" t="s">
        <v>24</v>
      </c>
      <c r="J167">
        <v>179550</v>
      </c>
      <c r="K167">
        <v>0</v>
      </c>
      <c r="L167" t="s">
        <v>51</v>
      </c>
      <c r="M167" t="s">
        <v>26</v>
      </c>
      <c r="N167" t="s">
        <v>27</v>
      </c>
      <c r="O167" t="s">
        <v>35</v>
      </c>
      <c r="P167" t="s">
        <v>26</v>
      </c>
      <c r="Q167">
        <v>0</v>
      </c>
    </row>
    <row r="168" spans="1:17" x14ac:dyDescent="0.25">
      <c r="A168" t="s">
        <v>29</v>
      </c>
      <c r="B168" t="s">
        <v>36</v>
      </c>
      <c r="C168">
        <v>225000</v>
      </c>
      <c r="D168" t="s">
        <v>46</v>
      </c>
      <c r="E168" t="s">
        <v>20</v>
      </c>
      <c r="F168" t="s">
        <v>32</v>
      </c>
      <c r="G168" t="s">
        <v>22</v>
      </c>
      <c r="H168" t="s">
        <v>28</v>
      </c>
      <c r="I168" t="s">
        <v>24</v>
      </c>
      <c r="J168">
        <v>45000</v>
      </c>
      <c r="K168">
        <v>13500</v>
      </c>
      <c r="L168" t="s">
        <v>51</v>
      </c>
      <c r="M168" t="s">
        <v>26</v>
      </c>
      <c r="N168" t="s">
        <v>27</v>
      </c>
      <c r="O168" t="s">
        <v>35</v>
      </c>
      <c r="P168" t="s">
        <v>26</v>
      </c>
      <c r="Q168">
        <v>0</v>
      </c>
    </row>
    <row r="169" spans="1:17" x14ac:dyDescent="0.25">
      <c r="A169" t="s">
        <v>17</v>
      </c>
      <c r="B169" t="s">
        <v>36</v>
      </c>
      <c r="C169">
        <v>135000</v>
      </c>
      <c r="D169" t="s">
        <v>46</v>
      </c>
      <c r="E169" t="s">
        <v>31</v>
      </c>
      <c r="F169" t="s">
        <v>32</v>
      </c>
      <c r="G169" t="s">
        <v>22</v>
      </c>
      <c r="H169" t="s">
        <v>28</v>
      </c>
      <c r="I169" t="s">
        <v>24</v>
      </c>
      <c r="J169">
        <v>108886.5</v>
      </c>
      <c r="K169">
        <v>0</v>
      </c>
      <c r="L169" t="s">
        <v>25</v>
      </c>
      <c r="M169" t="s">
        <v>26</v>
      </c>
      <c r="N169" t="s">
        <v>27</v>
      </c>
      <c r="O169" t="s">
        <v>35</v>
      </c>
      <c r="P169" t="s">
        <v>26</v>
      </c>
      <c r="Q169">
        <v>0</v>
      </c>
    </row>
    <row r="170" spans="1:17" x14ac:dyDescent="0.25">
      <c r="A170" t="s">
        <v>29</v>
      </c>
      <c r="B170" t="s">
        <v>18</v>
      </c>
      <c r="C170">
        <v>157500</v>
      </c>
      <c r="D170" t="s">
        <v>19</v>
      </c>
      <c r="E170" t="s">
        <v>20</v>
      </c>
      <c r="F170" t="s">
        <v>32</v>
      </c>
      <c r="G170" t="s">
        <v>22</v>
      </c>
      <c r="H170" t="s">
        <v>23</v>
      </c>
      <c r="I170" t="s">
        <v>24</v>
      </c>
      <c r="J170">
        <v>23845.5</v>
      </c>
      <c r="K170">
        <v>0</v>
      </c>
      <c r="L170" t="s">
        <v>42</v>
      </c>
      <c r="M170" t="s">
        <v>26</v>
      </c>
      <c r="N170" t="s">
        <v>76</v>
      </c>
      <c r="O170" t="s">
        <v>35</v>
      </c>
      <c r="P170" t="s">
        <v>77</v>
      </c>
      <c r="Q170">
        <v>0</v>
      </c>
    </row>
    <row r="171" spans="1:17" x14ac:dyDescent="0.25">
      <c r="A171" t="s">
        <v>29</v>
      </c>
      <c r="B171" t="s">
        <v>18</v>
      </c>
      <c r="C171">
        <v>157500</v>
      </c>
      <c r="D171" t="s">
        <v>19</v>
      </c>
      <c r="E171" t="s">
        <v>20</v>
      </c>
      <c r="F171" t="s">
        <v>32</v>
      </c>
      <c r="G171" t="s">
        <v>22</v>
      </c>
      <c r="H171" t="s">
        <v>23</v>
      </c>
      <c r="I171" t="s">
        <v>24</v>
      </c>
      <c r="J171">
        <v>30600</v>
      </c>
      <c r="K171">
        <v>3060</v>
      </c>
      <c r="L171" t="s">
        <v>43</v>
      </c>
      <c r="M171" t="s">
        <v>26</v>
      </c>
      <c r="N171" t="s">
        <v>27</v>
      </c>
      <c r="O171" t="s">
        <v>35</v>
      </c>
      <c r="P171" t="s">
        <v>26</v>
      </c>
      <c r="Q171">
        <v>0</v>
      </c>
    </row>
    <row r="172" spans="1:17" x14ac:dyDescent="0.25">
      <c r="A172" t="s">
        <v>29</v>
      </c>
      <c r="B172" t="s">
        <v>18</v>
      </c>
      <c r="C172">
        <v>157500</v>
      </c>
      <c r="D172" t="s">
        <v>19</v>
      </c>
      <c r="E172" t="s">
        <v>20</v>
      </c>
      <c r="F172" t="s">
        <v>32</v>
      </c>
      <c r="G172" t="s">
        <v>22</v>
      </c>
      <c r="H172" t="s">
        <v>23</v>
      </c>
      <c r="I172" t="s">
        <v>24</v>
      </c>
      <c r="J172">
        <v>23845.5</v>
      </c>
      <c r="K172">
        <v>2385</v>
      </c>
      <c r="L172" t="s">
        <v>42</v>
      </c>
      <c r="M172" t="s">
        <v>26</v>
      </c>
      <c r="N172" t="s">
        <v>58</v>
      </c>
      <c r="O172" t="s">
        <v>35</v>
      </c>
      <c r="P172" t="s">
        <v>60</v>
      </c>
      <c r="Q172">
        <v>1</v>
      </c>
    </row>
    <row r="173" spans="1:17" x14ac:dyDescent="0.25">
      <c r="A173" t="s">
        <v>17</v>
      </c>
      <c r="B173" t="s">
        <v>18</v>
      </c>
      <c r="C173">
        <v>162000</v>
      </c>
      <c r="D173" t="s">
        <v>30</v>
      </c>
      <c r="E173" t="s">
        <v>31</v>
      </c>
      <c r="F173" t="s">
        <v>32</v>
      </c>
      <c r="G173" t="s">
        <v>22</v>
      </c>
      <c r="H173" t="s">
        <v>37</v>
      </c>
      <c r="I173" t="s">
        <v>24</v>
      </c>
      <c r="J173">
        <v>179910</v>
      </c>
      <c r="K173">
        <v>0</v>
      </c>
      <c r="L173" t="s">
        <v>45</v>
      </c>
      <c r="M173" t="s">
        <v>26</v>
      </c>
      <c r="N173" t="s">
        <v>58</v>
      </c>
      <c r="O173" t="s">
        <v>35</v>
      </c>
      <c r="P173" t="s">
        <v>64</v>
      </c>
      <c r="Q173">
        <v>1</v>
      </c>
    </row>
    <row r="174" spans="1:17" x14ac:dyDescent="0.25">
      <c r="A174" t="s">
        <v>17</v>
      </c>
      <c r="B174" t="s">
        <v>18</v>
      </c>
      <c r="C174">
        <v>162000</v>
      </c>
      <c r="D174" t="s">
        <v>30</v>
      </c>
      <c r="E174" t="s">
        <v>31</v>
      </c>
      <c r="F174" t="s">
        <v>32</v>
      </c>
      <c r="G174" t="s">
        <v>22</v>
      </c>
      <c r="H174" t="s">
        <v>37</v>
      </c>
      <c r="I174" t="s">
        <v>66</v>
      </c>
      <c r="J174">
        <v>76500</v>
      </c>
      <c r="K174">
        <v>0</v>
      </c>
      <c r="L174" t="s">
        <v>43</v>
      </c>
      <c r="M174" t="s">
        <v>28</v>
      </c>
      <c r="N174" t="s">
        <v>27</v>
      </c>
      <c r="O174" t="s">
        <v>35</v>
      </c>
      <c r="P174" t="s">
        <v>26</v>
      </c>
      <c r="Q174">
        <v>0</v>
      </c>
    </row>
    <row r="175" spans="1:17" x14ac:dyDescent="0.25">
      <c r="A175" t="s">
        <v>29</v>
      </c>
      <c r="B175" t="s">
        <v>36</v>
      </c>
      <c r="C175">
        <v>202500</v>
      </c>
      <c r="D175" t="s">
        <v>19</v>
      </c>
      <c r="E175" t="s">
        <v>20</v>
      </c>
      <c r="F175" t="s">
        <v>69</v>
      </c>
      <c r="G175" t="s">
        <v>22</v>
      </c>
      <c r="H175" t="s">
        <v>49</v>
      </c>
      <c r="I175" t="s">
        <v>24</v>
      </c>
      <c r="J175">
        <v>66555</v>
      </c>
      <c r="K175">
        <v>4050</v>
      </c>
      <c r="L175" t="s">
        <v>45</v>
      </c>
      <c r="M175" t="s">
        <v>26</v>
      </c>
      <c r="N175" t="s">
        <v>58</v>
      </c>
      <c r="O175" t="s">
        <v>35</v>
      </c>
      <c r="P175" t="s">
        <v>60</v>
      </c>
      <c r="Q175">
        <v>1</v>
      </c>
    </row>
    <row r="176" spans="1:17" x14ac:dyDescent="0.25">
      <c r="A176" t="s">
        <v>29</v>
      </c>
      <c r="B176" t="s">
        <v>36</v>
      </c>
      <c r="C176">
        <v>202500</v>
      </c>
      <c r="D176" t="s">
        <v>19</v>
      </c>
      <c r="E176" t="s">
        <v>20</v>
      </c>
      <c r="F176" t="s">
        <v>69</v>
      </c>
      <c r="G176" t="s">
        <v>22</v>
      </c>
      <c r="H176" t="s">
        <v>49</v>
      </c>
      <c r="I176" t="s">
        <v>24</v>
      </c>
      <c r="J176">
        <v>92695.5</v>
      </c>
      <c r="K176">
        <v>9270</v>
      </c>
      <c r="L176" t="s">
        <v>38</v>
      </c>
      <c r="M176" t="s">
        <v>26</v>
      </c>
      <c r="N176" t="s">
        <v>27</v>
      </c>
      <c r="O176" t="s">
        <v>35</v>
      </c>
      <c r="P176" t="s">
        <v>26</v>
      </c>
      <c r="Q176">
        <v>0</v>
      </c>
    </row>
    <row r="177" spans="1:17" x14ac:dyDescent="0.25">
      <c r="A177" t="s">
        <v>29</v>
      </c>
      <c r="B177" t="s">
        <v>18</v>
      </c>
      <c r="C177">
        <v>135000</v>
      </c>
      <c r="D177" t="s">
        <v>19</v>
      </c>
      <c r="E177" t="s">
        <v>20</v>
      </c>
      <c r="F177" t="s">
        <v>32</v>
      </c>
      <c r="G177" t="s">
        <v>22</v>
      </c>
      <c r="H177" t="s">
        <v>23</v>
      </c>
      <c r="I177" t="s">
        <v>24</v>
      </c>
      <c r="J177">
        <v>31432.5</v>
      </c>
      <c r="K177">
        <v>0</v>
      </c>
      <c r="L177" t="s">
        <v>51</v>
      </c>
      <c r="M177" t="s">
        <v>26</v>
      </c>
      <c r="N177" t="s">
        <v>27</v>
      </c>
      <c r="O177" t="s">
        <v>35</v>
      </c>
      <c r="P177" t="s">
        <v>26</v>
      </c>
      <c r="Q177">
        <v>0</v>
      </c>
    </row>
    <row r="178" spans="1:17" x14ac:dyDescent="0.25">
      <c r="A178" t="s">
        <v>29</v>
      </c>
      <c r="B178" t="s">
        <v>18</v>
      </c>
      <c r="C178">
        <v>135000</v>
      </c>
      <c r="D178" t="s">
        <v>19</v>
      </c>
      <c r="E178" t="s">
        <v>20</v>
      </c>
      <c r="F178" t="s">
        <v>32</v>
      </c>
      <c r="G178" t="s">
        <v>22</v>
      </c>
      <c r="H178" t="s">
        <v>23</v>
      </c>
      <c r="I178" t="s">
        <v>24</v>
      </c>
      <c r="J178">
        <v>36540</v>
      </c>
      <c r="K178">
        <v>4500</v>
      </c>
      <c r="L178" t="s">
        <v>25</v>
      </c>
      <c r="M178" t="s">
        <v>26</v>
      </c>
      <c r="N178" t="s">
        <v>27</v>
      </c>
      <c r="O178" t="s">
        <v>35</v>
      </c>
      <c r="P178" t="s">
        <v>26</v>
      </c>
      <c r="Q178">
        <v>0</v>
      </c>
    </row>
    <row r="179" spans="1:17" x14ac:dyDescent="0.25">
      <c r="A179" t="s">
        <v>29</v>
      </c>
      <c r="B179" t="s">
        <v>18</v>
      </c>
      <c r="C179">
        <v>135000</v>
      </c>
      <c r="D179" t="s">
        <v>19</v>
      </c>
      <c r="E179" t="s">
        <v>20</v>
      </c>
      <c r="F179" t="s">
        <v>32</v>
      </c>
      <c r="G179" t="s">
        <v>22</v>
      </c>
      <c r="H179" t="s">
        <v>23</v>
      </c>
      <c r="I179" t="s">
        <v>24</v>
      </c>
      <c r="J179">
        <v>53185.5</v>
      </c>
      <c r="K179">
        <v>15957</v>
      </c>
      <c r="L179" t="s">
        <v>42</v>
      </c>
      <c r="M179" t="s">
        <v>26</v>
      </c>
      <c r="N179" t="s">
        <v>27</v>
      </c>
      <c r="O179" t="s">
        <v>35</v>
      </c>
      <c r="P179" t="s">
        <v>26</v>
      </c>
      <c r="Q179">
        <v>0</v>
      </c>
    </row>
    <row r="180" spans="1:17" x14ac:dyDescent="0.25">
      <c r="A180" t="s">
        <v>29</v>
      </c>
      <c r="B180" t="s">
        <v>18</v>
      </c>
      <c r="C180">
        <v>135000</v>
      </c>
      <c r="D180" t="s">
        <v>19</v>
      </c>
      <c r="E180" t="s">
        <v>20</v>
      </c>
      <c r="F180" t="s">
        <v>32</v>
      </c>
      <c r="G180" t="s">
        <v>22</v>
      </c>
      <c r="H180" t="s">
        <v>23</v>
      </c>
      <c r="I180" t="s">
        <v>24</v>
      </c>
      <c r="J180">
        <v>130023</v>
      </c>
      <c r="K180">
        <v>81000</v>
      </c>
      <c r="L180" t="s">
        <v>25</v>
      </c>
      <c r="M180" t="s">
        <v>26</v>
      </c>
      <c r="N180" t="s">
        <v>27</v>
      </c>
      <c r="O180" t="s">
        <v>35</v>
      </c>
      <c r="P180" t="s">
        <v>26</v>
      </c>
      <c r="Q180">
        <v>0</v>
      </c>
    </row>
    <row r="181" spans="1:17" x14ac:dyDescent="0.25">
      <c r="A181" t="s">
        <v>29</v>
      </c>
      <c r="B181" t="s">
        <v>18</v>
      </c>
      <c r="C181">
        <v>247500</v>
      </c>
      <c r="D181" t="s">
        <v>44</v>
      </c>
      <c r="E181" t="s">
        <v>20</v>
      </c>
      <c r="F181" t="s">
        <v>32</v>
      </c>
      <c r="G181" t="s">
        <v>22</v>
      </c>
      <c r="H181" t="s">
        <v>41</v>
      </c>
      <c r="I181" t="s">
        <v>24</v>
      </c>
      <c r="J181">
        <v>59085</v>
      </c>
      <c r="K181">
        <v>9000</v>
      </c>
      <c r="L181" t="s">
        <v>43</v>
      </c>
      <c r="M181" t="s">
        <v>26</v>
      </c>
      <c r="N181" t="s">
        <v>27</v>
      </c>
      <c r="O181" t="s">
        <v>28</v>
      </c>
      <c r="P181" t="s">
        <v>26</v>
      </c>
      <c r="Q181">
        <v>0</v>
      </c>
    </row>
    <row r="182" spans="1:17" x14ac:dyDescent="0.25">
      <c r="A182" t="s">
        <v>17</v>
      </c>
      <c r="B182" t="s">
        <v>36</v>
      </c>
      <c r="C182">
        <v>171000</v>
      </c>
      <c r="D182" t="s">
        <v>19</v>
      </c>
      <c r="E182" t="s">
        <v>20</v>
      </c>
      <c r="F182" t="s">
        <v>32</v>
      </c>
      <c r="G182" t="s">
        <v>22</v>
      </c>
      <c r="H182" t="s">
        <v>49</v>
      </c>
      <c r="I182" t="s">
        <v>24</v>
      </c>
      <c r="J182">
        <v>55741.5</v>
      </c>
      <c r="K182">
        <v>0</v>
      </c>
      <c r="L182" t="s">
        <v>25</v>
      </c>
      <c r="M182" t="s">
        <v>26</v>
      </c>
      <c r="N182" t="s">
        <v>27</v>
      </c>
      <c r="O182" t="s">
        <v>35</v>
      </c>
      <c r="P182" t="s">
        <v>26</v>
      </c>
      <c r="Q182">
        <v>0</v>
      </c>
    </row>
    <row r="183" spans="1:17" x14ac:dyDescent="0.25">
      <c r="A183" t="s">
        <v>29</v>
      </c>
      <c r="B183" t="s">
        <v>18</v>
      </c>
      <c r="C183">
        <v>157500</v>
      </c>
      <c r="D183" t="s">
        <v>19</v>
      </c>
      <c r="E183" t="s">
        <v>20</v>
      </c>
      <c r="F183" t="s">
        <v>32</v>
      </c>
      <c r="G183" t="s">
        <v>73</v>
      </c>
      <c r="H183" t="s">
        <v>49</v>
      </c>
      <c r="I183" t="s">
        <v>24</v>
      </c>
      <c r="J183">
        <v>29655</v>
      </c>
      <c r="K183">
        <v>2965.5</v>
      </c>
      <c r="L183" t="s">
        <v>25</v>
      </c>
      <c r="M183" t="s">
        <v>26</v>
      </c>
      <c r="N183" t="s">
        <v>27</v>
      </c>
      <c r="O183" t="s">
        <v>83</v>
      </c>
      <c r="P183" t="s">
        <v>26</v>
      </c>
      <c r="Q183">
        <v>0</v>
      </c>
    </row>
    <row r="184" spans="1:17" x14ac:dyDescent="0.25">
      <c r="A184" t="s">
        <v>17</v>
      </c>
      <c r="B184" t="s">
        <v>36</v>
      </c>
      <c r="C184">
        <v>202500</v>
      </c>
      <c r="D184" t="s">
        <v>19</v>
      </c>
      <c r="E184" t="s">
        <v>20</v>
      </c>
      <c r="F184" t="s">
        <v>32</v>
      </c>
      <c r="G184" t="s">
        <v>22</v>
      </c>
      <c r="H184" t="s">
        <v>53</v>
      </c>
      <c r="I184" t="s">
        <v>66</v>
      </c>
      <c r="J184">
        <v>180000</v>
      </c>
      <c r="K184">
        <v>0</v>
      </c>
      <c r="L184" t="s">
        <v>42</v>
      </c>
      <c r="M184" t="s">
        <v>28</v>
      </c>
      <c r="N184" t="s">
        <v>27</v>
      </c>
      <c r="O184" t="s">
        <v>35</v>
      </c>
      <c r="P184" t="s">
        <v>26</v>
      </c>
      <c r="Q184">
        <v>0</v>
      </c>
    </row>
    <row r="185" spans="1:17" x14ac:dyDescent="0.25">
      <c r="A185" t="s">
        <v>17</v>
      </c>
      <c r="B185" t="s">
        <v>36</v>
      </c>
      <c r="C185">
        <v>202500</v>
      </c>
      <c r="D185" t="s">
        <v>19</v>
      </c>
      <c r="E185" t="s">
        <v>20</v>
      </c>
      <c r="F185" t="s">
        <v>32</v>
      </c>
      <c r="G185" t="s">
        <v>22</v>
      </c>
      <c r="H185" t="s">
        <v>53</v>
      </c>
      <c r="I185" t="s">
        <v>24</v>
      </c>
      <c r="J185">
        <v>59544</v>
      </c>
      <c r="K185">
        <v>45</v>
      </c>
      <c r="L185" t="s">
        <v>25</v>
      </c>
      <c r="M185" t="s">
        <v>26</v>
      </c>
      <c r="N185" t="s">
        <v>27</v>
      </c>
      <c r="O185" t="s">
        <v>35</v>
      </c>
      <c r="P185" t="s">
        <v>26</v>
      </c>
      <c r="Q185">
        <v>0</v>
      </c>
    </row>
    <row r="186" spans="1:17" x14ac:dyDescent="0.25">
      <c r="A186" t="s">
        <v>17</v>
      </c>
      <c r="B186" t="s">
        <v>36</v>
      </c>
      <c r="C186">
        <v>202500</v>
      </c>
      <c r="D186" t="s">
        <v>19</v>
      </c>
      <c r="E186" t="s">
        <v>20</v>
      </c>
      <c r="F186" t="s">
        <v>32</v>
      </c>
      <c r="G186" t="s">
        <v>22</v>
      </c>
      <c r="H186" t="s">
        <v>53</v>
      </c>
      <c r="I186" t="s">
        <v>24</v>
      </c>
      <c r="J186">
        <v>100854</v>
      </c>
      <c r="K186">
        <v>10089</v>
      </c>
      <c r="L186" t="s">
        <v>25</v>
      </c>
      <c r="M186" t="s">
        <v>26</v>
      </c>
      <c r="N186" t="s">
        <v>27</v>
      </c>
      <c r="O186" t="s">
        <v>35</v>
      </c>
      <c r="P186" t="s">
        <v>26</v>
      </c>
      <c r="Q186">
        <v>0</v>
      </c>
    </row>
    <row r="187" spans="1:17" x14ac:dyDescent="0.25">
      <c r="A187" t="s">
        <v>17</v>
      </c>
      <c r="B187" t="s">
        <v>18</v>
      </c>
      <c r="C187">
        <v>144000</v>
      </c>
      <c r="D187" t="s">
        <v>19</v>
      </c>
      <c r="E187" t="s">
        <v>20</v>
      </c>
      <c r="F187" t="s">
        <v>32</v>
      </c>
      <c r="G187" t="s">
        <v>22</v>
      </c>
      <c r="H187" t="s">
        <v>49</v>
      </c>
      <c r="I187" t="s">
        <v>24</v>
      </c>
      <c r="J187">
        <v>39591</v>
      </c>
      <c r="K187">
        <v>3960</v>
      </c>
      <c r="L187" t="s">
        <v>42</v>
      </c>
      <c r="M187" t="s">
        <v>26</v>
      </c>
      <c r="N187" t="s">
        <v>27</v>
      </c>
      <c r="O187" t="s">
        <v>35</v>
      </c>
      <c r="P187" t="s">
        <v>26</v>
      </c>
      <c r="Q187">
        <v>0</v>
      </c>
    </row>
    <row r="188" spans="1:17" x14ac:dyDescent="0.25">
      <c r="A188" t="s">
        <v>17</v>
      </c>
      <c r="B188" t="s">
        <v>18</v>
      </c>
      <c r="C188">
        <v>144000</v>
      </c>
      <c r="D188" t="s">
        <v>19</v>
      </c>
      <c r="E188" t="s">
        <v>20</v>
      </c>
      <c r="F188" t="s">
        <v>32</v>
      </c>
      <c r="G188" t="s">
        <v>22</v>
      </c>
      <c r="H188" t="s">
        <v>49</v>
      </c>
      <c r="I188" t="s">
        <v>24</v>
      </c>
      <c r="J188">
        <v>175158</v>
      </c>
      <c r="K188">
        <v>0</v>
      </c>
      <c r="L188" t="s">
        <v>45</v>
      </c>
      <c r="M188" t="s">
        <v>26</v>
      </c>
      <c r="N188" t="s">
        <v>27</v>
      </c>
      <c r="O188" t="s">
        <v>35</v>
      </c>
      <c r="P188" t="s">
        <v>26</v>
      </c>
      <c r="Q188">
        <v>0</v>
      </c>
    </row>
    <row r="189" spans="1:17" x14ac:dyDescent="0.25">
      <c r="A189" t="s">
        <v>29</v>
      </c>
      <c r="B189" t="s">
        <v>36</v>
      </c>
      <c r="C189">
        <v>157500</v>
      </c>
      <c r="D189" t="s">
        <v>44</v>
      </c>
      <c r="E189" t="s">
        <v>20</v>
      </c>
      <c r="F189" t="s">
        <v>32</v>
      </c>
      <c r="G189" t="s">
        <v>62</v>
      </c>
      <c r="H189" t="s">
        <v>68</v>
      </c>
      <c r="I189" t="s">
        <v>24</v>
      </c>
      <c r="J189">
        <v>44834.175000000003</v>
      </c>
      <c r="K189">
        <v>0</v>
      </c>
      <c r="L189" t="s">
        <v>42</v>
      </c>
      <c r="M189" t="s">
        <v>26</v>
      </c>
      <c r="N189" t="s">
        <v>76</v>
      </c>
      <c r="O189" t="s">
        <v>35</v>
      </c>
      <c r="P189" t="s">
        <v>77</v>
      </c>
      <c r="Q189">
        <v>0</v>
      </c>
    </row>
    <row r="190" spans="1:17" x14ac:dyDescent="0.25">
      <c r="A190" t="s">
        <v>29</v>
      </c>
      <c r="B190" t="s">
        <v>36</v>
      </c>
      <c r="C190">
        <v>157500</v>
      </c>
      <c r="D190" t="s">
        <v>44</v>
      </c>
      <c r="E190" t="s">
        <v>20</v>
      </c>
      <c r="F190" t="s">
        <v>32</v>
      </c>
      <c r="G190" t="s">
        <v>62</v>
      </c>
      <c r="H190" t="s">
        <v>68</v>
      </c>
      <c r="I190" t="s">
        <v>66</v>
      </c>
      <c r="J190">
        <v>45000</v>
      </c>
      <c r="K190">
        <v>0</v>
      </c>
      <c r="L190" t="s">
        <v>45</v>
      </c>
      <c r="M190" t="s">
        <v>28</v>
      </c>
      <c r="N190" t="s">
        <v>27</v>
      </c>
      <c r="O190" t="s">
        <v>28</v>
      </c>
      <c r="P190" t="s">
        <v>26</v>
      </c>
      <c r="Q190">
        <v>0</v>
      </c>
    </row>
    <row r="191" spans="1:17" x14ac:dyDescent="0.25">
      <c r="A191" t="s">
        <v>29</v>
      </c>
      <c r="B191" t="s">
        <v>36</v>
      </c>
      <c r="C191">
        <v>157500</v>
      </c>
      <c r="D191" t="s">
        <v>44</v>
      </c>
      <c r="E191" t="s">
        <v>20</v>
      </c>
      <c r="F191" t="s">
        <v>32</v>
      </c>
      <c r="G191" t="s">
        <v>62</v>
      </c>
      <c r="H191" t="s">
        <v>68</v>
      </c>
      <c r="I191" t="s">
        <v>24</v>
      </c>
      <c r="J191">
        <v>22455</v>
      </c>
      <c r="K191">
        <v>6750</v>
      </c>
      <c r="L191" t="s">
        <v>25</v>
      </c>
      <c r="M191" t="s">
        <v>26</v>
      </c>
      <c r="N191" t="s">
        <v>27</v>
      </c>
      <c r="O191" t="s">
        <v>35</v>
      </c>
      <c r="P191" t="s">
        <v>26</v>
      </c>
      <c r="Q191">
        <v>0</v>
      </c>
    </row>
    <row r="192" spans="1:17" x14ac:dyDescent="0.25">
      <c r="A192" t="s">
        <v>17</v>
      </c>
      <c r="B192" t="s">
        <v>18</v>
      </c>
      <c r="C192">
        <v>180000</v>
      </c>
      <c r="D192" t="s">
        <v>19</v>
      </c>
      <c r="E192" t="s">
        <v>20</v>
      </c>
      <c r="F192" t="s">
        <v>32</v>
      </c>
      <c r="G192" t="s">
        <v>22</v>
      </c>
      <c r="H192" t="s">
        <v>23</v>
      </c>
      <c r="I192" t="s">
        <v>24</v>
      </c>
      <c r="J192">
        <v>78718.5</v>
      </c>
      <c r="K192">
        <v>7875</v>
      </c>
      <c r="L192" t="s">
        <v>25</v>
      </c>
      <c r="M192" t="s">
        <v>26</v>
      </c>
      <c r="N192" t="s">
        <v>58</v>
      </c>
      <c r="O192" t="s">
        <v>35</v>
      </c>
      <c r="P192" t="s">
        <v>59</v>
      </c>
      <c r="Q192">
        <v>1</v>
      </c>
    </row>
    <row r="193" spans="1:17" x14ac:dyDescent="0.25">
      <c r="A193" t="s">
        <v>17</v>
      </c>
      <c r="B193" t="s">
        <v>18</v>
      </c>
      <c r="C193">
        <v>180000</v>
      </c>
      <c r="D193" t="s">
        <v>44</v>
      </c>
      <c r="E193" t="s">
        <v>70</v>
      </c>
      <c r="F193" t="s">
        <v>32</v>
      </c>
      <c r="G193" t="s">
        <v>22</v>
      </c>
      <c r="H193" t="s">
        <v>84</v>
      </c>
      <c r="I193" t="s">
        <v>24</v>
      </c>
      <c r="J193">
        <v>152307</v>
      </c>
      <c r="K193">
        <v>0</v>
      </c>
      <c r="L193" t="s">
        <v>45</v>
      </c>
      <c r="M193" t="s">
        <v>26</v>
      </c>
      <c r="N193" t="s">
        <v>27</v>
      </c>
      <c r="O193" t="s">
        <v>35</v>
      </c>
      <c r="P193" t="s">
        <v>26</v>
      </c>
      <c r="Q193">
        <v>0</v>
      </c>
    </row>
    <row r="194" spans="1:17" x14ac:dyDescent="0.25">
      <c r="A194" t="s">
        <v>17</v>
      </c>
      <c r="B194" t="s">
        <v>18</v>
      </c>
      <c r="C194">
        <v>180000</v>
      </c>
      <c r="D194" t="s">
        <v>44</v>
      </c>
      <c r="E194" t="s">
        <v>70</v>
      </c>
      <c r="F194" t="s">
        <v>32</v>
      </c>
      <c r="G194" t="s">
        <v>22</v>
      </c>
      <c r="H194" t="s">
        <v>84</v>
      </c>
      <c r="I194" t="s">
        <v>24</v>
      </c>
      <c r="J194">
        <v>69255</v>
      </c>
      <c r="K194">
        <v>0</v>
      </c>
      <c r="L194" t="s">
        <v>38</v>
      </c>
      <c r="M194" t="s">
        <v>26</v>
      </c>
      <c r="N194" t="s">
        <v>76</v>
      </c>
      <c r="O194" t="s">
        <v>35</v>
      </c>
      <c r="P194" t="s">
        <v>77</v>
      </c>
      <c r="Q194">
        <v>0</v>
      </c>
    </row>
    <row r="195" spans="1:17" x14ac:dyDescent="0.25">
      <c r="A195" t="s">
        <v>29</v>
      </c>
      <c r="B195" t="s">
        <v>18</v>
      </c>
      <c r="C195">
        <v>225000</v>
      </c>
      <c r="D195" t="s">
        <v>44</v>
      </c>
      <c r="E195" t="s">
        <v>20</v>
      </c>
      <c r="F195" t="s">
        <v>32</v>
      </c>
      <c r="G195" t="s">
        <v>22</v>
      </c>
      <c r="H195" t="s">
        <v>57</v>
      </c>
      <c r="I195" t="s">
        <v>24</v>
      </c>
      <c r="J195">
        <v>269289</v>
      </c>
      <c r="K195">
        <v>0</v>
      </c>
      <c r="L195" t="s">
        <v>42</v>
      </c>
      <c r="M195" t="s">
        <v>26</v>
      </c>
      <c r="N195" t="s">
        <v>27</v>
      </c>
      <c r="O195" t="s">
        <v>35</v>
      </c>
      <c r="P195" t="s">
        <v>26</v>
      </c>
      <c r="Q195">
        <v>0</v>
      </c>
    </row>
    <row r="196" spans="1:17" x14ac:dyDescent="0.25">
      <c r="A196" t="s">
        <v>17</v>
      </c>
      <c r="B196" t="s">
        <v>18</v>
      </c>
      <c r="C196">
        <v>292500</v>
      </c>
      <c r="D196" t="s">
        <v>19</v>
      </c>
      <c r="E196" t="s">
        <v>31</v>
      </c>
      <c r="F196" t="s">
        <v>32</v>
      </c>
      <c r="G196" t="s">
        <v>22</v>
      </c>
      <c r="H196" t="s">
        <v>23</v>
      </c>
      <c r="I196" t="s">
        <v>24</v>
      </c>
      <c r="J196">
        <v>79591.5</v>
      </c>
      <c r="K196">
        <v>0</v>
      </c>
      <c r="L196" t="s">
        <v>42</v>
      </c>
      <c r="M196" t="s">
        <v>26</v>
      </c>
      <c r="N196" t="s">
        <v>76</v>
      </c>
      <c r="O196" t="s">
        <v>35</v>
      </c>
      <c r="P196" t="s">
        <v>77</v>
      </c>
      <c r="Q196">
        <v>0</v>
      </c>
    </row>
    <row r="197" spans="1:17" x14ac:dyDescent="0.25">
      <c r="A197" t="s">
        <v>17</v>
      </c>
      <c r="B197" t="s">
        <v>18</v>
      </c>
      <c r="C197">
        <v>292500</v>
      </c>
      <c r="D197" t="s">
        <v>19</v>
      </c>
      <c r="E197" t="s">
        <v>31</v>
      </c>
      <c r="F197" t="s">
        <v>32</v>
      </c>
      <c r="G197" t="s">
        <v>22</v>
      </c>
      <c r="H197" t="s">
        <v>23</v>
      </c>
      <c r="I197" t="s">
        <v>24</v>
      </c>
      <c r="J197">
        <v>174271.5</v>
      </c>
      <c r="K197">
        <v>0</v>
      </c>
      <c r="L197" t="s">
        <v>38</v>
      </c>
      <c r="M197" t="s">
        <v>26</v>
      </c>
      <c r="N197" t="s">
        <v>27</v>
      </c>
      <c r="O197" t="s">
        <v>35</v>
      </c>
      <c r="P197" t="s">
        <v>26</v>
      </c>
      <c r="Q197">
        <v>0</v>
      </c>
    </row>
    <row r="198" spans="1:17" x14ac:dyDescent="0.25">
      <c r="A198" t="s">
        <v>29</v>
      </c>
      <c r="B198" t="s">
        <v>18</v>
      </c>
      <c r="C198">
        <v>90000</v>
      </c>
      <c r="D198" t="s">
        <v>44</v>
      </c>
      <c r="E198" t="s">
        <v>20</v>
      </c>
      <c r="F198" t="s">
        <v>32</v>
      </c>
      <c r="G198" t="s">
        <v>22</v>
      </c>
      <c r="H198" t="s">
        <v>49</v>
      </c>
      <c r="I198" t="s">
        <v>24</v>
      </c>
      <c r="J198">
        <v>65925</v>
      </c>
      <c r="K198">
        <v>0</v>
      </c>
      <c r="L198" t="s">
        <v>45</v>
      </c>
      <c r="M198" t="s">
        <v>26</v>
      </c>
      <c r="N198" t="s">
        <v>27</v>
      </c>
      <c r="O198" t="s">
        <v>35</v>
      </c>
      <c r="P198" t="s">
        <v>26</v>
      </c>
      <c r="Q198">
        <v>0</v>
      </c>
    </row>
    <row r="199" spans="1:17" x14ac:dyDescent="0.25">
      <c r="A199" t="s">
        <v>29</v>
      </c>
      <c r="B199" t="s">
        <v>18</v>
      </c>
      <c r="C199">
        <v>112500</v>
      </c>
      <c r="D199" t="s">
        <v>46</v>
      </c>
      <c r="E199" t="s">
        <v>20</v>
      </c>
      <c r="F199" t="s">
        <v>21</v>
      </c>
      <c r="G199" t="s">
        <v>22</v>
      </c>
      <c r="H199" t="s">
        <v>28</v>
      </c>
      <c r="I199" t="s">
        <v>24</v>
      </c>
      <c r="J199">
        <v>21420</v>
      </c>
      <c r="K199">
        <v>0</v>
      </c>
      <c r="L199" t="s">
        <v>51</v>
      </c>
      <c r="M199" t="s">
        <v>26</v>
      </c>
      <c r="N199" t="s">
        <v>76</v>
      </c>
      <c r="O199" t="s">
        <v>35</v>
      </c>
      <c r="P199" t="s">
        <v>77</v>
      </c>
      <c r="Q199">
        <v>0</v>
      </c>
    </row>
    <row r="200" spans="1:17" x14ac:dyDescent="0.25">
      <c r="A200" t="s">
        <v>29</v>
      </c>
      <c r="B200" t="s">
        <v>18</v>
      </c>
      <c r="C200">
        <v>112500</v>
      </c>
      <c r="D200" t="s">
        <v>46</v>
      </c>
      <c r="E200" t="s">
        <v>20</v>
      </c>
      <c r="F200" t="s">
        <v>21</v>
      </c>
      <c r="G200" t="s">
        <v>22</v>
      </c>
      <c r="H200" t="s">
        <v>28</v>
      </c>
      <c r="I200" t="s">
        <v>66</v>
      </c>
      <c r="J200">
        <v>315000</v>
      </c>
      <c r="K200">
        <v>0</v>
      </c>
      <c r="L200" t="s">
        <v>42</v>
      </c>
      <c r="M200" t="s">
        <v>28</v>
      </c>
      <c r="N200" t="s">
        <v>27</v>
      </c>
      <c r="O200" t="s">
        <v>28</v>
      </c>
      <c r="P200" t="s">
        <v>26</v>
      </c>
      <c r="Q200">
        <v>0</v>
      </c>
    </row>
    <row r="201" spans="1:17" x14ac:dyDescent="0.25">
      <c r="A201" t="s">
        <v>29</v>
      </c>
      <c r="B201" t="s">
        <v>18</v>
      </c>
      <c r="C201">
        <v>130500</v>
      </c>
      <c r="D201" t="s">
        <v>19</v>
      </c>
      <c r="E201" t="s">
        <v>31</v>
      </c>
      <c r="F201" t="s">
        <v>69</v>
      </c>
      <c r="G201" t="s">
        <v>22</v>
      </c>
      <c r="H201" t="s">
        <v>41</v>
      </c>
      <c r="I201" t="s">
        <v>24</v>
      </c>
      <c r="J201">
        <v>29952</v>
      </c>
      <c r="K201">
        <v>4500</v>
      </c>
      <c r="L201" t="s">
        <v>43</v>
      </c>
      <c r="M201" t="s">
        <v>26</v>
      </c>
      <c r="N201" t="s">
        <v>27</v>
      </c>
      <c r="O201" t="s">
        <v>28</v>
      </c>
      <c r="P201" t="s">
        <v>26</v>
      </c>
      <c r="Q201">
        <v>0</v>
      </c>
    </row>
    <row r="202" spans="1:17" x14ac:dyDescent="0.25">
      <c r="A202" t="s">
        <v>29</v>
      </c>
      <c r="B202" t="s">
        <v>36</v>
      </c>
      <c r="C202">
        <v>450000</v>
      </c>
      <c r="D202" t="s">
        <v>44</v>
      </c>
      <c r="E202" t="s">
        <v>31</v>
      </c>
      <c r="F202" t="s">
        <v>39</v>
      </c>
      <c r="G202" t="s">
        <v>22</v>
      </c>
      <c r="H202" t="s">
        <v>49</v>
      </c>
      <c r="I202" t="s">
        <v>24</v>
      </c>
      <c r="J202">
        <v>59053.5</v>
      </c>
      <c r="K202">
        <v>0</v>
      </c>
      <c r="L202" t="s">
        <v>34</v>
      </c>
      <c r="M202" t="s">
        <v>26</v>
      </c>
      <c r="N202" t="s">
        <v>27</v>
      </c>
      <c r="O202" t="s">
        <v>35</v>
      </c>
      <c r="P202" t="s">
        <v>26</v>
      </c>
      <c r="Q202">
        <v>0</v>
      </c>
    </row>
    <row r="203" spans="1:17" x14ac:dyDescent="0.25">
      <c r="A203" t="s">
        <v>29</v>
      </c>
      <c r="B203" t="s">
        <v>36</v>
      </c>
      <c r="C203">
        <v>175500</v>
      </c>
      <c r="D203" t="s">
        <v>46</v>
      </c>
      <c r="E203" t="s">
        <v>20</v>
      </c>
      <c r="F203" t="s">
        <v>32</v>
      </c>
      <c r="G203" t="s">
        <v>22</v>
      </c>
      <c r="H203" t="s">
        <v>28</v>
      </c>
      <c r="I203" t="s">
        <v>24</v>
      </c>
      <c r="J203">
        <v>32125.5</v>
      </c>
      <c r="K203">
        <v>0</v>
      </c>
      <c r="L203" t="s">
        <v>51</v>
      </c>
      <c r="M203" t="s">
        <v>26</v>
      </c>
      <c r="N203" t="s">
        <v>27</v>
      </c>
      <c r="O203" t="s">
        <v>35</v>
      </c>
      <c r="P203" t="s">
        <v>26</v>
      </c>
      <c r="Q203">
        <v>0</v>
      </c>
    </row>
    <row r="204" spans="1:17" x14ac:dyDescent="0.25">
      <c r="A204" t="s">
        <v>29</v>
      </c>
      <c r="B204" t="s">
        <v>36</v>
      </c>
      <c r="C204">
        <v>175500</v>
      </c>
      <c r="D204" t="s">
        <v>46</v>
      </c>
      <c r="E204" t="s">
        <v>20</v>
      </c>
      <c r="F204" t="s">
        <v>32</v>
      </c>
      <c r="G204" t="s">
        <v>22</v>
      </c>
      <c r="H204" t="s">
        <v>28</v>
      </c>
      <c r="I204" t="s">
        <v>24</v>
      </c>
      <c r="J204">
        <v>42705</v>
      </c>
      <c r="K204">
        <v>12825</v>
      </c>
      <c r="L204" t="s">
        <v>51</v>
      </c>
      <c r="M204" t="s">
        <v>26</v>
      </c>
      <c r="N204" t="s">
        <v>27</v>
      </c>
      <c r="O204" t="s">
        <v>35</v>
      </c>
      <c r="P204" t="s">
        <v>26</v>
      </c>
      <c r="Q204">
        <v>0</v>
      </c>
    </row>
    <row r="205" spans="1:17" x14ac:dyDescent="0.25">
      <c r="A205" t="s">
        <v>29</v>
      </c>
      <c r="B205" t="s">
        <v>18</v>
      </c>
      <c r="C205">
        <v>58500</v>
      </c>
      <c r="D205" t="s">
        <v>19</v>
      </c>
      <c r="E205" t="s">
        <v>20</v>
      </c>
      <c r="F205" t="s">
        <v>32</v>
      </c>
      <c r="G205" t="s">
        <v>73</v>
      </c>
      <c r="H205" t="s">
        <v>37</v>
      </c>
      <c r="I205" t="s">
        <v>24</v>
      </c>
      <c r="J205">
        <v>21330</v>
      </c>
      <c r="K205">
        <v>2133</v>
      </c>
      <c r="L205" t="s">
        <v>43</v>
      </c>
      <c r="M205" t="s">
        <v>26</v>
      </c>
      <c r="N205" t="s">
        <v>27</v>
      </c>
      <c r="O205" t="s">
        <v>35</v>
      </c>
      <c r="P205" t="s">
        <v>26</v>
      </c>
      <c r="Q205">
        <v>0</v>
      </c>
    </row>
    <row r="206" spans="1:17" x14ac:dyDescent="0.25">
      <c r="A206" t="s">
        <v>29</v>
      </c>
      <c r="B206" t="s">
        <v>18</v>
      </c>
      <c r="C206">
        <v>58500</v>
      </c>
      <c r="D206" t="s">
        <v>19</v>
      </c>
      <c r="E206" t="s">
        <v>20</v>
      </c>
      <c r="F206" t="s">
        <v>32</v>
      </c>
      <c r="G206" t="s">
        <v>73</v>
      </c>
      <c r="H206" t="s">
        <v>37</v>
      </c>
      <c r="I206" t="s">
        <v>24</v>
      </c>
      <c r="J206">
        <v>68841</v>
      </c>
      <c r="K206">
        <v>0</v>
      </c>
      <c r="L206" t="s">
        <v>38</v>
      </c>
      <c r="M206" t="s">
        <v>26</v>
      </c>
      <c r="N206" t="s">
        <v>27</v>
      </c>
      <c r="O206" t="s">
        <v>35</v>
      </c>
      <c r="P206" t="s">
        <v>26</v>
      </c>
      <c r="Q206">
        <v>0</v>
      </c>
    </row>
    <row r="207" spans="1:17" x14ac:dyDescent="0.25">
      <c r="A207" t="s">
        <v>29</v>
      </c>
      <c r="B207" t="s">
        <v>18</v>
      </c>
      <c r="C207">
        <v>180000</v>
      </c>
      <c r="D207" t="s">
        <v>44</v>
      </c>
      <c r="E207" t="s">
        <v>20</v>
      </c>
      <c r="F207" t="s">
        <v>39</v>
      </c>
      <c r="G207" t="s">
        <v>22</v>
      </c>
      <c r="H207" t="s">
        <v>85</v>
      </c>
      <c r="I207" t="s">
        <v>24</v>
      </c>
      <c r="J207">
        <v>42210</v>
      </c>
      <c r="K207">
        <v>4221</v>
      </c>
      <c r="L207" t="s">
        <v>51</v>
      </c>
      <c r="M207" t="s">
        <v>26</v>
      </c>
      <c r="N207" t="s">
        <v>27</v>
      </c>
      <c r="O207" t="s">
        <v>35</v>
      </c>
      <c r="P207" t="s">
        <v>26</v>
      </c>
      <c r="Q207">
        <v>0</v>
      </c>
    </row>
    <row r="208" spans="1:17" x14ac:dyDescent="0.25">
      <c r="A208" t="s">
        <v>29</v>
      </c>
      <c r="B208" t="s">
        <v>18</v>
      </c>
      <c r="C208">
        <v>180000</v>
      </c>
      <c r="D208" t="s">
        <v>44</v>
      </c>
      <c r="E208" t="s">
        <v>20</v>
      </c>
      <c r="F208" t="s">
        <v>39</v>
      </c>
      <c r="G208" t="s">
        <v>22</v>
      </c>
      <c r="H208" t="s">
        <v>85</v>
      </c>
      <c r="I208" t="s">
        <v>24</v>
      </c>
      <c r="J208">
        <v>67679.955000000002</v>
      </c>
      <c r="K208">
        <v>6772.4549999999999</v>
      </c>
      <c r="L208" t="s">
        <v>42</v>
      </c>
      <c r="M208" t="s">
        <v>26</v>
      </c>
      <c r="N208" t="s">
        <v>58</v>
      </c>
      <c r="O208" t="s">
        <v>35</v>
      </c>
      <c r="P208" t="s">
        <v>64</v>
      </c>
      <c r="Q208">
        <v>1</v>
      </c>
    </row>
    <row r="209" spans="1:17" x14ac:dyDescent="0.25">
      <c r="A209" t="s">
        <v>29</v>
      </c>
      <c r="B209" t="s">
        <v>18</v>
      </c>
      <c r="C209">
        <v>180000</v>
      </c>
      <c r="D209" t="s">
        <v>44</v>
      </c>
      <c r="E209" t="s">
        <v>20</v>
      </c>
      <c r="F209" t="s">
        <v>39</v>
      </c>
      <c r="G209" t="s">
        <v>22</v>
      </c>
      <c r="H209" t="s">
        <v>85</v>
      </c>
      <c r="I209" t="s">
        <v>24</v>
      </c>
      <c r="J209">
        <v>67679.955000000002</v>
      </c>
      <c r="K209">
        <v>6772.4549999999999</v>
      </c>
      <c r="L209" t="s">
        <v>42</v>
      </c>
      <c r="M209" t="s">
        <v>26</v>
      </c>
      <c r="N209" t="s">
        <v>58</v>
      </c>
      <c r="O209" t="s">
        <v>35</v>
      </c>
      <c r="P209" t="s">
        <v>64</v>
      </c>
      <c r="Q209">
        <v>1</v>
      </c>
    </row>
    <row r="210" spans="1:17" x14ac:dyDescent="0.25">
      <c r="A210" t="s">
        <v>29</v>
      </c>
      <c r="B210" t="s">
        <v>18</v>
      </c>
      <c r="C210">
        <v>180000</v>
      </c>
      <c r="D210" t="s">
        <v>44</v>
      </c>
      <c r="E210" t="s">
        <v>20</v>
      </c>
      <c r="F210" t="s">
        <v>39</v>
      </c>
      <c r="G210" t="s">
        <v>22</v>
      </c>
      <c r="H210" t="s">
        <v>85</v>
      </c>
      <c r="I210" t="s">
        <v>24</v>
      </c>
      <c r="J210">
        <v>59174.55</v>
      </c>
      <c r="K210">
        <v>22504.05</v>
      </c>
      <c r="L210" t="s">
        <v>51</v>
      </c>
      <c r="M210" t="s">
        <v>26</v>
      </c>
      <c r="N210" t="s">
        <v>27</v>
      </c>
      <c r="O210" t="s">
        <v>35</v>
      </c>
      <c r="P210" t="s">
        <v>26</v>
      </c>
      <c r="Q210">
        <v>0</v>
      </c>
    </row>
    <row r="211" spans="1:17" x14ac:dyDescent="0.25">
      <c r="A211" t="s">
        <v>29</v>
      </c>
      <c r="B211" t="s">
        <v>18</v>
      </c>
      <c r="C211">
        <v>117000</v>
      </c>
      <c r="D211" t="s">
        <v>19</v>
      </c>
      <c r="E211" t="s">
        <v>31</v>
      </c>
      <c r="F211" t="s">
        <v>21</v>
      </c>
      <c r="G211" t="s">
        <v>22</v>
      </c>
      <c r="H211" t="s">
        <v>37</v>
      </c>
      <c r="I211" t="s">
        <v>24</v>
      </c>
      <c r="J211">
        <v>75195</v>
      </c>
      <c r="K211">
        <v>7519.5</v>
      </c>
      <c r="L211" t="s">
        <v>38</v>
      </c>
      <c r="M211" t="s">
        <v>26</v>
      </c>
      <c r="N211" t="s">
        <v>27</v>
      </c>
      <c r="O211" t="s">
        <v>83</v>
      </c>
      <c r="P211" t="s">
        <v>26</v>
      </c>
      <c r="Q211">
        <v>0</v>
      </c>
    </row>
    <row r="212" spans="1:17" x14ac:dyDescent="0.25">
      <c r="A212" t="s">
        <v>29</v>
      </c>
      <c r="B212" t="s">
        <v>18</v>
      </c>
      <c r="C212">
        <v>180000</v>
      </c>
      <c r="D212" t="s">
        <v>19</v>
      </c>
      <c r="E212" t="s">
        <v>70</v>
      </c>
      <c r="F212" t="s">
        <v>32</v>
      </c>
      <c r="G212" t="s">
        <v>73</v>
      </c>
      <c r="H212" t="s">
        <v>49</v>
      </c>
      <c r="I212" t="s">
        <v>24</v>
      </c>
      <c r="J212">
        <v>138483</v>
      </c>
      <c r="K212">
        <v>41548.5</v>
      </c>
      <c r="L212" t="s">
        <v>25</v>
      </c>
      <c r="M212" t="s">
        <v>26</v>
      </c>
      <c r="N212" t="s">
        <v>27</v>
      </c>
      <c r="O212" t="s">
        <v>28</v>
      </c>
      <c r="P212" t="s">
        <v>26</v>
      </c>
      <c r="Q212">
        <v>0</v>
      </c>
    </row>
    <row r="213" spans="1:17" x14ac:dyDescent="0.25">
      <c r="A213" t="s">
        <v>29</v>
      </c>
      <c r="B213" t="s">
        <v>18</v>
      </c>
      <c r="C213">
        <v>202500</v>
      </c>
      <c r="D213" t="s">
        <v>19</v>
      </c>
      <c r="E213" t="s">
        <v>20</v>
      </c>
      <c r="F213" t="s">
        <v>39</v>
      </c>
      <c r="G213" t="s">
        <v>22</v>
      </c>
      <c r="H213" t="s">
        <v>86</v>
      </c>
      <c r="I213" t="s">
        <v>24</v>
      </c>
      <c r="J213">
        <v>31005</v>
      </c>
      <c r="K213">
        <v>6300</v>
      </c>
      <c r="L213" t="s">
        <v>25</v>
      </c>
      <c r="M213" t="s">
        <v>26</v>
      </c>
      <c r="N213" t="s">
        <v>27</v>
      </c>
      <c r="O213" t="s">
        <v>35</v>
      </c>
      <c r="P213" t="s">
        <v>26</v>
      </c>
      <c r="Q213">
        <v>0</v>
      </c>
    </row>
    <row r="214" spans="1:17" x14ac:dyDescent="0.25">
      <c r="A214" t="s">
        <v>29</v>
      </c>
      <c r="B214" t="s">
        <v>18</v>
      </c>
      <c r="C214">
        <v>135000</v>
      </c>
      <c r="D214" t="s">
        <v>19</v>
      </c>
      <c r="E214" t="s">
        <v>20</v>
      </c>
      <c r="F214" t="s">
        <v>32</v>
      </c>
      <c r="G214" t="s">
        <v>22</v>
      </c>
      <c r="H214" t="s">
        <v>37</v>
      </c>
      <c r="I214" t="s">
        <v>66</v>
      </c>
      <c r="J214">
        <v>202500</v>
      </c>
      <c r="K214">
        <v>0</v>
      </c>
      <c r="L214" t="s">
        <v>51</v>
      </c>
      <c r="M214" t="s">
        <v>28</v>
      </c>
      <c r="N214" t="s">
        <v>27</v>
      </c>
      <c r="O214" t="s">
        <v>28</v>
      </c>
      <c r="P214" t="s">
        <v>26</v>
      </c>
      <c r="Q214">
        <v>0</v>
      </c>
    </row>
    <row r="215" spans="1:17" x14ac:dyDescent="0.25">
      <c r="A215" t="s">
        <v>29</v>
      </c>
      <c r="B215" t="s">
        <v>18</v>
      </c>
      <c r="C215">
        <v>119250</v>
      </c>
      <c r="D215" t="s">
        <v>19</v>
      </c>
      <c r="E215" t="s">
        <v>31</v>
      </c>
      <c r="F215" t="s">
        <v>69</v>
      </c>
      <c r="G215" t="s">
        <v>22</v>
      </c>
      <c r="H215" t="s">
        <v>49</v>
      </c>
      <c r="I215" t="s">
        <v>24</v>
      </c>
      <c r="J215">
        <v>124200</v>
      </c>
      <c r="K215">
        <v>0</v>
      </c>
      <c r="L215" t="s">
        <v>51</v>
      </c>
      <c r="M215" t="s">
        <v>26</v>
      </c>
      <c r="N215" t="s">
        <v>27</v>
      </c>
      <c r="O215" t="s">
        <v>35</v>
      </c>
      <c r="P215" t="s">
        <v>26</v>
      </c>
      <c r="Q215">
        <v>0</v>
      </c>
    </row>
    <row r="216" spans="1:17" x14ac:dyDescent="0.25">
      <c r="A216" t="s">
        <v>29</v>
      </c>
      <c r="B216" t="s">
        <v>18</v>
      </c>
      <c r="C216">
        <v>119250</v>
      </c>
      <c r="D216" t="s">
        <v>19</v>
      </c>
      <c r="E216" t="s">
        <v>31</v>
      </c>
      <c r="F216" t="s">
        <v>69</v>
      </c>
      <c r="G216" t="s">
        <v>22</v>
      </c>
      <c r="H216" t="s">
        <v>49</v>
      </c>
      <c r="I216" t="s">
        <v>24</v>
      </c>
      <c r="J216">
        <v>53550</v>
      </c>
      <c r="K216">
        <v>16065</v>
      </c>
      <c r="L216" t="s">
        <v>25</v>
      </c>
      <c r="M216" t="s">
        <v>26</v>
      </c>
      <c r="N216" t="s">
        <v>27</v>
      </c>
      <c r="O216" t="s">
        <v>35</v>
      </c>
      <c r="P216" t="s">
        <v>26</v>
      </c>
      <c r="Q216">
        <v>0</v>
      </c>
    </row>
    <row r="217" spans="1:17" x14ac:dyDescent="0.25">
      <c r="A217" t="s">
        <v>29</v>
      </c>
      <c r="B217" t="s">
        <v>36</v>
      </c>
      <c r="C217">
        <v>202500</v>
      </c>
      <c r="D217" t="s">
        <v>44</v>
      </c>
      <c r="E217" t="s">
        <v>31</v>
      </c>
      <c r="F217" t="s">
        <v>32</v>
      </c>
      <c r="G217" t="s">
        <v>22</v>
      </c>
      <c r="H217" t="s">
        <v>57</v>
      </c>
      <c r="I217" t="s">
        <v>24</v>
      </c>
      <c r="J217">
        <v>121495.5</v>
      </c>
      <c r="K217">
        <v>13500</v>
      </c>
      <c r="L217" t="s">
        <v>51</v>
      </c>
      <c r="M217" t="s">
        <v>26</v>
      </c>
      <c r="N217" t="s">
        <v>27</v>
      </c>
      <c r="O217" t="s">
        <v>35</v>
      </c>
      <c r="P217" t="s">
        <v>26</v>
      </c>
      <c r="Q217">
        <v>0</v>
      </c>
    </row>
    <row r="218" spans="1:17" x14ac:dyDescent="0.25">
      <c r="A218" t="s">
        <v>29</v>
      </c>
      <c r="B218" t="s">
        <v>18</v>
      </c>
      <c r="C218">
        <v>112500</v>
      </c>
      <c r="D218" t="s">
        <v>19</v>
      </c>
      <c r="E218" t="s">
        <v>20</v>
      </c>
      <c r="F218" t="s">
        <v>69</v>
      </c>
      <c r="G218" t="s">
        <v>22</v>
      </c>
      <c r="H218" t="s">
        <v>37</v>
      </c>
      <c r="I218" t="s">
        <v>24</v>
      </c>
      <c r="J218">
        <v>14953.5</v>
      </c>
      <c r="K218">
        <v>2970</v>
      </c>
      <c r="L218" t="s">
        <v>45</v>
      </c>
      <c r="M218" t="s">
        <v>26</v>
      </c>
      <c r="N218" t="s">
        <v>27</v>
      </c>
      <c r="O218" t="s">
        <v>35</v>
      </c>
      <c r="P218" t="s">
        <v>26</v>
      </c>
      <c r="Q218">
        <v>0</v>
      </c>
    </row>
    <row r="219" spans="1:17" x14ac:dyDescent="0.25">
      <c r="A219" t="s">
        <v>29</v>
      </c>
      <c r="B219" t="s">
        <v>18</v>
      </c>
      <c r="C219">
        <v>103500</v>
      </c>
      <c r="D219" t="s">
        <v>46</v>
      </c>
      <c r="E219" t="s">
        <v>20</v>
      </c>
      <c r="F219" t="s">
        <v>69</v>
      </c>
      <c r="G219" t="s">
        <v>22</v>
      </c>
      <c r="H219" t="s">
        <v>28</v>
      </c>
      <c r="I219" t="s">
        <v>24</v>
      </c>
      <c r="J219">
        <v>53910</v>
      </c>
      <c r="K219">
        <v>5391</v>
      </c>
      <c r="L219" t="s">
        <v>42</v>
      </c>
      <c r="M219" t="s">
        <v>26</v>
      </c>
      <c r="N219" t="s">
        <v>27</v>
      </c>
      <c r="O219" t="s">
        <v>28</v>
      </c>
      <c r="P219" t="s">
        <v>26</v>
      </c>
      <c r="Q219">
        <v>0</v>
      </c>
    </row>
    <row r="220" spans="1:17" x14ac:dyDescent="0.25">
      <c r="A220" t="s">
        <v>17</v>
      </c>
      <c r="B220" t="s">
        <v>18</v>
      </c>
      <c r="C220">
        <v>58500</v>
      </c>
      <c r="D220" t="s">
        <v>46</v>
      </c>
      <c r="E220" t="s">
        <v>20</v>
      </c>
      <c r="F220" t="s">
        <v>32</v>
      </c>
      <c r="G220" t="s">
        <v>22</v>
      </c>
      <c r="H220" t="s">
        <v>28</v>
      </c>
      <c r="I220" t="s">
        <v>24</v>
      </c>
      <c r="J220">
        <v>28332</v>
      </c>
      <c r="K220">
        <v>0</v>
      </c>
      <c r="L220" t="s">
        <v>43</v>
      </c>
      <c r="M220" t="s">
        <v>26</v>
      </c>
      <c r="N220" t="s">
        <v>27</v>
      </c>
      <c r="O220" t="s">
        <v>35</v>
      </c>
      <c r="P220" t="s">
        <v>26</v>
      </c>
      <c r="Q220">
        <v>0</v>
      </c>
    </row>
    <row r="221" spans="1:17" x14ac:dyDescent="0.25">
      <c r="A221" t="s">
        <v>29</v>
      </c>
      <c r="B221" t="s">
        <v>18</v>
      </c>
      <c r="C221">
        <v>117000</v>
      </c>
      <c r="D221" t="s">
        <v>46</v>
      </c>
      <c r="E221" t="s">
        <v>20</v>
      </c>
      <c r="F221" t="s">
        <v>21</v>
      </c>
      <c r="G221" t="s">
        <v>22</v>
      </c>
      <c r="H221" t="s">
        <v>28</v>
      </c>
      <c r="I221" t="s">
        <v>24</v>
      </c>
      <c r="J221">
        <v>98955</v>
      </c>
      <c r="K221">
        <v>9900</v>
      </c>
      <c r="L221" t="s">
        <v>38</v>
      </c>
      <c r="M221" t="s">
        <v>26</v>
      </c>
      <c r="N221" t="s">
        <v>27</v>
      </c>
      <c r="O221" t="s">
        <v>35</v>
      </c>
      <c r="P221" t="s">
        <v>26</v>
      </c>
      <c r="Q221">
        <v>0</v>
      </c>
    </row>
    <row r="222" spans="1:17" x14ac:dyDescent="0.25">
      <c r="A222" t="s">
        <v>29</v>
      </c>
      <c r="B222" t="s">
        <v>18</v>
      </c>
      <c r="C222">
        <v>225000</v>
      </c>
      <c r="D222" t="s">
        <v>19</v>
      </c>
      <c r="E222" t="s">
        <v>31</v>
      </c>
      <c r="F222" t="s">
        <v>32</v>
      </c>
      <c r="G222" t="s">
        <v>87</v>
      </c>
      <c r="H222" t="s">
        <v>33</v>
      </c>
      <c r="I222" t="s">
        <v>24</v>
      </c>
      <c r="J222">
        <v>737100</v>
      </c>
      <c r="K222">
        <v>0</v>
      </c>
      <c r="L222" t="s">
        <v>25</v>
      </c>
      <c r="M222" t="s">
        <v>26</v>
      </c>
      <c r="N222" t="s">
        <v>27</v>
      </c>
      <c r="O222" t="s">
        <v>35</v>
      </c>
      <c r="P222" t="s">
        <v>26</v>
      </c>
      <c r="Q222">
        <v>0</v>
      </c>
    </row>
    <row r="223" spans="1:17" x14ac:dyDescent="0.25">
      <c r="A223" t="s">
        <v>29</v>
      </c>
      <c r="B223" t="s">
        <v>18</v>
      </c>
      <c r="C223">
        <v>135000</v>
      </c>
      <c r="D223" t="s">
        <v>19</v>
      </c>
      <c r="E223" t="s">
        <v>70</v>
      </c>
      <c r="F223" t="s">
        <v>69</v>
      </c>
      <c r="G223" t="s">
        <v>22</v>
      </c>
      <c r="H223" t="s">
        <v>57</v>
      </c>
      <c r="I223" t="s">
        <v>24</v>
      </c>
      <c r="J223">
        <v>171000</v>
      </c>
      <c r="K223">
        <v>0</v>
      </c>
      <c r="L223" t="s">
        <v>42</v>
      </c>
      <c r="M223" t="s">
        <v>26</v>
      </c>
      <c r="N223" t="s">
        <v>27</v>
      </c>
      <c r="O223" t="s">
        <v>35</v>
      </c>
      <c r="P223" t="s">
        <v>26</v>
      </c>
      <c r="Q223">
        <v>0</v>
      </c>
    </row>
    <row r="224" spans="1:17" x14ac:dyDescent="0.25">
      <c r="A224" t="s">
        <v>17</v>
      </c>
      <c r="B224" t="s">
        <v>36</v>
      </c>
      <c r="C224">
        <v>162000</v>
      </c>
      <c r="D224" t="s">
        <v>44</v>
      </c>
      <c r="E224" t="s">
        <v>31</v>
      </c>
      <c r="F224" t="s">
        <v>32</v>
      </c>
      <c r="G224" t="s">
        <v>22</v>
      </c>
      <c r="H224" t="s">
        <v>37</v>
      </c>
      <c r="I224" t="s">
        <v>66</v>
      </c>
      <c r="J224">
        <v>112500</v>
      </c>
      <c r="K224">
        <v>0</v>
      </c>
      <c r="L224" t="s">
        <v>51</v>
      </c>
      <c r="M224" t="s">
        <v>28</v>
      </c>
      <c r="N224" t="s">
        <v>27</v>
      </c>
      <c r="O224" t="s">
        <v>88</v>
      </c>
      <c r="P224" t="s">
        <v>26</v>
      </c>
      <c r="Q224">
        <v>0</v>
      </c>
    </row>
    <row r="225" spans="1:17" x14ac:dyDescent="0.25">
      <c r="A225" t="s">
        <v>17</v>
      </c>
      <c r="B225" t="s">
        <v>36</v>
      </c>
      <c r="C225">
        <v>162000</v>
      </c>
      <c r="D225" t="s">
        <v>44</v>
      </c>
      <c r="E225" t="s">
        <v>31</v>
      </c>
      <c r="F225" t="s">
        <v>32</v>
      </c>
      <c r="G225" t="s">
        <v>22</v>
      </c>
      <c r="H225" t="s">
        <v>37</v>
      </c>
      <c r="I225" t="s">
        <v>66</v>
      </c>
      <c r="J225">
        <v>135000</v>
      </c>
      <c r="K225">
        <v>0</v>
      </c>
      <c r="L225" t="s">
        <v>45</v>
      </c>
      <c r="M225" t="s">
        <v>28</v>
      </c>
      <c r="N225" t="s">
        <v>27</v>
      </c>
      <c r="O225" t="s">
        <v>35</v>
      </c>
      <c r="P225" t="s">
        <v>26</v>
      </c>
      <c r="Q225">
        <v>0</v>
      </c>
    </row>
    <row r="226" spans="1:17" x14ac:dyDescent="0.25">
      <c r="A226" t="s">
        <v>17</v>
      </c>
      <c r="B226" t="s">
        <v>36</v>
      </c>
      <c r="C226">
        <v>162000</v>
      </c>
      <c r="D226" t="s">
        <v>44</v>
      </c>
      <c r="E226" t="s">
        <v>31</v>
      </c>
      <c r="F226" t="s">
        <v>32</v>
      </c>
      <c r="G226" t="s">
        <v>22</v>
      </c>
      <c r="H226" t="s">
        <v>37</v>
      </c>
      <c r="I226" t="s">
        <v>66</v>
      </c>
      <c r="J226">
        <v>112500</v>
      </c>
      <c r="K226">
        <v>0</v>
      </c>
      <c r="L226" t="s">
        <v>42</v>
      </c>
      <c r="M226" t="s">
        <v>28</v>
      </c>
      <c r="N226" t="s">
        <v>27</v>
      </c>
      <c r="O226" t="s">
        <v>35</v>
      </c>
      <c r="P226" t="s">
        <v>26</v>
      </c>
      <c r="Q226">
        <v>0</v>
      </c>
    </row>
    <row r="227" spans="1:17" x14ac:dyDescent="0.25">
      <c r="A227" t="s">
        <v>29</v>
      </c>
      <c r="B227" t="s">
        <v>18</v>
      </c>
      <c r="C227">
        <v>112500</v>
      </c>
      <c r="D227" t="s">
        <v>19</v>
      </c>
      <c r="E227" t="s">
        <v>31</v>
      </c>
      <c r="F227" t="s">
        <v>69</v>
      </c>
      <c r="G227" t="s">
        <v>22</v>
      </c>
      <c r="H227" t="s">
        <v>48</v>
      </c>
      <c r="I227" t="s">
        <v>24</v>
      </c>
      <c r="J227">
        <v>43155</v>
      </c>
      <c r="K227">
        <v>4500</v>
      </c>
      <c r="L227" t="s">
        <v>51</v>
      </c>
      <c r="M227" t="s">
        <v>26</v>
      </c>
      <c r="N227" t="s">
        <v>27</v>
      </c>
      <c r="O227" t="s">
        <v>35</v>
      </c>
      <c r="P227" t="s">
        <v>26</v>
      </c>
      <c r="Q227">
        <v>0</v>
      </c>
    </row>
    <row r="228" spans="1:17" x14ac:dyDescent="0.25">
      <c r="A228" t="s">
        <v>29</v>
      </c>
      <c r="B228" t="s">
        <v>18</v>
      </c>
      <c r="C228">
        <v>112500</v>
      </c>
      <c r="D228" t="s">
        <v>19</v>
      </c>
      <c r="E228" t="s">
        <v>31</v>
      </c>
      <c r="F228" t="s">
        <v>69</v>
      </c>
      <c r="G228" t="s">
        <v>22</v>
      </c>
      <c r="H228" t="s">
        <v>48</v>
      </c>
      <c r="I228" t="s">
        <v>24</v>
      </c>
      <c r="J228">
        <v>45405</v>
      </c>
      <c r="K228">
        <v>9081</v>
      </c>
      <c r="L228" t="s">
        <v>34</v>
      </c>
      <c r="M228" t="s">
        <v>26</v>
      </c>
      <c r="N228" t="s">
        <v>27</v>
      </c>
      <c r="O228" t="s">
        <v>28</v>
      </c>
      <c r="P228" t="s">
        <v>26</v>
      </c>
      <c r="Q228">
        <v>0</v>
      </c>
    </row>
    <row r="229" spans="1:17" x14ac:dyDescent="0.25">
      <c r="A229" t="s">
        <v>29</v>
      </c>
      <c r="B229" t="s">
        <v>36</v>
      </c>
      <c r="C229">
        <v>225000</v>
      </c>
      <c r="D229" t="s">
        <v>44</v>
      </c>
      <c r="E229" t="s">
        <v>20</v>
      </c>
      <c r="F229" t="s">
        <v>69</v>
      </c>
      <c r="G229" t="s">
        <v>22</v>
      </c>
      <c r="H229" t="s">
        <v>41</v>
      </c>
      <c r="I229" t="s">
        <v>24</v>
      </c>
      <c r="J229">
        <v>55957.5</v>
      </c>
      <c r="K229">
        <v>0</v>
      </c>
      <c r="L229" t="s">
        <v>38</v>
      </c>
      <c r="M229" t="s">
        <v>26</v>
      </c>
      <c r="N229" t="s">
        <v>27</v>
      </c>
      <c r="O229" t="s">
        <v>35</v>
      </c>
      <c r="P229" t="s">
        <v>26</v>
      </c>
      <c r="Q229">
        <v>0</v>
      </c>
    </row>
    <row r="230" spans="1:17" x14ac:dyDescent="0.25">
      <c r="A230" t="s">
        <v>29</v>
      </c>
      <c r="B230" t="s">
        <v>36</v>
      </c>
      <c r="C230">
        <v>225000</v>
      </c>
      <c r="D230" t="s">
        <v>44</v>
      </c>
      <c r="E230" t="s">
        <v>20</v>
      </c>
      <c r="F230" t="s">
        <v>69</v>
      </c>
      <c r="G230" t="s">
        <v>22</v>
      </c>
      <c r="H230" t="s">
        <v>41</v>
      </c>
      <c r="I230" t="s">
        <v>24</v>
      </c>
      <c r="J230">
        <v>130045.5</v>
      </c>
      <c r="K230">
        <v>0</v>
      </c>
      <c r="L230" t="s">
        <v>25</v>
      </c>
      <c r="M230" t="s">
        <v>26</v>
      </c>
      <c r="N230" t="s">
        <v>27</v>
      </c>
      <c r="O230" t="s">
        <v>35</v>
      </c>
      <c r="P230" t="s">
        <v>26</v>
      </c>
      <c r="Q230">
        <v>0</v>
      </c>
    </row>
    <row r="231" spans="1:17" x14ac:dyDescent="0.25">
      <c r="A231" t="s">
        <v>29</v>
      </c>
      <c r="B231" t="s">
        <v>18</v>
      </c>
      <c r="C231">
        <v>157500</v>
      </c>
      <c r="D231" t="s">
        <v>19</v>
      </c>
      <c r="E231" t="s">
        <v>31</v>
      </c>
      <c r="F231" t="s">
        <v>39</v>
      </c>
      <c r="G231" t="s">
        <v>22</v>
      </c>
      <c r="H231" t="s">
        <v>89</v>
      </c>
      <c r="I231" t="s">
        <v>24</v>
      </c>
      <c r="J231">
        <v>74092.5</v>
      </c>
      <c r="K231">
        <v>0</v>
      </c>
      <c r="L231" t="s">
        <v>38</v>
      </c>
      <c r="M231" t="s">
        <v>26</v>
      </c>
      <c r="N231" t="s">
        <v>27</v>
      </c>
      <c r="O231" t="s">
        <v>35</v>
      </c>
      <c r="P231" t="s">
        <v>26</v>
      </c>
      <c r="Q231">
        <v>0</v>
      </c>
    </row>
    <row r="232" spans="1:17" x14ac:dyDescent="0.25">
      <c r="A232" t="s">
        <v>29</v>
      </c>
      <c r="B232" t="s">
        <v>18</v>
      </c>
      <c r="C232">
        <v>157500</v>
      </c>
      <c r="D232" t="s">
        <v>19</v>
      </c>
      <c r="E232" t="s">
        <v>31</v>
      </c>
      <c r="F232" t="s">
        <v>39</v>
      </c>
      <c r="G232" t="s">
        <v>22</v>
      </c>
      <c r="H232" t="s">
        <v>89</v>
      </c>
      <c r="I232" t="s">
        <v>24</v>
      </c>
      <c r="J232">
        <v>159682.5</v>
      </c>
      <c r="K232">
        <v>0</v>
      </c>
      <c r="L232" t="s">
        <v>25</v>
      </c>
      <c r="M232" t="s">
        <v>26</v>
      </c>
      <c r="N232" t="s">
        <v>27</v>
      </c>
      <c r="O232" t="s">
        <v>35</v>
      </c>
      <c r="P232" t="s">
        <v>26</v>
      </c>
      <c r="Q232">
        <v>0</v>
      </c>
    </row>
    <row r="233" spans="1:17" x14ac:dyDescent="0.25">
      <c r="A233" t="s">
        <v>29</v>
      </c>
      <c r="B233" t="s">
        <v>18</v>
      </c>
      <c r="C233">
        <v>157500</v>
      </c>
      <c r="D233" t="s">
        <v>19</v>
      </c>
      <c r="E233" t="s">
        <v>31</v>
      </c>
      <c r="F233" t="s">
        <v>39</v>
      </c>
      <c r="G233" t="s">
        <v>22</v>
      </c>
      <c r="H233" t="s">
        <v>89</v>
      </c>
      <c r="I233" t="s">
        <v>24</v>
      </c>
      <c r="J233">
        <v>166500</v>
      </c>
      <c r="K233">
        <v>16650</v>
      </c>
      <c r="L233" t="s">
        <v>45</v>
      </c>
      <c r="M233" t="s">
        <v>26</v>
      </c>
      <c r="N233" t="s">
        <v>27</v>
      </c>
      <c r="O233" t="s">
        <v>35</v>
      </c>
      <c r="P233" t="s">
        <v>26</v>
      </c>
      <c r="Q233">
        <v>0</v>
      </c>
    </row>
    <row r="234" spans="1:17" x14ac:dyDescent="0.25">
      <c r="A234" t="s">
        <v>29</v>
      </c>
      <c r="B234" t="s">
        <v>36</v>
      </c>
      <c r="C234">
        <v>164250</v>
      </c>
      <c r="D234" t="s">
        <v>19</v>
      </c>
      <c r="E234" t="s">
        <v>31</v>
      </c>
      <c r="F234" t="s">
        <v>32</v>
      </c>
      <c r="G234" t="s">
        <v>22</v>
      </c>
      <c r="H234" t="s">
        <v>53</v>
      </c>
      <c r="I234" t="s">
        <v>24</v>
      </c>
      <c r="J234">
        <v>24970.5</v>
      </c>
      <c r="K234">
        <v>0</v>
      </c>
      <c r="L234" t="s">
        <v>25</v>
      </c>
      <c r="M234" t="s">
        <v>26</v>
      </c>
      <c r="N234" t="s">
        <v>27</v>
      </c>
      <c r="O234" t="s">
        <v>35</v>
      </c>
      <c r="P234" t="s">
        <v>26</v>
      </c>
      <c r="Q234">
        <v>0</v>
      </c>
    </row>
    <row r="235" spans="1:17" x14ac:dyDescent="0.25">
      <c r="A235" t="s">
        <v>29</v>
      </c>
      <c r="B235" t="s">
        <v>18</v>
      </c>
      <c r="C235">
        <v>157500</v>
      </c>
      <c r="D235" t="s">
        <v>19</v>
      </c>
      <c r="E235" t="s">
        <v>20</v>
      </c>
      <c r="F235" t="s">
        <v>32</v>
      </c>
      <c r="G235" t="s">
        <v>22</v>
      </c>
      <c r="H235" t="s">
        <v>49</v>
      </c>
      <c r="I235" t="s">
        <v>24</v>
      </c>
      <c r="J235">
        <v>17626.5</v>
      </c>
      <c r="K235">
        <v>1062</v>
      </c>
      <c r="L235" t="s">
        <v>45</v>
      </c>
      <c r="M235" t="s">
        <v>26</v>
      </c>
      <c r="N235" t="s">
        <v>58</v>
      </c>
      <c r="O235" t="s">
        <v>35</v>
      </c>
      <c r="P235" t="s">
        <v>59</v>
      </c>
      <c r="Q235">
        <v>1</v>
      </c>
    </row>
    <row r="236" spans="1:17" x14ac:dyDescent="0.25">
      <c r="A236" t="s">
        <v>17</v>
      </c>
      <c r="B236" t="s">
        <v>36</v>
      </c>
      <c r="C236">
        <v>135000</v>
      </c>
      <c r="D236" t="s">
        <v>19</v>
      </c>
      <c r="E236" t="s">
        <v>20</v>
      </c>
      <c r="F236" t="s">
        <v>32</v>
      </c>
      <c r="G236" t="s">
        <v>22</v>
      </c>
      <c r="H236" t="s">
        <v>49</v>
      </c>
      <c r="I236" t="s">
        <v>24</v>
      </c>
      <c r="J236">
        <v>18855</v>
      </c>
      <c r="K236">
        <v>1885.5</v>
      </c>
      <c r="L236" t="s">
        <v>38</v>
      </c>
      <c r="M236" t="s">
        <v>26</v>
      </c>
      <c r="N236" t="s">
        <v>58</v>
      </c>
      <c r="O236" t="s">
        <v>35</v>
      </c>
      <c r="P236" t="s">
        <v>60</v>
      </c>
      <c r="Q236">
        <v>1</v>
      </c>
    </row>
    <row r="237" spans="1:17" x14ac:dyDescent="0.25">
      <c r="A237" t="s">
        <v>17</v>
      </c>
      <c r="B237" t="s">
        <v>36</v>
      </c>
      <c r="C237">
        <v>135000</v>
      </c>
      <c r="D237" t="s">
        <v>19</v>
      </c>
      <c r="E237" t="s">
        <v>20</v>
      </c>
      <c r="F237" t="s">
        <v>32</v>
      </c>
      <c r="G237" t="s">
        <v>22</v>
      </c>
      <c r="H237" t="s">
        <v>49</v>
      </c>
      <c r="I237" t="s">
        <v>24</v>
      </c>
      <c r="J237">
        <v>17055</v>
      </c>
      <c r="K237">
        <v>0</v>
      </c>
      <c r="L237" t="s">
        <v>51</v>
      </c>
      <c r="M237" t="s">
        <v>26</v>
      </c>
      <c r="N237" t="s">
        <v>58</v>
      </c>
      <c r="O237" t="s">
        <v>35</v>
      </c>
      <c r="P237" t="s">
        <v>60</v>
      </c>
      <c r="Q237">
        <v>1</v>
      </c>
    </row>
    <row r="238" spans="1:17" x14ac:dyDescent="0.25">
      <c r="A238" t="s">
        <v>17</v>
      </c>
      <c r="B238" t="s">
        <v>36</v>
      </c>
      <c r="C238">
        <v>135000</v>
      </c>
      <c r="D238" t="s">
        <v>19</v>
      </c>
      <c r="E238" t="s">
        <v>20</v>
      </c>
      <c r="F238" t="s">
        <v>32</v>
      </c>
      <c r="G238" t="s">
        <v>22</v>
      </c>
      <c r="H238" t="s">
        <v>49</v>
      </c>
      <c r="I238" t="s">
        <v>90</v>
      </c>
      <c r="J238">
        <v>58005</v>
      </c>
      <c r="K238">
        <v>5800.5</v>
      </c>
      <c r="L238" t="s">
        <v>25</v>
      </c>
      <c r="M238" t="s">
        <v>26</v>
      </c>
      <c r="N238" t="s">
        <v>27</v>
      </c>
      <c r="O238" t="s">
        <v>28</v>
      </c>
      <c r="P238" t="s">
        <v>26</v>
      </c>
      <c r="Q238">
        <v>0</v>
      </c>
    </row>
    <row r="239" spans="1:17" x14ac:dyDescent="0.25">
      <c r="A239" t="s">
        <v>29</v>
      </c>
      <c r="B239" t="s">
        <v>18</v>
      </c>
      <c r="C239">
        <v>216000</v>
      </c>
      <c r="D239" t="s">
        <v>19</v>
      </c>
      <c r="E239" t="s">
        <v>20</v>
      </c>
      <c r="F239" t="s">
        <v>54</v>
      </c>
      <c r="G239" t="s">
        <v>22</v>
      </c>
      <c r="H239" t="s">
        <v>23</v>
      </c>
      <c r="I239" t="s">
        <v>24</v>
      </c>
      <c r="J239">
        <v>133650</v>
      </c>
      <c r="K239">
        <v>13365</v>
      </c>
      <c r="L239" t="s">
        <v>43</v>
      </c>
      <c r="M239" t="s">
        <v>26</v>
      </c>
      <c r="N239" t="s">
        <v>58</v>
      </c>
      <c r="O239" t="s">
        <v>35</v>
      </c>
      <c r="P239" t="s">
        <v>60</v>
      </c>
      <c r="Q239">
        <v>1</v>
      </c>
    </row>
    <row r="240" spans="1:17" x14ac:dyDescent="0.25">
      <c r="A240" t="s">
        <v>29</v>
      </c>
      <c r="B240" t="s">
        <v>18</v>
      </c>
      <c r="C240">
        <v>216000</v>
      </c>
      <c r="D240" t="s">
        <v>19</v>
      </c>
      <c r="E240" t="s">
        <v>20</v>
      </c>
      <c r="F240" t="s">
        <v>54</v>
      </c>
      <c r="G240" t="s">
        <v>22</v>
      </c>
      <c r="H240" t="s">
        <v>23</v>
      </c>
      <c r="I240" t="s">
        <v>24</v>
      </c>
      <c r="J240">
        <v>133650</v>
      </c>
      <c r="K240">
        <v>0</v>
      </c>
      <c r="L240" t="s">
        <v>43</v>
      </c>
      <c r="M240" t="s">
        <v>26</v>
      </c>
      <c r="N240" t="s">
        <v>58</v>
      </c>
      <c r="O240" t="s">
        <v>35</v>
      </c>
      <c r="P240" t="s">
        <v>60</v>
      </c>
      <c r="Q240">
        <v>1</v>
      </c>
    </row>
    <row r="241" spans="1:17" x14ac:dyDescent="0.25">
      <c r="A241" t="s">
        <v>29</v>
      </c>
      <c r="B241" t="s">
        <v>18</v>
      </c>
      <c r="C241">
        <v>180000</v>
      </c>
      <c r="D241" t="s">
        <v>44</v>
      </c>
      <c r="E241" t="s">
        <v>31</v>
      </c>
      <c r="F241" t="s">
        <v>21</v>
      </c>
      <c r="G241" t="s">
        <v>22</v>
      </c>
      <c r="H241" t="s">
        <v>71</v>
      </c>
      <c r="I241" t="s">
        <v>24</v>
      </c>
      <c r="J241">
        <v>38610</v>
      </c>
      <c r="K241">
        <v>9000</v>
      </c>
      <c r="L241" t="s">
        <v>42</v>
      </c>
      <c r="M241" t="s">
        <v>26</v>
      </c>
      <c r="N241" t="s">
        <v>27</v>
      </c>
      <c r="O241" t="s">
        <v>35</v>
      </c>
      <c r="P241" t="s">
        <v>26</v>
      </c>
      <c r="Q241">
        <v>0</v>
      </c>
    </row>
    <row r="242" spans="1:17" x14ac:dyDescent="0.25">
      <c r="A242" t="s">
        <v>29</v>
      </c>
      <c r="B242" t="s">
        <v>18</v>
      </c>
      <c r="C242">
        <v>180000</v>
      </c>
      <c r="D242" t="s">
        <v>44</v>
      </c>
      <c r="E242" t="s">
        <v>31</v>
      </c>
      <c r="F242" t="s">
        <v>21</v>
      </c>
      <c r="G242" t="s">
        <v>22</v>
      </c>
      <c r="H242" t="s">
        <v>71</v>
      </c>
      <c r="I242" t="s">
        <v>24</v>
      </c>
      <c r="J242">
        <v>31635</v>
      </c>
      <c r="K242">
        <v>3195</v>
      </c>
      <c r="L242" t="s">
        <v>38</v>
      </c>
      <c r="M242" t="s">
        <v>26</v>
      </c>
      <c r="N242" t="s">
        <v>27</v>
      </c>
      <c r="O242" t="s">
        <v>28</v>
      </c>
      <c r="P242" t="s">
        <v>26</v>
      </c>
      <c r="Q242">
        <v>0</v>
      </c>
    </row>
    <row r="243" spans="1:17" x14ac:dyDescent="0.25">
      <c r="A243" t="s">
        <v>29</v>
      </c>
      <c r="B243" t="s">
        <v>18</v>
      </c>
      <c r="C243">
        <v>180000</v>
      </c>
      <c r="D243" t="s">
        <v>44</v>
      </c>
      <c r="E243" t="s">
        <v>31</v>
      </c>
      <c r="F243" t="s">
        <v>21</v>
      </c>
      <c r="G243" t="s">
        <v>22</v>
      </c>
      <c r="H243" t="s">
        <v>71</v>
      </c>
      <c r="I243" t="s">
        <v>24</v>
      </c>
      <c r="J243">
        <v>44955</v>
      </c>
      <c r="K243">
        <v>4500</v>
      </c>
      <c r="L243" t="s">
        <v>45</v>
      </c>
      <c r="M243" t="s">
        <v>26</v>
      </c>
      <c r="N243" t="s">
        <v>27</v>
      </c>
      <c r="O243" t="s">
        <v>35</v>
      </c>
      <c r="P243" t="s">
        <v>26</v>
      </c>
      <c r="Q243">
        <v>0</v>
      </c>
    </row>
    <row r="244" spans="1:17" x14ac:dyDescent="0.25">
      <c r="A244" t="s">
        <v>29</v>
      </c>
      <c r="B244" t="s">
        <v>18</v>
      </c>
      <c r="C244">
        <v>180000</v>
      </c>
      <c r="D244" t="s">
        <v>44</v>
      </c>
      <c r="E244" t="s">
        <v>31</v>
      </c>
      <c r="F244" t="s">
        <v>21</v>
      </c>
      <c r="G244" t="s">
        <v>22</v>
      </c>
      <c r="H244" t="s">
        <v>71</v>
      </c>
      <c r="I244" t="s">
        <v>24</v>
      </c>
      <c r="J244">
        <v>67410</v>
      </c>
      <c r="K244">
        <v>13500</v>
      </c>
      <c r="L244" t="s">
        <v>38</v>
      </c>
      <c r="M244" t="s">
        <v>26</v>
      </c>
      <c r="N244" t="s">
        <v>27</v>
      </c>
      <c r="O244" t="s">
        <v>35</v>
      </c>
      <c r="P244" t="s">
        <v>26</v>
      </c>
      <c r="Q244">
        <v>0</v>
      </c>
    </row>
    <row r="245" spans="1:17" x14ac:dyDescent="0.25">
      <c r="A245" t="s">
        <v>29</v>
      </c>
      <c r="B245" t="s">
        <v>18</v>
      </c>
      <c r="C245">
        <v>180000</v>
      </c>
      <c r="D245" t="s">
        <v>44</v>
      </c>
      <c r="E245" t="s">
        <v>31</v>
      </c>
      <c r="F245" t="s">
        <v>21</v>
      </c>
      <c r="G245" t="s">
        <v>22</v>
      </c>
      <c r="H245" t="s">
        <v>71</v>
      </c>
      <c r="I245" t="s">
        <v>24</v>
      </c>
      <c r="J245">
        <v>87705</v>
      </c>
      <c r="K245">
        <v>9000</v>
      </c>
      <c r="L245" t="s">
        <v>45</v>
      </c>
      <c r="M245" t="s">
        <v>26</v>
      </c>
      <c r="N245" t="s">
        <v>58</v>
      </c>
      <c r="O245" t="s">
        <v>35</v>
      </c>
      <c r="P245" t="s">
        <v>60</v>
      </c>
      <c r="Q245">
        <v>1</v>
      </c>
    </row>
    <row r="246" spans="1:17" x14ac:dyDescent="0.25">
      <c r="A246" t="s">
        <v>29</v>
      </c>
      <c r="B246" t="s">
        <v>18</v>
      </c>
      <c r="C246">
        <v>180000</v>
      </c>
      <c r="D246" t="s">
        <v>44</v>
      </c>
      <c r="E246" t="s">
        <v>31</v>
      </c>
      <c r="F246" t="s">
        <v>21</v>
      </c>
      <c r="G246" t="s">
        <v>22</v>
      </c>
      <c r="H246" t="s">
        <v>71</v>
      </c>
      <c r="I246" t="s">
        <v>24</v>
      </c>
      <c r="J246">
        <v>111591.9</v>
      </c>
      <c r="K246">
        <v>13500.9</v>
      </c>
      <c r="L246" t="s">
        <v>51</v>
      </c>
      <c r="M246" t="s">
        <v>26</v>
      </c>
      <c r="N246" t="s">
        <v>27</v>
      </c>
      <c r="O246" t="s">
        <v>35</v>
      </c>
      <c r="P246" t="s">
        <v>26</v>
      </c>
      <c r="Q246">
        <v>0</v>
      </c>
    </row>
    <row r="247" spans="1:17" x14ac:dyDescent="0.25">
      <c r="A247" t="s">
        <v>29</v>
      </c>
      <c r="B247" t="s">
        <v>18</v>
      </c>
      <c r="C247">
        <v>67500</v>
      </c>
      <c r="D247" t="s">
        <v>46</v>
      </c>
      <c r="E247" t="s">
        <v>20</v>
      </c>
      <c r="F247" t="s">
        <v>21</v>
      </c>
      <c r="G247" t="s">
        <v>22</v>
      </c>
      <c r="H247" t="s">
        <v>28</v>
      </c>
      <c r="I247" t="s">
        <v>24</v>
      </c>
      <c r="J247">
        <v>26775</v>
      </c>
      <c r="K247">
        <v>2677.5</v>
      </c>
      <c r="L247" t="s">
        <v>45</v>
      </c>
      <c r="M247" t="s">
        <v>26</v>
      </c>
      <c r="N247" t="s">
        <v>27</v>
      </c>
      <c r="O247" t="s">
        <v>28</v>
      </c>
      <c r="P247" t="s">
        <v>26</v>
      </c>
      <c r="Q247">
        <v>0</v>
      </c>
    </row>
    <row r="248" spans="1:17" x14ac:dyDescent="0.25">
      <c r="A248" t="s">
        <v>29</v>
      </c>
      <c r="B248" t="s">
        <v>18</v>
      </c>
      <c r="C248">
        <v>81000</v>
      </c>
      <c r="D248" t="s">
        <v>46</v>
      </c>
      <c r="E248" t="s">
        <v>20</v>
      </c>
      <c r="F248" t="s">
        <v>32</v>
      </c>
      <c r="G248" t="s">
        <v>22</v>
      </c>
      <c r="H248" t="s">
        <v>28</v>
      </c>
      <c r="I248" t="s">
        <v>24</v>
      </c>
      <c r="J248">
        <v>144868.5</v>
      </c>
      <c r="K248">
        <v>14490</v>
      </c>
      <c r="L248" t="s">
        <v>42</v>
      </c>
      <c r="M248" t="s">
        <v>26</v>
      </c>
      <c r="N248" t="s">
        <v>27</v>
      </c>
      <c r="O248" t="s">
        <v>35</v>
      </c>
      <c r="P248" t="s">
        <v>26</v>
      </c>
      <c r="Q248">
        <v>0</v>
      </c>
    </row>
    <row r="249" spans="1:17" x14ac:dyDescent="0.25">
      <c r="A249" t="s">
        <v>17</v>
      </c>
      <c r="B249" t="s">
        <v>36</v>
      </c>
      <c r="C249">
        <v>157500</v>
      </c>
      <c r="D249" t="s">
        <v>44</v>
      </c>
      <c r="E249" t="s">
        <v>20</v>
      </c>
      <c r="F249" t="s">
        <v>32</v>
      </c>
      <c r="G249" t="s">
        <v>22</v>
      </c>
      <c r="H249" t="s">
        <v>23</v>
      </c>
      <c r="I249" t="s">
        <v>24</v>
      </c>
      <c r="J249">
        <v>81720</v>
      </c>
      <c r="K249">
        <v>16344</v>
      </c>
      <c r="L249" t="s">
        <v>43</v>
      </c>
      <c r="M249" t="s">
        <v>26</v>
      </c>
      <c r="N249" t="s">
        <v>58</v>
      </c>
      <c r="O249" t="s">
        <v>35</v>
      </c>
      <c r="P249" t="s">
        <v>64</v>
      </c>
      <c r="Q249">
        <v>1</v>
      </c>
    </row>
    <row r="250" spans="1:17" x14ac:dyDescent="0.25">
      <c r="A250" t="s">
        <v>17</v>
      </c>
      <c r="B250" t="s">
        <v>36</v>
      </c>
      <c r="C250">
        <v>157500</v>
      </c>
      <c r="D250" t="s">
        <v>44</v>
      </c>
      <c r="E250" t="s">
        <v>20</v>
      </c>
      <c r="F250" t="s">
        <v>32</v>
      </c>
      <c r="G250" t="s">
        <v>22</v>
      </c>
      <c r="H250" t="s">
        <v>23</v>
      </c>
      <c r="I250" t="s">
        <v>24</v>
      </c>
      <c r="J250">
        <v>71451</v>
      </c>
      <c r="K250">
        <v>7146</v>
      </c>
      <c r="L250" t="s">
        <v>38</v>
      </c>
      <c r="M250" t="s">
        <v>26</v>
      </c>
      <c r="N250" t="s">
        <v>58</v>
      </c>
      <c r="O250" t="s">
        <v>35</v>
      </c>
      <c r="P250" t="s">
        <v>60</v>
      </c>
      <c r="Q250">
        <v>1</v>
      </c>
    </row>
    <row r="251" spans="1:17" x14ac:dyDescent="0.25">
      <c r="A251" t="s">
        <v>17</v>
      </c>
      <c r="B251" t="s">
        <v>36</v>
      </c>
      <c r="C251">
        <v>157500</v>
      </c>
      <c r="D251" t="s">
        <v>44</v>
      </c>
      <c r="E251" t="s">
        <v>20</v>
      </c>
      <c r="F251" t="s">
        <v>32</v>
      </c>
      <c r="G251" t="s">
        <v>22</v>
      </c>
      <c r="H251" t="s">
        <v>23</v>
      </c>
      <c r="I251" t="s">
        <v>24</v>
      </c>
      <c r="J251">
        <v>84150</v>
      </c>
      <c r="K251">
        <v>8415</v>
      </c>
      <c r="L251" t="s">
        <v>43</v>
      </c>
      <c r="M251" t="s">
        <v>26</v>
      </c>
      <c r="N251" t="s">
        <v>27</v>
      </c>
      <c r="O251" t="s">
        <v>28</v>
      </c>
      <c r="P251" t="s">
        <v>26</v>
      </c>
      <c r="Q251">
        <v>0</v>
      </c>
    </row>
    <row r="252" spans="1:17" x14ac:dyDescent="0.25">
      <c r="A252" t="s">
        <v>17</v>
      </c>
      <c r="B252" t="s">
        <v>36</v>
      </c>
      <c r="C252">
        <v>157500</v>
      </c>
      <c r="D252" t="s">
        <v>44</v>
      </c>
      <c r="E252" t="s">
        <v>20</v>
      </c>
      <c r="F252" t="s">
        <v>32</v>
      </c>
      <c r="G252" t="s">
        <v>22</v>
      </c>
      <c r="H252" t="s">
        <v>23</v>
      </c>
      <c r="I252" t="s">
        <v>24</v>
      </c>
      <c r="J252">
        <v>155241</v>
      </c>
      <c r="K252">
        <v>15525</v>
      </c>
      <c r="L252" t="s">
        <v>51</v>
      </c>
      <c r="M252" t="s">
        <v>26</v>
      </c>
      <c r="N252" t="s">
        <v>27</v>
      </c>
      <c r="O252" t="s">
        <v>35</v>
      </c>
      <c r="P252" t="s">
        <v>26</v>
      </c>
      <c r="Q252">
        <v>0</v>
      </c>
    </row>
    <row r="253" spans="1:17" x14ac:dyDescent="0.25">
      <c r="A253" t="s">
        <v>17</v>
      </c>
      <c r="B253" t="s">
        <v>36</v>
      </c>
      <c r="C253">
        <v>157500</v>
      </c>
      <c r="D253" t="s">
        <v>44</v>
      </c>
      <c r="E253" t="s">
        <v>20</v>
      </c>
      <c r="F253" t="s">
        <v>32</v>
      </c>
      <c r="G253" t="s">
        <v>22</v>
      </c>
      <c r="H253" t="s">
        <v>23</v>
      </c>
      <c r="I253" t="s">
        <v>24</v>
      </c>
      <c r="J253">
        <v>81720</v>
      </c>
      <c r="K253">
        <v>0</v>
      </c>
      <c r="L253" t="s">
        <v>43</v>
      </c>
      <c r="M253" t="s">
        <v>26</v>
      </c>
      <c r="N253" t="s">
        <v>58</v>
      </c>
      <c r="O253" t="s">
        <v>35</v>
      </c>
      <c r="P253" t="s">
        <v>64</v>
      </c>
      <c r="Q253">
        <v>1</v>
      </c>
    </row>
    <row r="254" spans="1:17" x14ac:dyDescent="0.25">
      <c r="A254" t="s">
        <v>17</v>
      </c>
      <c r="B254" t="s">
        <v>36</v>
      </c>
      <c r="C254">
        <v>157500</v>
      </c>
      <c r="D254" t="s">
        <v>44</v>
      </c>
      <c r="E254" t="s">
        <v>20</v>
      </c>
      <c r="F254" t="s">
        <v>32</v>
      </c>
      <c r="G254" t="s">
        <v>22</v>
      </c>
      <c r="H254" t="s">
        <v>23</v>
      </c>
      <c r="I254" t="s">
        <v>24</v>
      </c>
      <c r="J254">
        <v>29587.5</v>
      </c>
      <c r="K254">
        <v>2961</v>
      </c>
      <c r="L254" t="s">
        <v>43</v>
      </c>
      <c r="M254" t="s">
        <v>26</v>
      </c>
      <c r="N254" t="s">
        <v>58</v>
      </c>
      <c r="O254" t="s">
        <v>35</v>
      </c>
      <c r="P254" t="s">
        <v>60</v>
      </c>
      <c r="Q254">
        <v>1</v>
      </c>
    </row>
    <row r="255" spans="1:17" x14ac:dyDescent="0.25">
      <c r="A255" t="s">
        <v>17</v>
      </c>
      <c r="B255" t="s">
        <v>36</v>
      </c>
      <c r="C255">
        <v>157500</v>
      </c>
      <c r="D255" t="s">
        <v>44</v>
      </c>
      <c r="E255" t="s">
        <v>20</v>
      </c>
      <c r="F255" t="s">
        <v>32</v>
      </c>
      <c r="G255" t="s">
        <v>22</v>
      </c>
      <c r="H255" t="s">
        <v>23</v>
      </c>
      <c r="I255" t="s">
        <v>24</v>
      </c>
      <c r="J255">
        <v>112500</v>
      </c>
      <c r="K255">
        <v>0</v>
      </c>
      <c r="L255" t="s">
        <v>34</v>
      </c>
      <c r="M255" t="s">
        <v>26</v>
      </c>
      <c r="N255" t="s">
        <v>27</v>
      </c>
      <c r="O255" t="s">
        <v>35</v>
      </c>
      <c r="P255" t="s">
        <v>26</v>
      </c>
      <c r="Q255">
        <v>0</v>
      </c>
    </row>
    <row r="256" spans="1:17" x14ac:dyDescent="0.25">
      <c r="A256" t="s">
        <v>29</v>
      </c>
      <c r="B256" t="s">
        <v>18</v>
      </c>
      <c r="C256">
        <v>157500</v>
      </c>
      <c r="D256" t="s">
        <v>19</v>
      </c>
      <c r="E256" t="s">
        <v>20</v>
      </c>
      <c r="F256" t="s">
        <v>39</v>
      </c>
      <c r="G256" t="s">
        <v>22</v>
      </c>
      <c r="H256" t="s">
        <v>37</v>
      </c>
      <c r="I256" t="s">
        <v>66</v>
      </c>
      <c r="J256">
        <v>45000</v>
      </c>
      <c r="K256">
        <v>0</v>
      </c>
      <c r="L256" t="s">
        <v>25</v>
      </c>
      <c r="M256" t="s">
        <v>28</v>
      </c>
      <c r="N256" t="s">
        <v>27</v>
      </c>
      <c r="O256" t="s">
        <v>35</v>
      </c>
      <c r="P256" t="s">
        <v>26</v>
      </c>
      <c r="Q256">
        <v>0</v>
      </c>
    </row>
    <row r="257" spans="1:17" x14ac:dyDescent="0.25">
      <c r="A257" t="s">
        <v>17</v>
      </c>
      <c r="B257" t="s">
        <v>18</v>
      </c>
      <c r="C257">
        <v>180000</v>
      </c>
      <c r="D257" t="s">
        <v>44</v>
      </c>
      <c r="E257" t="s">
        <v>31</v>
      </c>
      <c r="F257" t="s">
        <v>32</v>
      </c>
      <c r="G257" t="s">
        <v>22</v>
      </c>
      <c r="H257" t="s">
        <v>53</v>
      </c>
      <c r="I257" t="s">
        <v>24</v>
      </c>
      <c r="J257">
        <v>85810.5</v>
      </c>
      <c r="K257">
        <v>17163</v>
      </c>
      <c r="L257" t="s">
        <v>51</v>
      </c>
      <c r="M257" t="s">
        <v>26</v>
      </c>
      <c r="N257" t="s">
        <v>27</v>
      </c>
      <c r="O257" t="s">
        <v>35</v>
      </c>
      <c r="P257" t="s">
        <v>26</v>
      </c>
      <c r="Q257">
        <v>0</v>
      </c>
    </row>
    <row r="258" spans="1:17" x14ac:dyDescent="0.25">
      <c r="A258" t="s">
        <v>29</v>
      </c>
      <c r="B258" t="s">
        <v>18</v>
      </c>
      <c r="C258">
        <v>202500</v>
      </c>
      <c r="D258" t="s">
        <v>19</v>
      </c>
      <c r="E258" t="s">
        <v>31</v>
      </c>
      <c r="F258" t="s">
        <v>69</v>
      </c>
      <c r="G258" t="s">
        <v>22</v>
      </c>
      <c r="H258" t="s">
        <v>33</v>
      </c>
      <c r="I258" t="s">
        <v>24</v>
      </c>
      <c r="J258">
        <v>32400</v>
      </c>
      <c r="K258">
        <v>0</v>
      </c>
      <c r="L258" t="s">
        <v>25</v>
      </c>
      <c r="M258" t="s">
        <v>26</v>
      </c>
      <c r="N258" t="s">
        <v>27</v>
      </c>
      <c r="O258" t="s">
        <v>35</v>
      </c>
      <c r="P258" t="s">
        <v>26</v>
      </c>
      <c r="Q258">
        <v>0</v>
      </c>
    </row>
    <row r="259" spans="1:17" x14ac:dyDescent="0.25">
      <c r="A259" t="s">
        <v>29</v>
      </c>
      <c r="B259" t="s">
        <v>18</v>
      </c>
      <c r="C259">
        <v>202500</v>
      </c>
      <c r="D259" t="s">
        <v>19</v>
      </c>
      <c r="E259" t="s">
        <v>31</v>
      </c>
      <c r="F259" t="s">
        <v>69</v>
      </c>
      <c r="G259" t="s">
        <v>22</v>
      </c>
      <c r="H259" t="s">
        <v>33</v>
      </c>
      <c r="I259" t="s">
        <v>24</v>
      </c>
      <c r="J259">
        <v>36850.5</v>
      </c>
      <c r="K259">
        <v>0</v>
      </c>
      <c r="L259" t="s">
        <v>42</v>
      </c>
      <c r="M259" t="s">
        <v>26</v>
      </c>
      <c r="N259" t="s">
        <v>76</v>
      </c>
      <c r="O259" t="s">
        <v>35</v>
      </c>
      <c r="P259" t="s">
        <v>77</v>
      </c>
      <c r="Q259">
        <v>0</v>
      </c>
    </row>
    <row r="260" spans="1:17" x14ac:dyDescent="0.25">
      <c r="A260" t="s">
        <v>17</v>
      </c>
      <c r="B260" t="s">
        <v>18</v>
      </c>
      <c r="C260">
        <v>225000</v>
      </c>
      <c r="D260" t="s">
        <v>44</v>
      </c>
      <c r="E260" t="s">
        <v>20</v>
      </c>
      <c r="F260" t="s">
        <v>32</v>
      </c>
      <c r="G260" t="s">
        <v>22</v>
      </c>
      <c r="H260" t="s">
        <v>41</v>
      </c>
      <c r="I260" t="s">
        <v>24</v>
      </c>
      <c r="J260">
        <v>262296</v>
      </c>
      <c r="K260">
        <v>0</v>
      </c>
      <c r="L260" t="s">
        <v>43</v>
      </c>
      <c r="M260" t="s">
        <v>26</v>
      </c>
      <c r="N260" t="s">
        <v>27</v>
      </c>
      <c r="O260" t="s">
        <v>35</v>
      </c>
      <c r="P260" t="s">
        <v>26</v>
      </c>
      <c r="Q260">
        <v>0</v>
      </c>
    </row>
    <row r="261" spans="1:17" x14ac:dyDescent="0.25">
      <c r="A261" t="s">
        <v>29</v>
      </c>
      <c r="B261" t="s">
        <v>18</v>
      </c>
      <c r="C261">
        <v>49500</v>
      </c>
      <c r="D261" t="s">
        <v>19</v>
      </c>
      <c r="E261" t="s">
        <v>20</v>
      </c>
      <c r="F261" t="s">
        <v>32</v>
      </c>
      <c r="G261" t="s">
        <v>22</v>
      </c>
      <c r="H261" t="s">
        <v>89</v>
      </c>
      <c r="I261" t="s">
        <v>66</v>
      </c>
      <c r="J261">
        <v>45000</v>
      </c>
      <c r="K261">
        <v>0</v>
      </c>
      <c r="L261" t="s">
        <v>38</v>
      </c>
      <c r="M261" t="s">
        <v>28</v>
      </c>
      <c r="N261" t="s">
        <v>27</v>
      </c>
      <c r="O261" t="s">
        <v>35</v>
      </c>
      <c r="P261" t="s">
        <v>26</v>
      </c>
      <c r="Q261">
        <v>0</v>
      </c>
    </row>
    <row r="262" spans="1:17" x14ac:dyDescent="0.25">
      <c r="A262" t="s">
        <v>29</v>
      </c>
      <c r="B262" t="s">
        <v>18</v>
      </c>
      <c r="C262">
        <v>202500</v>
      </c>
      <c r="D262" t="s">
        <v>44</v>
      </c>
      <c r="E262" t="s">
        <v>31</v>
      </c>
      <c r="F262" t="s">
        <v>39</v>
      </c>
      <c r="G262" t="s">
        <v>22</v>
      </c>
      <c r="H262" t="s">
        <v>23</v>
      </c>
      <c r="I262" t="s">
        <v>24</v>
      </c>
      <c r="J262">
        <v>36760.5</v>
      </c>
      <c r="K262">
        <v>3676.5</v>
      </c>
      <c r="L262" t="s">
        <v>34</v>
      </c>
      <c r="M262" t="s">
        <v>26</v>
      </c>
      <c r="N262" t="s">
        <v>27</v>
      </c>
      <c r="O262" t="s">
        <v>35</v>
      </c>
      <c r="P262" t="s">
        <v>26</v>
      </c>
      <c r="Q262">
        <v>0</v>
      </c>
    </row>
    <row r="263" spans="1:17" x14ac:dyDescent="0.25">
      <c r="A263" t="s">
        <v>29</v>
      </c>
      <c r="B263" t="s">
        <v>36</v>
      </c>
      <c r="C263">
        <v>90000</v>
      </c>
      <c r="D263" t="s">
        <v>46</v>
      </c>
      <c r="E263" t="s">
        <v>20</v>
      </c>
      <c r="F263" t="s">
        <v>39</v>
      </c>
      <c r="G263" t="s">
        <v>22</v>
      </c>
      <c r="H263" t="s">
        <v>28</v>
      </c>
      <c r="I263" t="s">
        <v>24</v>
      </c>
      <c r="J263">
        <v>27396</v>
      </c>
      <c r="K263">
        <v>5400</v>
      </c>
      <c r="L263" t="s">
        <v>34</v>
      </c>
      <c r="M263" t="s">
        <v>26</v>
      </c>
      <c r="N263" t="s">
        <v>27</v>
      </c>
      <c r="O263" t="s">
        <v>35</v>
      </c>
      <c r="P263" t="s">
        <v>26</v>
      </c>
      <c r="Q263">
        <v>0</v>
      </c>
    </row>
    <row r="264" spans="1:17" x14ac:dyDescent="0.25">
      <c r="A264" t="s">
        <v>29</v>
      </c>
      <c r="B264" t="s">
        <v>18</v>
      </c>
      <c r="C264">
        <v>180000</v>
      </c>
      <c r="D264" t="s">
        <v>19</v>
      </c>
      <c r="E264" t="s">
        <v>20</v>
      </c>
      <c r="F264" t="s">
        <v>69</v>
      </c>
      <c r="G264" t="s">
        <v>22</v>
      </c>
      <c r="H264" t="s">
        <v>49</v>
      </c>
      <c r="I264" t="s">
        <v>24</v>
      </c>
      <c r="J264">
        <v>38385</v>
      </c>
      <c r="K264">
        <v>3838.5</v>
      </c>
      <c r="L264" t="s">
        <v>38</v>
      </c>
      <c r="M264" t="s">
        <v>26</v>
      </c>
      <c r="N264" t="s">
        <v>27</v>
      </c>
      <c r="O264" t="s">
        <v>35</v>
      </c>
      <c r="P264" t="s">
        <v>26</v>
      </c>
      <c r="Q264">
        <v>0</v>
      </c>
    </row>
    <row r="265" spans="1:17" x14ac:dyDescent="0.25">
      <c r="A265" t="s">
        <v>29</v>
      </c>
      <c r="B265" t="s">
        <v>18</v>
      </c>
      <c r="C265">
        <v>180000</v>
      </c>
      <c r="D265" t="s">
        <v>19</v>
      </c>
      <c r="E265" t="s">
        <v>20</v>
      </c>
      <c r="F265" t="s">
        <v>69</v>
      </c>
      <c r="G265" t="s">
        <v>22</v>
      </c>
      <c r="H265" t="s">
        <v>49</v>
      </c>
      <c r="I265" t="s">
        <v>24</v>
      </c>
      <c r="J265">
        <v>101160</v>
      </c>
      <c r="K265">
        <v>20232</v>
      </c>
      <c r="L265" t="s">
        <v>51</v>
      </c>
      <c r="M265" t="s">
        <v>26</v>
      </c>
      <c r="N265" t="s">
        <v>27</v>
      </c>
      <c r="O265" t="s">
        <v>35</v>
      </c>
      <c r="P265" t="s">
        <v>26</v>
      </c>
      <c r="Q265">
        <v>0</v>
      </c>
    </row>
    <row r="266" spans="1:17" x14ac:dyDescent="0.25">
      <c r="A266" t="s">
        <v>29</v>
      </c>
      <c r="B266" t="s">
        <v>18</v>
      </c>
      <c r="C266">
        <v>180000</v>
      </c>
      <c r="D266" t="s">
        <v>19</v>
      </c>
      <c r="E266" t="s">
        <v>20</v>
      </c>
      <c r="F266" t="s">
        <v>69</v>
      </c>
      <c r="G266" t="s">
        <v>22</v>
      </c>
      <c r="H266" t="s">
        <v>49</v>
      </c>
      <c r="I266" t="s">
        <v>24</v>
      </c>
      <c r="J266">
        <v>97789.5</v>
      </c>
      <c r="K266">
        <v>0</v>
      </c>
      <c r="L266" t="s">
        <v>25</v>
      </c>
      <c r="M266" t="s">
        <v>26</v>
      </c>
      <c r="N266" t="s">
        <v>27</v>
      </c>
      <c r="O266" t="s">
        <v>35</v>
      </c>
      <c r="P266" t="s">
        <v>26</v>
      </c>
      <c r="Q266">
        <v>0</v>
      </c>
    </row>
    <row r="267" spans="1:17" x14ac:dyDescent="0.25">
      <c r="A267" t="s">
        <v>17</v>
      </c>
      <c r="B267" t="s">
        <v>36</v>
      </c>
      <c r="C267">
        <v>337500</v>
      </c>
      <c r="D267" t="s">
        <v>44</v>
      </c>
      <c r="E267" t="s">
        <v>31</v>
      </c>
      <c r="F267" t="s">
        <v>21</v>
      </c>
      <c r="G267" t="s">
        <v>22</v>
      </c>
      <c r="H267" t="s">
        <v>23</v>
      </c>
      <c r="I267" t="s">
        <v>24</v>
      </c>
      <c r="J267">
        <v>51826.5</v>
      </c>
      <c r="K267">
        <v>5184</v>
      </c>
      <c r="L267" t="s">
        <v>43</v>
      </c>
      <c r="M267" t="s">
        <v>26</v>
      </c>
      <c r="N267" t="s">
        <v>27</v>
      </c>
      <c r="O267" t="s">
        <v>35</v>
      </c>
      <c r="P267" t="s">
        <v>26</v>
      </c>
      <c r="Q267">
        <v>0</v>
      </c>
    </row>
    <row r="268" spans="1:17" x14ac:dyDescent="0.25">
      <c r="A268" t="s">
        <v>29</v>
      </c>
      <c r="B268" t="s">
        <v>18</v>
      </c>
      <c r="C268">
        <v>225000</v>
      </c>
      <c r="D268" t="s">
        <v>44</v>
      </c>
      <c r="E268" t="s">
        <v>31</v>
      </c>
      <c r="F268" t="s">
        <v>21</v>
      </c>
      <c r="G268" t="s">
        <v>22</v>
      </c>
      <c r="H268" t="s">
        <v>49</v>
      </c>
      <c r="I268" t="s">
        <v>24</v>
      </c>
      <c r="J268">
        <v>108513</v>
      </c>
      <c r="K268">
        <v>0</v>
      </c>
      <c r="L268" t="s">
        <v>42</v>
      </c>
      <c r="M268" t="s">
        <v>26</v>
      </c>
      <c r="N268" t="s">
        <v>27</v>
      </c>
      <c r="O268" t="s">
        <v>35</v>
      </c>
      <c r="P268" t="s">
        <v>26</v>
      </c>
      <c r="Q268">
        <v>0</v>
      </c>
    </row>
    <row r="269" spans="1:17" x14ac:dyDescent="0.25">
      <c r="A269" t="s">
        <v>29</v>
      </c>
      <c r="B269" t="s">
        <v>18</v>
      </c>
      <c r="C269">
        <v>225000</v>
      </c>
      <c r="D269" t="s">
        <v>44</v>
      </c>
      <c r="E269" t="s">
        <v>31</v>
      </c>
      <c r="F269" t="s">
        <v>21</v>
      </c>
      <c r="G269" t="s">
        <v>22</v>
      </c>
      <c r="H269" t="s">
        <v>49</v>
      </c>
      <c r="I269" t="s">
        <v>24</v>
      </c>
      <c r="J269">
        <v>89253</v>
      </c>
      <c r="K269">
        <v>0</v>
      </c>
      <c r="L269" t="s">
        <v>51</v>
      </c>
      <c r="M269" t="s">
        <v>26</v>
      </c>
      <c r="N269" t="s">
        <v>27</v>
      </c>
      <c r="O269" t="s">
        <v>35</v>
      </c>
      <c r="P269" t="s">
        <v>26</v>
      </c>
      <c r="Q269">
        <v>0</v>
      </c>
    </row>
    <row r="270" spans="1:17" x14ac:dyDescent="0.25">
      <c r="A270" t="s">
        <v>29</v>
      </c>
      <c r="B270" t="s">
        <v>18</v>
      </c>
      <c r="C270">
        <v>225000</v>
      </c>
      <c r="D270" t="s">
        <v>44</v>
      </c>
      <c r="E270" t="s">
        <v>20</v>
      </c>
      <c r="F270" t="s">
        <v>54</v>
      </c>
      <c r="G270" t="s">
        <v>22</v>
      </c>
      <c r="H270" t="s">
        <v>91</v>
      </c>
      <c r="I270" t="s">
        <v>24</v>
      </c>
      <c r="J270">
        <v>44955</v>
      </c>
      <c r="K270">
        <v>4495.5</v>
      </c>
      <c r="L270" t="s">
        <v>51</v>
      </c>
      <c r="M270" t="s">
        <v>26</v>
      </c>
      <c r="N270" t="s">
        <v>27</v>
      </c>
      <c r="O270" t="s">
        <v>28</v>
      </c>
      <c r="P270" t="s">
        <v>26</v>
      </c>
      <c r="Q270">
        <v>0</v>
      </c>
    </row>
    <row r="271" spans="1:17" x14ac:dyDescent="0.25">
      <c r="A271" t="s">
        <v>29</v>
      </c>
      <c r="B271" t="s">
        <v>36</v>
      </c>
      <c r="C271">
        <v>225000</v>
      </c>
      <c r="D271" t="s">
        <v>44</v>
      </c>
      <c r="E271" t="s">
        <v>20</v>
      </c>
      <c r="F271" t="s">
        <v>32</v>
      </c>
      <c r="G271" t="s">
        <v>22</v>
      </c>
      <c r="H271" t="s">
        <v>23</v>
      </c>
      <c r="I271" t="s">
        <v>24</v>
      </c>
      <c r="J271">
        <v>61150.5</v>
      </c>
      <c r="K271">
        <v>0</v>
      </c>
      <c r="L271" t="s">
        <v>34</v>
      </c>
      <c r="M271" t="s">
        <v>26</v>
      </c>
      <c r="N271" t="s">
        <v>27</v>
      </c>
      <c r="O271" t="s">
        <v>35</v>
      </c>
      <c r="P271" t="s">
        <v>26</v>
      </c>
      <c r="Q271">
        <v>0</v>
      </c>
    </row>
    <row r="272" spans="1:17" x14ac:dyDescent="0.25">
      <c r="A272" t="s">
        <v>29</v>
      </c>
      <c r="B272" t="s">
        <v>36</v>
      </c>
      <c r="C272">
        <v>225000</v>
      </c>
      <c r="D272" t="s">
        <v>44</v>
      </c>
      <c r="E272" t="s">
        <v>20</v>
      </c>
      <c r="F272" t="s">
        <v>32</v>
      </c>
      <c r="G272" t="s">
        <v>22</v>
      </c>
      <c r="H272" t="s">
        <v>23</v>
      </c>
      <c r="I272" t="s">
        <v>24</v>
      </c>
      <c r="J272">
        <v>61605</v>
      </c>
      <c r="K272">
        <v>3699</v>
      </c>
      <c r="L272" t="s">
        <v>42</v>
      </c>
      <c r="M272" t="s">
        <v>26</v>
      </c>
      <c r="N272" t="s">
        <v>58</v>
      </c>
      <c r="O272" t="s">
        <v>35</v>
      </c>
      <c r="P272" t="s">
        <v>59</v>
      </c>
      <c r="Q272">
        <v>1</v>
      </c>
    </row>
    <row r="273" spans="1:17" x14ac:dyDescent="0.25">
      <c r="A273" t="s">
        <v>17</v>
      </c>
      <c r="B273" t="s">
        <v>36</v>
      </c>
      <c r="C273">
        <v>157500</v>
      </c>
      <c r="D273" t="s">
        <v>44</v>
      </c>
      <c r="E273" t="s">
        <v>20</v>
      </c>
      <c r="F273" t="s">
        <v>32</v>
      </c>
      <c r="G273" t="s">
        <v>62</v>
      </c>
      <c r="H273" t="s">
        <v>49</v>
      </c>
      <c r="I273" t="s">
        <v>24</v>
      </c>
      <c r="J273">
        <v>56457</v>
      </c>
      <c r="K273">
        <v>0</v>
      </c>
      <c r="L273" t="s">
        <v>25</v>
      </c>
      <c r="M273" t="s">
        <v>26</v>
      </c>
      <c r="N273" t="s">
        <v>76</v>
      </c>
      <c r="O273" t="s">
        <v>35</v>
      </c>
      <c r="P273" t="s">
        <v>77</v>
      </c>
      <c r="Q273">
        <v>0</v>
      </c>
    </row>
    <row r="274" spans="1:17" x14ac:dyDescent="0.25">
      <c r="A274" t="s">
        <v>17</v>
      </c>
      <c r="B274" t="s">
        <v>36</v>
      </c>
      <c r="C274">
        <v>157500</v>
      </c>
      <c r="D274" t="s">
        <v>44</v>
      </c>
      <c r="E274" t="s">
        <v>20</v>
      </c>
      <c r="F274" t="s">
        <v>32</v>
      </c>
      <c r="G274" t="s">
        <v>62</v>
      </c>
      <c r="H274" t="s">
        <v>49</v>
      </c>
      <c r="I274" t="s">
        <v>24</v>
      </c>
      <c r="J274">
        <v>56457</v>
      </c>
      <c r="K274">
        <v>2835</v>
      </c>
      <c r="L274" t="s">
        <v>25</v>
      </c>
      <c r="M274" t="s">
        <v>26</v>
      </c>
      <c r="N274" t="s">
        <v>27</v>
      </c>
      <c r="O274" t="s">
        <v>35</v>
      </c>
      <c r="P274" t="s">
        <v>26</v>
      </c>
      <c r="Q274">
        <v>0</v>
      </c>
    </row>
    <row r="275" spans="1:17" x14ac:dyDescent="0.25">
      <c r="A275" t="s">
        <v>29</v>
      </c>
      <c r="B275" t="s">
        <v>18</v>
      </c>
      <c r="C275">
        <v>112500</v>
      </c>
      <c r="D275" t="s">
        <v>19</v>
      </c>
      <c r="E275" t="s">
        <v>20</v>
      </c>
      <c r="F275" t="s">
        <v>32</v>
      </c>
      <c r="G275" t="s">
        <v>22</v>
      </c>
      <c r="H275" t="s">
        <v>49</v>
      </c>
      <c r="I275" t="s">
        <v>24</v>
      </c>
      <c r="J275">
        <v>95395.5</v>
      </c>
      <c r="K275">
        <v>27000</v>
      </c>
      <c r="L275" t="s">
        <v>34</v>
      </c>
      <c r="M275" t="s">
        <v>26</v>
      </c>
      <c r="N275" t="s">
        <v>27</v>
      </c>
      <c r="O275" t="s">
        <v>35</v>
      </c>
      <c r="P275" t="s">
        <v>26</v>
      </c>
      <c r="Q275">
        <v>0</v>
      </c>
    </row>
    <row r="276" spans="1:17" x14ac:dyDescent="0.25">
      <c r="A276" t="s">
        <v>29</v>
      </c>
      <c r="B276" t="s">
        <v>18</v>
      </c>
      <c r="C276">
        <v>112500</v>
      </c>
      <c r="D276" t="s">
        <v>19</v>
      </c>
      <c r="E276" t="s">
        <v>20</v>
      </c>
      <c r="F276" t="s">
        <v>32</v>
      </c>
      <c r="G276" t="s">
        <v>22</v>
      </c>
      <c r="H276" t="s">
        <v>49</v>
      </c>
      <c r="I276" t="s">
        <v>24</v>
      </c>
      <c r="J276">
        <v>132808.5</v>
      </c>
      <c r="K276">
        <v>0</v>
      </c>
      <c r="L276" t="s">
        <v>43</v>
      </c>
      <c r="M276" t="s">
        <v>26</v>
      </c>
      <c r="N276" t="s">
        <v>27</v>
      </c>
      <c r="O276" t="s">
        <v>35</v>
      </c>
      <c r="P276" t="s">
        <v>26</v>
      </c>
      <c r="Q276">
        <v>0</v>
      </c>
    </row>
    <row r="277" spans="1:17" x14ac:dyDescent="0.25">
      <c r="A277" t="s">
        <v>17</v>
      </c>
      <c r="B277" t="s">
        <v>18</v>
      </c>
      <c r="C277">
        <v>292500</v>
      </c>
      <c r="D277" t="s">
        <v>19</v>
      </c>
      <c r="E277" t="s">
        <v>31</v>
      </c>
      <c r="F277" t="s">
        <v>21</v>
      </c>
      <c r="G277" t="s">
        <v>22</v>
      </c>
      <c r="H277" t="s">
        <v>49</v>
      </c>
      <c r="I277" t="s">
        <v>24</v>
      </c>
      <c r="J277">
        <v>53352</v>
      </c>
      <c r="K277">
        <v>10674</v>
      </c>
      <c r="L277" t="s">
        <v>38</v>
      </c>
      <c r="M277" t="s">
        <v>26</v>
      </c>
      <c r="N277" t="s">
        <v>27</v>
      </c>
      <c r="O277" t="s">
        <v>35</v>
      </c>
      <c r="P277" t="s">
        <v>26</v>
      </c>
      <c r="Q277">
        <v>0</v>
      </c>
    </row>
    <row r="278" spans="1:17" x14ac:dyDescent="0.25">
      <c r="A278" t="s">
        <v>17</v>
      </c>
      <c r="B278" t="s">
        <v>18</v>
      </c>
      <c r="C278">
        <v>292500</v>
      </c>
      <c r="D278" t="s">
        <v>19</v>
      </c>
      <c r="E278" t="s">
        <v>31</v>
      </c>
      <c r="F278" t="s">
        <v>21</v>
      </c>
      <c r="G278" t="s">
        <v>22</v>
      </c>
      <c r="H278" t="s">
        <v>49</v>
      </c>
      <c r="I278" t="s">
        <v>24</v>
      </c>
      <c r="J278">
        <v>64750.5</v>
      </c>
      <c r="K278">
        <v>0</v>
      </c>
      <c r="L278" t="s">
        <v>51</v>
      </c>
      <c r="M278" t="s">
        <v>26</v>
      </c>
      <c r="N278" t="s">
        <v>76</v>
      </c>
      <c r="O278" t="s">
        <v>35</v>
      </c>
      <c r="P278" t="s">
        <v>77</v>
      </c>
      <c r="Q278">
        <v>0</v>
      </c>
    </row>
    <row r="279" spans="1:17" x14ac:dyDescent="0.25">
      <c r="A279" t="s">
        <v>17</v>
      </c>
      <c r="B279" t="s">
        <v>18</v>
      </c>
      <c r="C279">
        <v>292500</v>
      </c>
      <c r="D279" t="s">
        <v>19</v>
      </c>
      <c r="E279" t="s">
        <v>31</v>
      </c>
      <c r="F279" t="s">
        <v>21</v>
      </c>
      <c r="G279" t="s">
        <v>22</v>
      </c>
      <c r="H279" t="s">
        <v>49</v>
      </c>
      <c r="I279" t="s">
        <v>24</v>
      </c>
      <c r="J279">
        <v>53352</v>
      </c>
      <c r="K279">
        <v>0</v>
      </c>
      <c r="L279" t="s">
        <v>38</v>
      </c>
      <c r="M279" t="s">
        <v>26</v>
      </c>
      <c r="N279" t="s">
        <v>76</v>
      </c>
      <c r="O279" t="s">
        <v>35</v>
      </c>
      <c r="P279" t="s">
        <v>77</v>
      </c>
      <c r="Q279">
        <v>0</v>
      </c>
    </row>
    <row r="280" spans="1:17" x14ac:dyDescent="0.25">
      <c r="A280" t="s">
        <v>29</v>
      </c>
      <c r="B280" t="s">
        <v>18</v>
      </c>
      <c r="C280">
        <v>121500</v>
      </c>
      <c r="D280" t="s">
        <v>30</v>
      </c>
      <c r="E280" t="s">
        <v>20</v>
      </c>
      <c r="F280" t="s">
        <v>32</v>
      </c>
      <c r="G280" t="s">
        <v>73</v>
      </c>
      <c r="H280" t="s">
        <v>48</v>
      </c>
      <c r="I280" t="s">
        <v>66</v>
      </c>
      <c r="J280">
        <v>45000</v>
      </c>
      <c r="K280">
        <v>0</v>
      </c>
      <c r="L280" t="s">
        <v>25</v>
      </c>
      <c r="M280" t="s">
        <v>28</v>
      </c>
      <c r="N280" t="s">
        <v>27</v>
      </c>
      <c r="O280" t="s">
        <v>35</v>
      </c>
      <c r="P280" t="s">
        <v>26</v>
      </c>
      <c r="Q280">
        <v>0</v>
      </c>
    </row>
    <row r="281" spans="1:17" x14ac:dyDescent="0.25">
      <c r="A281" t="s">
        <v>29</v>
      </c>
      <c r="B281" t="s">
        <v>18</v>
      </c>
      <c r="C281">
        <v>157500</v>
      </c>
      <c r="D281" t="s">
        <v>19</v>
      </c>
      <c r="E281" t="s">
        <v>20</v>
      </c>
      <c r="F281" t="s">
        <v>32</v>
      </c>
      <c r="G281" t="s">
        <v>22</v>
      </c>
      <c r="H281" t="s">
        <v>68</v>
      </c>
      <c r="I281" t="s">
        <v>24</v>
      </c>
      <c r="J281">
        <v>31860</v>
      </c>
      <c r="K281">
        <v>3186</v>
      </c>
      <c r="L281" t="s">
        <v>25</v>
      </c>
      <c r="M281" t="s">
        <v>26</v>
      </c>
      <c r="N281" t="s">
        <v>27</v>
      </c>
      <c r="O281" t="s">
        <v>35</v>
      </c>
      <c r="P281" t="s">
        <v>26</v>
      </c>
      <c r="Q281">
        <v>0</v>
      </c>
    </row>
    <row r="282" spans="1:17" x14ac:dyDescent="0.25">
      <c r="A282" t="s">
        <v>29</v>
      </c>
      <c r="B282" t="s">
        <v>18</v>
      </c>
      <c r="C282">
        <v>157500</v>
      </c>
      <c r="D282" t="s">
        <v>19</v>
      </c>
      <c r="E282" t="s">
        <v>20</v>
      </c>
      <c r="F282" t="s">
        <v>32</v>
      </c>
      <c r="G282" t="s">
        <v>22</v>
      </c>
      <c r="H282" t="s">
        <v>68</v>
      </c>
      <c r="I282" t="s">
        <v>24</v>
      </c>
      <c r="J282">
        <v>18189</v>
      </c>
      <c r="K282">
        <v>0</v>
      </c>
      <c r="L282" t="s">
        <v>25</v>
      </c>
      <c r="M282" t="s">
        <v>26</v>
      </c>
      <c r="N282" t="s">
        <v>27</v>
      </c>
      <c r="O282" t="s">
        <v>28</v>
      </c>
      <c r="P282" t="s">
        <v>26</v>
      </c>
      <c r="Q282">
        <v>0</v>
      </c>
    </row>
    <row r="283" spans="1:17" x14ac:dyDescent="0.25">
      <c r="A283" t="s">
        <v>29</v>
      </c>
      <c r="B283" t="s">
        <v>18</v>
      </c>
      <c r="C283">
        <v>135000</v>
      </c>
      <c r="D283" t="s">
        <v>19</v>
      </c>
      <c r="E283" t="s">
        <v>20</v>
      </c>
      <c r="F283" t="s">
        <v>32</v>
      </c>
      <c r="G283" t="s">
        <v>22</v>
      </c>
      <c r="H283" t="s">
        <v>49</v>
      </c>
      <c r="I283" t="s">
        <v>24</v>
      </c>
      <c r="J283">
        <v>208120.5</v>
      </c>
      <c r="K283">
        <v>0</v>
      </c>
      <c r="L283" t="s">
        <v>38</v>
      </c>
      <c r="M283" t="s">
        <v>26</v>
      </c>
      <c r="N283" t="s">
        <v>58</v>
      </c>
      <c r="O283" t="s">
        <v>35</v>
      </c>
      <c r="P283" t="s">
        <v>59</v>
      </c>
      <c r="Q283">
        <v>1</v>
      </c>
    </row>
    <row r="284" spans="1:17" x14ac:dyDescent="0.25">
      <c r="A284" t="s">
        <v>29</v>
      </c>
      <c r="B284" t="s">
        <v>18</v>
      </c>
      <c r="C284">
        <v>135000</v>
      </c>
      <c r="D284" t="s">
        <v>19</v>
      </c>
      <c r="E284" t="s">
        <v>20</v>
      </c>
      <c r="F284" t="s">
        <v>32</v>
      </c>
      <c r="G284" t="s">
        <v>22</v>
      </c>
      <c r="H284" t="s">
        <v>49</v>
      </c>
      <c r="I284" t="s">
        <v>24</v>
      </c>
      <c r="J284">
        <v>214362</v>
      </c>
      <c r="K284">
        <v>21438</v>
      </c>
      <c r="L284" t="s">
        <v>34</v>
      </c>
      <c r="M284" t="s">
        <v>26</v>
      </c>
      <c r="N284" t="s">
        <v>27</v>
      </c>
      <c r="O284" t="s">
        <v>35</v>
      </c>
      <c r="P284" t="s">
        <v>26</v>
      </c>
      <c r="Q284">
        <v>0</v>
      </c>
    </row>
    <row r="285" spans="1:17" x14ac:dyDescent="0.25">
      <c r="A285" t="s">
        <v>29</v>
      </c>
      <c r="B285" t="s">
        <v>18</v>
      </c>
      <c r="C285">
        <v>135000</v>
      </c>
      <c r="D285" t="s">
        <v>19</v>
      </c>
      <c r="E285" t="s">
        <v>20</v>
      </c>
      <c r="F285" t="s">
        <v>32</v>
      </c>
      <c r="G285" t="s">
        <v>22</v>
      </c>
      <c r="H285" t="s">
        <v>49</v>
      </c>
      <c r="I285" t="s">
        <v>24</v>
      </c>
      <c r="J285">
        <v>91786.5</v>
      </c>
      <c r="K285">
        <v>0</v>
      </c>
      <c r="L285" t="s">
        <v>34</v>
      </c>
      <c r="M285" t="s">
        <v>26</v>
      </c>
      <c r="N285" t="s">
        <v>58</v>
      </c>
      <c r="O285" t="s">
        <v>35</v>
      </c>
      <c r="P285" t="s">
        <v>60</v>
      </c>
      <c r="Q285">
        <v>1</v>
      </c>
    </row>
    <row r="286" spans="1:17" x14ac:dyDescent="0.25">
      <c r="A286" t="s">
        <v>29</v>
      </c>
      <c r="B286" t="s">
        <v>18</v>
      </c>
      <c r="C286">
        <v>135000</v>
      </c>
      <c r="D286" t="s">
        <v>19</v>
      </c>
      <c r="E286" t="s">
        <v>20</v>
      </c>
      <c r="F286" t="s">
        <v>32</v>
      </c>
      <c r="G286" t="s">
        <v>22</v>
      </c>
      <c r="H286" t="s">
        <v>49</v>
      </c>
      <c r="I286" t="s">
        <v>24</v>
      </c>
      <c r="J286">
        <v>81918</v>
      </c>
      <c r="K286">
        <v>8194.5</v>
      </c>
      <c r="L286" t="s">
        <v>38</v>
      </c>
      <c r="M286" t="s">
        <v>26</v>
      </c>
      <c r="N286" t="s">
        <v>27</v>
      </c>
      <c r="O286" t="s">
        <v>35</v>
      </c>
      <c r="P286" t="s">
        <v>26</v>
      </c>
      <c r="Q286">
        <v>0</v>
      </c>
    </row>
    <row r="287" spans="1:17" x14ac:dyDescent="0.25">
      <c r="A287" t="s">
        <v>17</v>
      </c>
      <c r="B287" t="s">
        <v>36</v>
      </c>
      <c r="C287">
        <v>108000</v>
      </c>
      <c r="D287" t="s">
        <v>44</v>
      </c>
      <c r="E287" t="s">
        <v>20</v>
      </c>
      <c r="F287" t="s">
        <v>32</v>
      </c>
      <c r="G287" t="s">
        <v>22</v>
      </c>
      <c r="H287" t="s">
        <v>89</v>
      </c>
      <c r="I287" t="s">
        <v>24</v>
      </c>
      <c r="J287">
        <v>102762</v>
      </c>
      <c r="K287">
        <v>0</v>
      </c>
      <c r="L287" t="s">
        <v>25</v>
      </c>
      <c r="M287" t="s">
        <v>26</v>
      </c>
      <c r="N287" t="s">
        <v>27</v>
      </c>
      <c r="O287" t="s">
        <v>35</v>
      </c>
      <c r="P287" t="s">
        <v>26</v>
      </c>
      <c r="Q287">
        <v>0</v>
      </c>
    </row>
    <row r="288" spans="1:17" x14ac:dyDescent="0.25">
      <c r="A288" t="s">
        <v>29</v>
      </c>
      <c r="B288" t="s">
        <v>18</v>
      </c>
      <c r="C288">
        <v>216000</v>
      </c>
      <c r="D288" t="s">
        <v>19</v>
      </c>
      <c r="E288" t="s">
        <v>20</v>
      </c>
      <c r="F288" t="s">
        <v>32</v>
      </c>
      <c r="G288" t="s">
        <v>22</v>
      </c>
      <c r="H288" t="s">
        <v>65</v>
      </c>
      <c r="I288" t="s">
        <v>24</v>
      </c>
      <c r="J288">
        <v>30550.5</v>
      </c>
      <c r="K288">
        <v>0</v>
      </c>
      <c r="L288" t="s">
        <v>43</v>
      </c>
      <c r="M288" t="s">
        <v>26</v>
      </c>
      <c r="N288" t="s">
        <v>27</v>
      </c>
      <c r="O288" t="s">
        <v>35</v>
      </c>
      <c r="P288" t="s">
        <v>26</v>
      </c>
      <c r="Q288">
        <v>0</v>
      </c>
    </row>
    <row r="289" spans="1:17" x14ac:dyDescent="0.25">
      <c r="A289" t="s">
        <v>29</v>
      </c>
      <c r="B289" t="s">
        <v>18</v>
      </c>
      <c r="C289">
        <v>216000</v>
      </c>
      <c r="D289" t="s">
        <v>19</v>
      </c>
      <c r="E289" t="s">
        <v>20</v>
      </c>
      <c r="F289" t="s">
        <v>32</v>
      </c>
      <c r="G289" t="s">
        <v>22</v>
      </c>
      <c r="H289" t="s">
        <v>65</v>
      </c>
      <c r="I289" t="s">
        <v>24</v>
      </c>
      <c r="J289">
        <v>20349</v>
      </c>
      <c r="K289">
        <v>2349</v>
      </c>
      <c r="L289" t="s">
        <v>42</v>
      </c>
      <c r="M289" t="s">
        <v>26</v>
      </c>
      <c r="N289" t="s">
        <v>27</v>
      </c>
      <c r="O289" t="s">
        <v>35</v>
      </c>
      <c r="P289" t="s">
        <v>26</v>
      </c>
      <c r="Q289">
        <v>0</v>
      </c>
    </row>
    <row r="290" spans="1:17" x14ac:dyDescent="0.25">
      <c r="A290" t="s">
        <v>29</v>
      </c>
      <c r="B290" t="s">
        <v>18</v>
      </c>
      <c r="C290">
        <v>67500</v>
      </c>
      <c r="D290" t="s">
        <v>19</v>
      </c>
      <c r="E290" t="s">
        <v>20</v>
      </c>
      <c r="F290" t="s">
        <v>54</v>
      </c>
      <c r="G290" t="s">
        <v>62</v>
      </c>
      <c r="H290" t="s">
        <v>85</v>
      </c>
      <c r="I290" t="s">
        <v>24</v>
      </c>
      <c r="J290">
        <v>111465</v>
      </c>
      <c r="K290">
        <v>0</v>
      </c>
      <c r="L290" t="s">
        <v>34</v>
      </c>
      <c r="M290" t="s">
        <v>26</v>
      </c>
      <c r="N290" t="s">
        <v>27</v>
      </c>
      <c r="O290" t="s">
        <v>35</v>
      </c>
      <c r="P290" t="s">
        <v>26</v>
      </c>
      <c r="Q290">
        <v>0</v>
      </c>
    </row>
    <row r="291" spans="1:17" x14ac:dyDescent="0.25">
      <c r="A291" t="s">
        <v>29</v>
      </c>
      <c r="B291" t="s">
        <v>18</v>
      </c>
      <c r="C291">
        <v>144000</v>
      </c>
      <c r="D291" t="s">
        <v>19</v>
      </c>
      <c r="E291" t="s">
        <v>20</v>
      </c>
      <c r="F291" t="s">
        <v>39</v>
      </c>
      <c r="G291" t="s">
        <v>52</v>
      </c>
      <c r="H291" t="s">
        <v>92</v>
      </c>
      <c r="I291" t="s">
        <v>24</v>
      </c>
      <c r="J291">
        <v>127170</v>
      </c>
      <c r="K291">
        <v>85500</v>
      </c>
      <c r="L291" t="s">
        <v>25</v>
      </c>
      <c r="M291" t="s">
        <v>26</v>
      </c>
      <c r="N291" t="s">
        <v>27</v>
      </c>
      <c r="O291" t="s">
        <v>35</v>
      </c>
      <c r="P291" t="s">
        <v>26</v>
      </c>
      <c r="Q291">
        <v>0</v>
      </c>
    </row>
    <row r="292" spans="1:17" x14ac:dyDescent="0.25">
      <c r="A292" t="s">
        <v>17</v>
      </c>
      <c r="B292" t="s">
        <v>36</v>
      </c>
      <c r="C292">
        <v>135000</v>
      </c>
      <c r="D292" t="s">
        <v>44</v>
      </c>
      <c r="E292" t="s">
        <v>20</v>
      </c>
      <c r="F292" t="s">
        <v>32</v>
      </c>
      <c r="G292" t="s">
        <v>22</v>
      </c>
      <c r="H292" t="s">
        <v>23</v>
      </c>
      <c r="I292" t="s">
        <v>24</v>
      </c>
      <c r="J292">
        <v>103144.5</v>
      </c>
      <c r="K292">
        <v>10318.5</v>
      </c>
      <c r="L292" t="s">
        <v>51</v>
      </c>
      <c r="M292" t="s">
        <v>26</v>
      </c>
      <c r="N292" t="s">
        <v>27</v>
      </c>
      <c r="O292" t="s">
        <v>35</v>
      </c>
      <c r="P292" t="s">
        <v>26</v>
      </c>
      <c r="Q292">
        <v>0</v>
      </c>
    </row>
    <row r="293" spans="1:17" x14ac:dyDescent="0.25">
      <c r="A293" t="s">
        <v>17</v>
      </c>
      <c r="B293" t="s">
        <v>36</v>
      </c>
      <c r="C293">
        <v>135000</v>
      </c>
      <c r="D293" t="s">
        <v>44</v>
      </c>
      <c r="E293" t="s">
        <v>20</v>
      </c>
      <c r="F293" t="s">
        <v>32</v>
      </c>
      <c r="G293" t="s">
        <v>22</v>
      </c>
      <c r="H293" t="s">
        <v>23</v>
      </c>
      <c r="I293" t="s">
        <v>24</v>
      </c>
      <c r="J293">
        <v>87970.5</v>
      </c>
      <c r="K293">
        <v>8797.5</v>
      </c>
      <c r="L293" t="s">
        <v>25</v>
      </c>
      <c r="M293" t="s">
        <v>26</v>
      </c>
      <c r="N293" t="s">
        <v>27</v>
      </c>
      <c r="O293" t="s">
        <v>28</v>
      </c>
      <c r="P293" t="s">
        <v>26</v>
      </c>
      <c r="Q293">
        <v>0</v>
      </c>
    </row>
    <row r="294" spans="1:17" x14ac:dyDescent="0.25">
      <c r="A294" t="s">
        <v>17</v>
      </c>
      <c r="B294" t="s">
        <v>36</v>
      </c>
      <c r="C294">
        <v>135000</v>
      </c>
      <c r="D294" t="s">
        <v>44</v>
      </c>
      <c r="E294" t="s">
        <v>20</v>
      </c>
      <c r="F294" t="s">
        <v>32</v>
      </c>
      <c r="G294" t="s">
        <v>22</v>
      </c>
      <c r="H294" t="s">
        <v>23</v>
      </c>
      <c r="I294" t="s">
        <v>24</v>
      </c>
      <c r="J294">
        <v>30685.5</v>
      </c>
      <c r="K294">
        <v>6138</v>
      </c>
      <c r="L294" t="s">
        <v>25</v>
      </c>
      <c r="M294" t="s">
        <v>26</v>
      </c>
      <c r="N294" t="s">
        <v>27</v>
      </c>
      <c r="O294" t="s">
        <v>35</v>
      </c>
      <c r="P294" t="s">
        <v>26</v>
      </c>
      <c r="Q294">
        <v>0</v>
      </c>
    </row>
    <row r="295" spans="1:17" x14ac:dyDescent="0.25">
      <c r="A295" t="s">
        <v>17</v>
      </c>
      <c r="B295" t="s">
        <v>36</v>
      </c>
      <c r="C295">
        <v>135000</v>
      </c>
      <c r="D295" t="s">
        <v>44</v>
      </c>
      <c r="E295" t="s">
        <v>20</v>
      </c>
      <c r="F295" t="s">
        <v>32</v>
      </c>
      <c r="G295" t="s">
        <v>22</v>
      </c>
      <c r="H295" t="s">
        <v>23</v>
      </c>
      <c r="I295" t="s">
        <v>24</v>
      </c>
      <c r="J295">
        <v>18360</v>
      </c>
      <c r="K295">
        <v>1836</v>
      </c>
      <c r="L295" t="s">
        <v>45</v>
      </c>
      <c r="M295" t="s">
        <v>26</v>
      </c>
      <c r="N295" t="s">
        <v>27</v>
      </c>
      <c r="O295" t="s">
        <v>35</v>
      </c>
      <c r="P295" t="s">
        <v>26</v>
      </c>
      <c r="Q295">
        <v>0</v>
      </c>
    </row>
    <row r="296" spans="1:17" x14ac:dyDescent="0.25">
      <c r="A296" t="s">
        <v>29</v>
      </c>
      <c r="B296" t="s">
        <v>18</v>
      </c>
      <c r="C296">
        <v>225000</v>
      </c>
      <c r="D296" t="s">
        <v>19</v>
      </c>
      <c r="E296" t="s">
        <v>20</v>
      </c>
      <c r="F296" t="s">
        <v>32</v>
      </c>
      <c r="G296" t="s">
        <v>22</v>
      </c>
      <c r="H296" t="s">
        <v>23</v>
      </c>
      <c r="I296" t="s">
        <v>24</v>
      </c>
      <c r="J296">
        <v>74686.5</v>
      </c>
      <c r="K296">
        <v>0</v>
      </c>
      <c r="L296" t="s">
        <v>38</v>
      </c>
      <c r="M296" t="s">
        <v>26</v>
      </c>
      <c r="N296" t="s">
        <v>76</v>
      </c>
      <c r="O296" t="s">
        <v>35</v>
      </c>
      <c r="P296" t="s">
        <v>77</v>
      </c>
      <c r="Q296">
        <v>0</v>
      </c>
    </row>
    <row r="297" spans="1:17" x14ac:dyDescent="0.25">
      <c r="A297" t="s">
        <v>29</v>
      </c>
      <c r="B297" t="s">
        <v>18</v>
      </c>
      <c r="C297">
        <v>225000</v>
      </c>
      <c r="D297" t="s">
        <v>19</v>
      </c>
      <c r="E297" t="s">
        <v>20</v>
      </c>
      <c r="F297" t="s">
        <v>32</v>
      </c>
      <c r="G297" t="s">
        <v>22</v>
      </c>
      <c r="H297" t="s">
        <v>23</v>
      </c>
      <c r="I297" t="s">
        <v>24</v>
      </c>
      <c r="J297">
        <v>47110.5</v>
      </c>
      <c r="K297">
        <v>0</v>
      </c>
      <c r="L297" t="s">
        <v>42</v>
      </c>
      <c r="M297" t="s">
        <v>26</v>
      </c>
      <c r="N297" t="s">
        <v>76</v>
      </c>
      <c r="O297" t="s">
        <v>35</v>
      </c>
      <c r="P297" t="s">
        <v>77</v>
      </c>
      <c r="Q297">
        <v>0</v>
      </c>
    </row>
    <row r="298" spans="1:17" x14ac:dyDescent="0.25">
      <c r="A298" t="s">
        <v>29</v>
      </c>
      <c r="B298" t="s">
        <v>18</v>
      </c>
      <c r="C298">
        <v>225000</v>
      </c>
      <c r="D298" t="s">
        <v>19</v>
      </c>
      <c r="E298" t="s">
        <v>20</v>
      </c>
      <c r="F298" t="s">
        <v>32</v>
      </c>
      <c r="G298" t="s">
        <v>22</v>
      </c>
      <c r="H298" t="s">
        <v>23</v>
      </c>
      <c r="I298" t="s">
        <v>24</v>
      </c>
      <c r="J298">
        <v>182731.5</v>
      </c>
      <c r="K298">
        <v>0</v>
      </c>
      <c r="L298" t="s">
        <v>51</v>
      </c>
      <c r="M298" t="s">
        <v>26</v>
      </c>
      <c r="N298" t="s">
        <v>27</v>
      </c>
      <c r="O298" t="s">
        <v>28</v>
      </c>
      <c r="P298" t="s">
        <v>26</v>
      </c>
      <c r="Q298">
        <v>0</v>
      </c>
    </row>
    <row r="299" spans="1:17" x14ac:dyDescent="0.25">
      <c r="A299" t="s">
        <v>29</v>
      </c>
      <c r="B299" t="s">
        <v>18</v>
      </c>
      <c r="C299">
        <v>225000</v>
      </c>
      <c r="D299" t="s">
        <v>19</v>
      </c>
      <c r="E299" t="s">
        <v>20</v>
      </c>
      <c r="F299" t="s">
        <v>32</v>
      </c>
      <c r="G299" t="s">
        <v>22</v>
      </c>
      <c r="H299" t="s">
        <v>23</v>
      </c>
      <c r="I299" t="s">
        <v>24</v>
      </c>
      <c r="J299">
        <v>33385.5</v>
      </c>
      <c r="K299">
        <v>3541.5</v>
      </c>
      <c r="L299" t="s">
        <v>25</v>
      </c>
      <c r="M299" t="s">
        <v>26</v>
      </c>
      <c r="N299" t="s">
        <v>58</v>
      </c>
      <c r="O299" t="s">
        <v>35</v>
      </c>
      <c r="P299" t="s">
        <v>59</v>
      </c>
      <c r="Q299">
        <v>1</v>
      </c>
    </row>
    <row r="300" spans="1:17" x14ac:dyDescent="0.25">
      <c r="A300" t="s">
        <v>29</v>
      </c>
      <c r="B300" t="s">
        <v>18</v>
      </c>
      <c r="C300">
        <v>225000</v>
      </c>
      <c r="D300" t="s">
        <v>19</v>
      </c>
      <c r="E300" t="s">
        <v>20</v>
      </c>
      <c r="F300" t="s">
        <v>32</v>
      </c>
      <c r="G300" t="s">
        <v>22</v>
      </c>
      <c r="H300" t="s">
        <v>23</v>
      </c>
      <c r="I300" t="s">
        <v>24</v>
      </c>
      <c r="J300">
        <v>33385.5</v>
      </c>
      <c r="K300">
        <v>3541.5</v>
      </c>
      <c r="L300" t="s">
        <v>25</v>
      </c>
      <c r="M300" t="s">
        <v>26</v>
      </c>
      <c r="N300" t="s">
        <v>58</v>
      </c>
      <c r="O300" t="s">
        <v>35</v>
      </c>
      <c r="P300" t="s">
        <v>59</v>
      </c>
      <c r="Q300">
        <v>1</v>
      </c>
    </row>
    <row r="301" spans="1:17" x14ac:dyDescent="0.25">
      <c r="A301" t="s">
        <v>17</v>
      </c>
      <c r="B301" t="s">
        <v>18</v>
      </c>
      <c r="C301">
        <v>135000</v>
      </c>
      <c r="D301" t="s">
        <v>19</v>
      </c>
      <c r="E301" t="s">
        <v>20</v>
      </c>
      <c r="F301" t="s">
        <v>32</v>
      </c>
      <c r="G301" t="s">
        <v>22</v>
      </c>
      <c r="H301" t="s">
        <v>55</v>
      </c>
      <c r="I301" t="s">
        <v>24</v>
      </c>
      <c r="J301">
        <v>29025</v>
      </c>
      <c r="K301">
        <v>2902.5</v>
      </c>
      <c r="L301" t="s">
        <v>38</v>
      </c>
      <c r="M301" t="s">
        <v>26</v>
      </c>
      <c r="N301" t="s">
        <v>27</v>
      </c>
      <c r="O301" t="s">
        <v>35</v>
      </c>
      <c r="P301" t="s">
        <v>26</v>
      </c>
      <c r="Q301">
        <v>0</v>
      </c>
    </row>
    <row r="302" spans="1:17" x14ac:dyDescent="0.25">
      <c r="A302" t="s">
        <v>17</v>
      </c>
      <c r="B302" t="s">
        <v>18</v>
      </c>
      <c r="C302">
        <v>135000</v>
      </c>
      <c r="D302" t="s">
        <v>19</v>
      </c>
      <c r="E302" t="s">
        <v>20</v>
      </c>
      <c r="F302" t="s">
        <v>32</v>
      </c>
      <c r="G302" t="s">
        <v>22</v>
      </c>
      <c r="H302" t="s">
        <v>55</v>
      </c>
      <c r="I302" t="s">
        <v>24</v>
      </c>
      <c r="J302">
        <v>104805</v>
      </c>
      <c r="K302">
        <v>0</v>
      </c>
      <c r="L302" t="s">
        <v>38</v>
      </c>
      <c r="M302" t="s">
        <v>26</v>
      </c>
      <c r="N302" t="s">
        <v>27</v>
      </c>
      <c r="O302" t="s">
        <v>28</v>
      </c>
      <c r="P302" t="s">
        <v>26</v>
      </c>
      <c r="Q302">
        <v>0</v>
      </c>
    </row>
    <row r="303" spans="1:17" x14ac:dyDescent="0.25">
      <c r="A303" t="s">
        <v>17</v>
      </c>
      <c r="B303" t="s">
        <v>36</v>
      </c>
      <c r="C303">
        <v>90000</v>
      </c>
      <c r="D303" t="s">
        <v>19</v>
      </c>
      <c r="E303" t="s">
        <v>20</v>
      </c>
      <c r="F303" t="s">
        <v>32</v>
      </c>
      <c r="G303" t="s">
        <v>73</v>
      </c>
      <c r="H303" t="s">
        <v>23</v>
      </c>
      <c r="I303" t="s">
        <v>24</v>
      </c>
      <c r="J303">
        <v>34110.9</v>
      </c>
      <c r="K303">
        <v>3411.9</v>
      </c>
      <c r="L303" t="s">
        <v>45</v>
      </c>
      <c r="M303" t="s">
        <v>26</v>
      </c>
      <c r="N303" t="s">
        <v>27</v>
      </c>
      <c r="O303" t="s">
        <v>35</v>
      </c>
      <c r="P303" t="s">
        <v>26</v>
      </c>
      <c r="Q303">
        <v>0</v>
      </c>
    </row>
    <row r="304" spans="1:17" x14ac:dyDescent="0.25">
      <c r="A304" t="s">
        <v>17</v>
      </c>
      <c r="B304" t="s">
        <v>18</v>
      </c>
      <c r="C304">
        <v>112500</v>
      </c>
      <c r="D304" t="s">
        <v>19</v>
      </c>
      <c r="E304" t="s">
        <v>31</v>
      </c>
      <c r="F304" t="s">
        <v>32</v>
      </c>
      <c r="G304" t="s">
        <v>22</v>
      </c>
      <c r="H304" t="s">
        <v>23</v>
      </c>
      <c r="I304" t="s">
        <v>24</v>
      </c>
      <c r="J304">
        <v>22815</v>
      </c>
      <c r="K304">
        <v>1800</v>
      </c>
      <c r="L304" t="s">
        <v>45</v>
      </c>
      <c r="M304" t="s">
        <v>26</v>
      </c>
      <c r="N304" t="s">
        <v>27</v>
      </c>
      <c r="O304" t="s">
        <v>35</v>
      </c>
      <c r="P304" t="s">
        <v>26</v>
      </c>
      <c r="Q304">
        <v>0</v>
      </c>
    </row>
    <row r="305" spans="1:17" x14ac:dyDescent="0.25">
      <c r="A305" t="s">
        <v>17</v>
      </c>
      <c r="B305" t="s">
        <v>18</v>
      </c>
      <c r="C305">
        <v>112500</v>
      </c>
      <c r="D305" t="s">
        <v>19</v>
      </c>
      <c r="E305" t="s">
        <v>31</v>
      </c>
      <c r="F305" t="s">
        <v>32</v>
      </c>
      <c r="G305" t="s">
        <v>22</v>
      </c>
      <c r="H305" t="s">
        <v>23</v>
      </c>
      <c r="I305" t="s">
        <v>24</v>
      </c>
      <c r="J305">
        <v>41503.5</v>
      </c>
      <c r="K305">
        <v>0</v>
      </c>
      <c r="L305" t="s">
        <v>38</v>
      </c>
      <c r="M305" t="s">
        <v>26</v>
      </c>
      <c r="N305" t="s">
        <v>27</v>
      </c>
      <c r="O305" t="s">
        <v>28</v>
      </c>
      <c r="P305" t="s">
        <v>26</v>
      </c>
      <c r="Q305">
        <v>0</v>
      </c>
    </row>
    <row r="306" spans="1:17" x14ac:dyDescent="0.25">
      <c r="A306" t="s">
        <v>17</v>
      </c>
      <c r="B306" t="s">
        <v>18</v>
      </c>
      <c r="C306">
        <v>112500</v>
      </c>
      <c r="D306" t="s">
        <v>19</v>
      </c>
      <c r="E306" t="s">
        <v>31</v>
      </c>
      <c r="F306" t="s">
        <v>32</v>
      </c>
      <c r="G306" t="s">
        <v>22</v>
      </c>
      <c r="H306" t="s">
        <v>23</v>
      </c>
      <c r="I306" t="s">
        <v>24</v>
      </c>
      <c r="J306">
        <v>46840.5</v>
      </c>
      <c r="K306">
        <v>0</v>
      </c>
      <c r="L306" t="s">
        <v>34</v>
      </c>
      <c r="M306" t="s">
        <v>26</v>
      </c>
      <c r="N306" t="s">
        <v>27</v>
      </c>
      <c r="O306" t="s">
        <v>35</v>
      </c>
      <c r="P306" t="s">
        <v>26</v>
      </c>
      <c r="Q306">
        <v>0</v>
      </c>
    </row>
    <row r="307" spans="1:17" x14ac:dyDescent="0.25">
      <c r="A307" t="s">
        <v>17</v>
      </c>
      <c r="B307" t="s">
        <v>18</v>
      </c>
      <c r="C307">
        <v>112500</v>
      </c>
      <c r="D307" t="s">
        <v>19</v>
      </c>
      <c r="E307" t="s">
        <v>31</v>
      </c>
      <c r="F307" t="s">
        <v>32</v>
      </c>
      <c r="G307" t="s">
        <v>22</v>
      </c>
      <c r="H307" t="s">
        <v>23</v>
      </c>
      <c r="I307" t="s">
        <v>24</v>
      </c>
      <c r="J307">
        <v>39780</v>
      </c>
      <c r="K307">
        <v>7965</v>
      </c>
      <c r="L307" t="s">
        <v>42</v>
      </c>
      <c r="M307" t="s">
        <v>26</v>
      </c>
      <c r="N307" t="s">
        <v>27</v>
      </c>
      <c r="O307" t="s">
        <v>35</v>
      </c>
      <c r="P307" t="s">
        <v>26</v>
      </c>
      <c r="Q307">
        <v>0</v>
      </c>
    </row>
    <row r="308" spans="1:17" x14ac:dyDescent="0.25">
      <c r="A308" t="s">
        <v>17</v>
      </c>
      <c r="B308" t="s">
        <v>18</v>
      </c>
      <c r="C308">
        <v>112500</v>
      </c>
      <c r="D308" t="s">
        <v>19</v>
      </c>
      <c r="E308" t="s">
        <v>31</v>
      </c>
      <c r="F308" t="s">
        <v>32</v>
      </c>
      <c r="G308" t="s">
        <v>22</v>
      </c>
      <c r="H308" t="s">
        <v>23</v>
      </c>
      <c r="I308" t="s">
        <v>24</v>
      </c>
      <c r="J308">
        <v>24633</v>
      </c>
      <c r="K308">
        <v>0</v>
      </c>
      <c r="L308" t="s">
        <v>38</v>
      </c>
      <c r="M308" t="s">
        <v>26</v>
      </c>
      <c r="N308" t="s">
        <v>27</v>
      </c>
      <c r="O308" t="s">
        <v>35</v>
      </c>
      <c r="P308" t="s">
        <v>26</v>
      </c>
      <c r="Q308">
        <v>0</v>
      </c>
    </row>
    <row r="309" spans="1:17" x14ac:dyDescent="0.25">
      <c r="A309" t="s">
        <v>17</v>
      </c>
      <c r="B309" t="s">
        <v>18</v>
      </c>
      <c r="C309">
        <v>247500</v>
      </c>
      <c r="D309" t="s">
        <v>19</v>
      </c>
      <c r="E309" t="s">
        <v>20</v>
      </c>
      <c r="F309" t="s">
        <v>32</v>
      </c>
      <c r="G309" t="s">
        <v>22</v>
      </c>
      <c r="H309" t="s">
        <v>93</v>
      </c>
      <c r="I309" t="s">
        <v>66</v>
      </c>
      <c r="J309">
        <v>315000</v>
      </c>
      <c r="K309">
        <v>0</v>
      </c>
      <c r="L309" t="s">
        <v>51</v>
      </c>
      <c r="M309" t="s">
        <v>28</v>
      </c>
      <c r="N309" t="s">
        <v>27</v>
      </c>
      <c r="O309" t="s">
        <v>35</v>
      </c>
      <c r="P309" t="s">
        <v>26</v>
      </c>
      <c r="Q309">
        <v>0</v>
      </c>
    </row>
    <row r="310" spans="1:17" x14ac:dyDescent="0.25">
      <c r="A310" t="s">
        <v>17</v>
      </c>
      <c r="B310" t="s">
        <v>18</v>
      </c>
      <c r="C310">
        <v>247500</v>
      </c>
      <c r="D310" t="s">
        <v>19</v>
      </c>
      <c r="E310" t="s">
        <v>20</v>
      </c>
      <c r="F310" t="s">
        <v>32</v>
      </c>
      <c r="G310" t="s">
        <v>22</v>
      </c>
      <c r="H310" t="s">
        <v>93</v>
      </c>
      <c r="I310" t="s">
        <v>24</v>
      </c>
      <c r="J310">
        <v>24300</v>
      </c>
      <c r="K310">
        <v>2430</v>
      </c>
      <c r="L310" t="s">
        <v>43</v>
      </c>
      <c r="M310" t="s">
        <v>26</v>
      </c>
      <c r="N310" t="s">
        <v>27</v>
      </c>
      <c r="O310" t="s">
        <v>35</v>
      </c>
      <c r="P310" t="s">
        <v>26</v>
      </c>
      <c r="Q310">
        <v>0</v>
      </c>
    </row>
    <row r="311" spans="1:17" x14ac:dyDescent="0.25">
      <c r="A311" t="s">
        <v>29</v>
      </c>
      <c r="B311" t="s">
        <v>18</v>
      </c>
      <c r="C311">
        <v>225000</v>
      </c>
      <c r="D311" t="s">
        <v>19</v>
      </c>
      <c r="E311" t="s">
        <v>20</v>
      </c>
      <c r="F311" t="s">
        <v>32</v>
      </c>
      <c r="G311" t="s">
        <v>22</v>
      </c>
      <c r="H311" t="s">
        <v>75</v>
      </c>
      <c r="I311" t="s">
        <v>24</v>
      </c>
      <c r="J311">
        <v>174159</v>
      </c>
      <c r="K311">
        <v>0</v>
      </c>
      <c r="L311" t="s">
        <v>25</v>
      </c>
      <c r="M311" t="s">
        <v>26</v>
      </c>
      <c r="N311" t="s">
        <v>27</v>
      </c>
      <c r="O311" t="s">
        <v>35</v>
      </c>
      <c r="P311" t="s">
        <v>26</v>
      </c>
      <c r="Q311">
        <v>0</v>
      </c>
    </row>
    <row r="312" spans="1:17" x14ac:dyDescent="0.25">
      <c r="A312" t="s">
        <v>29</v>
      </c>
      <c r="B312" t="s">
        <v>18</v>
      </c>
      <c r="C312">
        <v>90000</v>
      </c>
      <c r="D312" t="s">
        <v>46</v>
      </c>
      <c r="E312" t="s">
        <v>20</v>
      </c>
      <c r="F312" t="s">
        <v>39</v>
      </c>
      <c r="G312" t="s">
        <v>22</v>
      </c>
      <c r="H312" t="s">
        <v>28</v>
      </c>
      <c r="I312" t="s">
        <v>24</v>
      </c>
      <c r="J312">
        <v>55750.5</v>
      </c>
      <c r="K312">
        <v>5575.5</v>
      </c>
      <c r="L312" t="s">
        <v>45</v>
      </c>
      <c r="M312" t="s">
        <v>26</v>
      </c>
      <c r="N312" t="s">
        <v>27</v>
      </c>
      <c r="O312" t="s">
        <v>35</v>
      </c>
      <c r="P312" t="s">
        <v>26</v>
      </c>
      <c r="Q312">
        <v>0</v>
      </c>
    </row>
    <row r="313" spans="1:17" x14ac:dyDescent="0.25">
      <c r="A313" t="s">
        <v>29</v>
      </c>
      <c r="B313" t="s">
        <v>18</v>
      </c>
      <c r="C313">
        <v>67500</v>
      </c>
      <c r="D313" t="s">
        <v>19</v>
      </c>
      <c r="E313" t="s">
        <v>20</v>
      </c>
      <c r="F313" t="s">
        <v>32</v>
      </c>
      <c r="G313" t="s">
        <v>22</v>
      </c>
      <c r="H313" t="s">
        <v>89</v>
      </c>
      <c r="I313" t="s">
        <v>24</v>
      </c>
      <c r="J313">
        <v>15003</v>
      </c>
      <c r="K313">
        <v>1503</v>
      </c>
      <c r="L313" t="s">
        <v>51</v>
      </c>
      <c r="M313" t="s">
        <v>26</v>
      </c>
      <c r="N313" t="s">
        <v>27</v>
      </c>
      <c r="O313" t="s">
        <v>35</v>
      </c>
      <c r="P313" t="s">
        <v>26</v>
      </c>
      <c r="Q313">
        <v>0</v>
      </c>
    </row>
    <row r="314" spans="1:17" x14ac:dyDescent="0.25">
      <c r="A314" t="s">
        <v>29</v>
      </c>
      <c r="B314" t="s">
        <v>18</v>
      </c>
      <c r="C314">
        <v>67500</v>
      </c>
      <c r="D314" t="s">
        <v>19</v>
      </c>
      <c r="E314" t="s">
        <v>20</v>
      </c>
      <c r="F314" t="s">
        <v>32</v>
      </c>
      <c r="G314" t="s">
        <v>22</v>
      </c>
      <c r="H314" t="s">
        <v>89</v>
      </c>
      <c r="I314" t="s">
        <v>24</v>
      </c>
      <c r="J314">
        <v>33077.97</v>
      </c>
      <c r="K314">
        <v>0</v>
      </c>
      <c r="L314" t="s">
        <v>43</v>
      </c>
      <c r="M314" t="s">
        <v>26</v>
      </c>
      <c r="N314" t="s">
        <v>76</v>
      </c>
      <c r="O314" t="s">
        <v>35</v>
      </c>
      <c r="P314" t="s">
        <v>77</v>
      </c>
      <c r="Q314">
        <v>0</v>
      </c>
    </row>
    <row r="315" spans="1:17" x14ac:dyDescent="0.25">
      <c r="A315" t="s">
        <v>29</v>
      </c>
      <c r="B315" t="s">
        <v>36</v>
      </c>
      <c r="C315">
        <v>72000</v>
      </c>
      <c r="D315" t="s">
        <v>19</v>
      </c>
      <c r="E315" t="s">
        <v>20</v>
      </c>
      <c r="F315" t="s">
        <v>32</v>
      </c>
      <c r="G315" t="s">
        <v>62</v>
      </c>
      <c r="H315" t="s">
        <v>23</v>
      </c>
      <c r="I315" t="s">
        <v>24</v>
      </c>
      <c r="J315">
        <v>15075</v>
      </c>
      <c r="K315">
        <v>0</v>
      </c>
      <c r="L315" t="s">
        <v>25</v>
      </c>
      <c r="M315" t="s">
        <v>26</v>
      </c>
      <c r="N315" t="s">
        <v>27</v>
      </c>
      <c r="O315" t="s">
        <v>35</v>
      </c>
      <c r="P315" t="s">
        <v>26</v>
      </c>
      <c r="Q315">
        <v>0</v>
      </c>
    </row>
    <row r="316" spans="1:17" x14ac:dyDescent="0.25">
      <c r="A316" t="s">
        <v>17</v>
      </c>
      <c r="B316" t="s">
        <v>36</v>
      </c>
      <c r="C316">
        <v>202500</v>
      </c>
      <c r="D316" t="s">
        <v>19</v>
      </c>
      <c r="E316" t="s">
        <v>20</v>
      </c>
      <c r="F316" t="s">
        <v>32</v>
      </c>
      <c r="G316" t="s">
        <v>22</v>
      </c>
      <c r="H316" t="s">
        <v>41</v>
      </c>
      <c r="I316" t="s">
        <v>24</v>
      </c>
      <c r="J316">
        <v>29191.5</v>
      </c>
      <c r="K316">
        <v>0</v>
      </c>
      <c r="L316" t="s">
        <v>43</v>
      </c>
      <c r="M316" t="s">
        <v>26</v>
      </c>
      <c r="N316" t="s">
        <v>27</v>
      </c>
      <c r="O316" t="s">
        <v>35</v>
      </c>
      <c r="P316" t="s">
        <v>26</v>
      </c>
      <c r="Q316">
        <v>0</v>
      </c>
    </row>
    <row r="317" spans="1:17" x14ac:dyDescent="0.25">
      <c r="A317" t="s">
        <v>17</v>
      </c>
      <c r="B317" t="s">
        <v>36</v>
      </c>
      <c r="C317">
        <v>315000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>
        <v>200205</v>
      </c>
      <c r="K317">
        <v>0</v>
      </c>
      <c r="L317" t="s">
        <v>45</v>
      </c>
      <c r="M317" t="s">
        <v>26</v>
      </c>
      <c r="N317" t="s">
        <v>27</v>
      </c>
      <c r="O317" t="s">
        <v>35</v>
      </c>
      <c r="P317" t="s">
        <v>26</v>
      </c>
      <c r="Q317">
        <v>0</v>
      </c>
    </row>
    <row r="318" spans="1:17" x14ac:dyDescent="0.25">
      <c r="A318" t="s">
        <v>17</v>
      </c>
      <c r="B318" t="s">
        <v>36</v>
      </c>
      <c r="C318">
        <v>315000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>
        <v>336789</v>
      </c>
      <c r="K318">
        <v>0</v>
      </c>
      <c r="L318" t="s">
        <v>43</v>
      </c>
      <c r="M318" t="s">
        <v>26</v>
      </c>
      <c r="N318" t="s">
        <v>27</v>
      </c>
      <c r="O318" t="s">
        <v>35</v>
      </c>
      <c r="P318" t="s">
        <v>26</v>
      </c>
      <c r="Q318">
        <v>0</v>
      </c>
    </row>
    <row r="319" spans="1:17" x14ac:dyDescent="0.25">
      <c r="A319" t="s">
        <v>29</v>
      </c>
      <c r="B319" t="s">
        <v>18</v>
      </c>
      <c r="C319">
        <v>90000</v>
      </c>
      <c r="D319" t="s">
        <v>46</v>
      </c>
      <c r="E319" t="s">
        <v>20</v>
      </c>
      <c r="F319" t="s">
        <v>21</v>
      </c>
      <c r="G319" t="s">
        <v>22</v>
      </c>
      <c r="H319" t="s">
        <v>28</v>
      </c>
      <c r="I319" t="s">
        <v>24</v>
      </c>
      <c r="J319">
        <v>18130.5</v>
      </c>
      <c r="K319">
        <v>1813.5</v>
      </c>
      <c r="L319" t="s">
        <v>42</v>
      </c>
      <c r="M319" t="s">
        <v>26</v>
      </c>
      <c r="N319" t="s">
        <v>27</v>
      </c>
      <c r="O319" t="s">
        <v>35</v>
      </c>
      <c r="P319" t="s">
        <v>26</v>
      </c>
      <c r="Q319">
        <v>0</v>
      </c>
    </row>
    <row r="320" spans="1:17" x14ac:dyDescent="0.25">
      <c r="A320" t="s">
        <v>29</v>
      </c>
      <c r="B320" t="s">
        <v>18</v>
      </c>
      <c r="C320">
        <v>135000</v>
      </c>
      <c r="D320" t="s">
        <v>19</v>
      </c>
      <c r="E320" t="s">
        <v>20</v>
      </c>
      <c r="F320" t="s">
        <v>39</v>
      </c>
      <c r="G320" t="s">
        <v>22</v>
      </c>
      <c r="H320" t="s">
        <v>94</v>
      </c>
      <c r="I320" t="s">
        <v>24</v>
      </c>
      <c r="J320">
        <v>166689</v>
      </c>
      <c r="K320">
        <v>0</v>
      </c>
      <c r="L320" t="s">
        <v>51</v>
      </c>
      <c r="M320" t="s">
        <v>26</v>
      </c>
      <c r="N320" t="s">
        <v>27</v>
      </c>
      <c r="O320" t="s">
        <v>35</v>
      </c>
      <c r="P320" t="s">
        <v>26</v>
      </c>
      <c r="Q320">
        <v>0</v>
      </c>
    </row>
    <row r="321" spans="1:17" x14ac:dyDescent="0.25">
      <c r="A321" t="s">
        <v>17</v>
      </c>
      <c r="B321" t="s">
        <v>18</v>
      </c>
      <c r="C321">
        <v>180000</v>
      </c>
      <c r="D321" t="s">
        <v>19</v>
      </c>
      <c r="E321" t="s">
        <v>31</v>
      </c>
      <c r="F321" t="s">
        <v>21</v>
      </c>
      <c r="G321" t="s">
        <v>95</v>
      </c>
      <c r="H321" t="s">
        <v>37</v>
      </c>
      <c r="I321" t="s">
        <v>24</v>
      </c>
      <c r="J321">
        <v>39555</v>
      </c>
      <c r="K321">
        <v>0</v>
      </c>
      <c r="L321" t="s">
        <v>38</v>
      </c>
      <c r="M321" t="s">
        <v>26</v>
      </c>
      <c r="N321" t="s">
        <v>76</v>
      </c>
      <c r="O321" t="s">
        <v>35</v>
      </c>
      <c r="P321" t="s">
        <v>77</v>
      </c>
      <c r="Q321">
        <v>0</v>
      </c>
    </row>
    <row r="322" spans="1:17" x14ac:dyDescent="0.25">
      <c r="A322" t="s">
        <v>17</v>
      </c>
      <c r="B322" t="s">
        <v>18</v>
      </c>
      <c r="C322">
        <v>180000</v>
      </c>
      <c r="D322" t="s">
        <v>19</v>
      </c>
      <c r="E322" t="s">
        <v>31</v>
      </c>
      <c r="F322" t="s">
        <v>21</v>
      </c>
      <c r="G322" t="s">
        <v>95</v>
      </c>
      <c r="H322" t="s">
        <v>37</v>
      </c>
      <c r="I322" t="s">
        <v>24</v>
      </c>
      <c r="J322">
        <v>59949</v>
      </c>
      <c r="K322">
        <v>13500</v>
      </c>
      <c r="L322" t="s">
        <v>38</v>
      </c>
      <c r="M322" t="s">
        <v>26</v>
      </c>
      <c r="N322" t="s">
        <v>27</v>
      </c>
      <c r="O322" t="s">
        <v>35</v>
      </c>
      <c r="P322" t="s">
        <v>26</v>
      </c>
      <c r="Q322">
        <v>0</v>
      </c>
    </row>
    <row r="323" spans="1:17" x14ac:dyDescent="0.25">
      <c r="A323" t="s">
        <v>29</v>
      </c>
      <c r="B323" t="s">
        <v>18</v>
      </c>
      <c r="C323">
        <v>90000</v>
      </c>
      <c r="D323" t="s">
        <v>44</v>
      </c>
      <c r="E323" t="s">
        <v>20</v>
      </c>
      <c r="F323" t="s">
        <v>32</v>
      </c>
      <c r="G323" t="s">
        <v>22</v>
      </c>
      <c r="H323" t="s">
        <v>78</v>
      </c>
      <c r="I323" t="s">
        <v>24</v>
      </c>
      <c r="J323">
        <v>35910</v>
      </c>
      <c r="K323">
        <v>0</v>
      </c>
      <c r="L323" t="s">
        <v>45</v>
      </c>
      <c r="M323" t="s">
        <v>26</v>
      </c>
      <c r="N323" t="s">
        <v>76</v>
      </c>
      <c r="O323" t="s">
        <v>35</v>
      </c>
      <c r="P323" t="s">
        <v>77</v>
      </c>
      <c r="Q323">
        <v>0</v>
      </c>
    </row>
    <row r="324" spans="1:17" x14ac:dyDescent="0.25">
      <c r="A324" t="s">
        <v>29</v>
      </c>
      <c r="B324" t="s">
        <v>18</v>
      </c>
      <c r="C324">
        <v>90000</v>
      </c>
      <c r="D324" t="s">
        <v>44</v>
      </c>
      <c r="E324" t="s">
        <v>20</v>
      </c>
      <c r="F324" t="s">
        <v>32</v>
      </c>
      <c r="G324" t="s">
        <v>22</v>
      </c>
      <c r="H324" t="s">
        <v>78</v>
      </c>
      <c r="I324" t="s">
        <v>66</v>
      </c>
      <c r="J324">
        <v>90000</v>
      </c>
      <c r="K324">
        <v>0</v>
      </c>
      <c r="L324" t="s">
        <v>45</v>
      </c>
      <c r="M324" t="s">
        <v>28</v>
      </c>
      <c r="N324" t="s">
        <v>27</v>
      </c>
      <c r="O324" t="s">
        <v>35</v>
      </c>
      <c r="P324" t="s">
        <v>26</v>
      </c>
      <c r="Q324">
        <v>0</v>
      </c>
    </row>
    <row r="325" spans="1:17" x14ac:dyDescent="0.25">
      <c r="A325" t="s">
        <v>29</v>
      </c>
      <c r="B325" t="s">
        <v>18</v>
      </c>
      <c r="C325">
        <v>90000</v>
      </c>
      <c r="D325" t="s">
        <v>44</v>
      </c>
      <c r="E325" t="s">
        <v>20</v>
      </c>
      <c r="F325" t="s">
        <v>32</v>
      </c>
      <c r="G325" t="s">
        <v>22</v>
      </c>
      <c r="H325" t="s">
        <v>78</v>
      </c>
      <c r="I325" t="s">
        <v>66</v>
      </c>
      <c r="J325">
        <v>157500</v>
      </c>
      <c r="K325">
        <v>0</v>
      </c>
      <c r="L325" t="s">
        <v>34</v>
      </c>
      <c r="M325" t="s">
        <v>28</v>
      </c>
      <c r="N325" t="s">
        <v>58</v>
      </c>
      <c r="O325" t="s">
        <v>35</v>
      </c>
      <c r="P325" t="s">
        <v>59</v>
      </c>
      <c r="Q325">
        <v>1</v>
      </c>
    </row>
    <row r="326" spans="1:17" x14ac:dyDescent="0.25">
      <c r="A326" t="s">
        <v>17</v>
      </c>
      <c r="B326" t="s">
        <v>36</v>
      </c>
      <c r="C326">
        <v>315000</v>
      </c>
      <c r="D326" t="s">
        <v>19</v>
      </c>
      <c r="E326" t="s">
        <v>20</v>
      </c>
      <c r="F326" t="s">
        <v>32</v>
      </c>
      <c r="G326" t="s">
        <v>22</v>
      </c>
      <c r="H326" t="s">
        <v>78</v>
      </c>
      <c r="I326" t="s">
        <v>24</v>
      </c>
      <c r="J326">
        <v>285660</v>
      </c>
      <c r="K326">
        <v>0</v>
      </c>
      <c r="L326" t="s">
        <v>51</v>
      </c>
      <c r="M326" t="s">
        <v>26</v>
      </c>
      <c r="N326" t="s">
        <v>27</v>
      </c>
      <c r="O326" t="s">
        <v>35</v>
      </c>
      <c r="P326" t="s">
        <v>26</v>
      </c>
      <c r="Q326">
        <v>0</v>
      </c>
    </row>
    <row r="327" spans="1:17" x14ac:dyDescent="0.25">
      <c r="A327" t="s">
        <v>17</v>
      </c>
      <c r="B327" t="s">
        <v>36</v>
      </c>
      <c r="C327">
        <v>315000</v>
      </c>
      <c r="D327" t="s">
        <v>19</v>
      </c>
      <c r="E327" t="s">
        <v>20</v>
      </c>
      <c r="F327" t="s">
        <v>32</v>
      </c>
      <c r="G327" t="s">
        <v>22</v>
      </c>
      <c r="H327" t="s">
        <v>78</v>
      </c>
      <c r="I327" t="s">
        <v>24</v>
      </c>
      <c r="J327">
        <v>89091</v>
      </c>
      <c r="K327">
        <v>0</v>
      </c>
      <c r="L327" t="s">
        <v>51</v>
      </c>
      <c r="M327" t="s">
        <v>26</v>
      </c>
      <c r="N327" t="s">
        <v>27</v>
      </c>
      <c r="O327" t="s">
        <v>28</v>
      </c>
      <c r="P327" t="s">
        <v>26</v>
      </c>
      <c r="Q327">
        <v>0</v>
      </c>
    </row>
    <row r="328" spans="1:17" x14ac:dyDescent="0.25">
      <c r="A328" t="s">
        <v>29</v>
      </c>
      <c r="B328" t="s">
        <v>18</v>
      </c>
      <c r="C328">
        <v>108000</v>
      </c>
      <c r="D328" t="s">
        <v>46</v>
      </c>
      <c r="E328" t="s">
        <v>31</v>
      </c>
      <c r="F328" t="s">
        <v>54</v>
      </c>
      <c r="G328" t="s">
        <v>22</v>
      </c>
      <c r="H328" t="s">
        <v>28</v>
      </c>
      <c r="I328" t="s">
        <v>24</v>
      </c>
      <c r="J328">
        <v>88114.5</v>
      </c>
      <c r="K328">
        <v>17626.5</v>
      </c>
      <c r="L328" t="s">
        <v>45</v>
      </c>
      <c r="M328" t="s">
        <v>26</v>
      </c>
      <c r="N328" t="s">
        <v>27</v>
      </c>
      <c r="O328" t="s">
        <v>35</v>
      </c>
      <c r="P328" t="s">
        <v>26</v>
      </c>
      <c r="Q328">
        <v>0</v>
      </c>
    </row>
    <row r="329" spans="1:17" x14ac:dyDescent="0.25">
      <c r="A329" t="s">
        <v>29</v>
      </c>
      <c r="B329" t="s">
        <v>18</v>
      </c>
      <c r="C329">
        <v>157500</v>
      </c>
      <c r="D329" t="s">
        <v>44</v>
      </c>
      <c r="E329" t="s">
        <v>20</v>
      </c>
      <c r="F329" t="s">
        <v>54</v>
      </c>
      <c r="G329" t="s">
        <v>73</v>
      </c>
      <c r="H329" t="s">
        <v>23</v>
      </c>
      <c r="I329" t="s">
        <v>24</v>
      </c>
      <c r="J329">
        <v>128227.5</v>
      </c>
      <c r="K329">
        <v>0</v>
      </c>
      <c r="L329" t="s">
        <v>45</v>
      </c>
      <c r="M329" t="s">
        <v>26</v>
      </c>
      <c r="N329" t="s">
        <v>27</v>
      </c>
      <c r="O329" t="s">
        <v>35</v>
      </c>
      <c r="P329" t="s">
        <v>26</v>
      </c>
      <c r="Q329">
        <v>0</v>
      </c>
    </row>
    <row r="330" spans="1:17" x14ac:dyDescent="0.25">
      <c r="A330" t="s">
        <v>29</v>
      </c>
      <c r="B330" t="s">
        <v>18</v>
      </c>
      <c r="C330">
        <v>85500</v>
      </c>
      <c r="D330" t="s">
        <v>19</v>
      </c>
      <c r="E330" t="s">
        <v>20</v>
      </c>
      <c r="F330" t="s">
        <v>32</v>
      </c>
      <c r="G330" t="s">
        <v>22</v>
      </c>
      <c r="H330" t="s">
        <v>23</v>
      </c>
      <c r="I330" t="s">
        <v>24</v>
      </c>
      <c r="J330">
        <v>55107</v>
      </c>
      <c r="K330">
        <v>2250</v>
      </c>
      <c r="L330" t="s">
        <v>51</v>
      </c>
      <c r="M330" t="s">
        <v>26</v>
      </c>
      <c r="N330" t="s">
        <v>27</v>
      </c>
      <c r="O330" t="s">
        <v>28</v>
      </c>
      <c r="P330" t="s">
        <v>26</v>
      </c>
      <c r="Q330">
        <v>0</v>
      </c>
    </row>
    <row r="331" spans="1:17" x14ac:dyDescent="0.25">
      <c r="A331" t="s">
        <v>29</v>
      </c>
      <c r="B331" t="s">
        <v>18</v>
      </c>
      <c r="C331">
        <v>85500</v>
      </c>
      <c r="D331" t="s">
        <v>19</v>
      </c>
      <c r="E331" t="s">
        <v>20</v>
      </c>
      <c r="F331" t="s">
        <v>32</v>
      </c>
      <c r="G331" t="s">
        <v>22</v>
      </c>
      <c r="H331" t="s">
        <v>23</v>
      </c>
      <c r="I331" t="s">
        <v>24</v>
      </c>
      <c r="J331">
        <v>81751.5</v>
      </c>
      <c r="K331">
        <v>0</v>
      </c>
      <c r="L331" t="s">
        <v>25</v>
      </c>
      <c r="M331" t="s">
        <v>26</v>
      </c>
      <c r="N331" t="s">
        <v>27</v>
      </c>
      <c r="O331" t="s">
        <v>28</v>
      </c>
      <c r="P331" t="s">
        <v>26</v>
      </c>
      <c r="Q331">
        <v>0</v>
      </c>
    </row>
    <row r="332" spans="1:17" x14ac:dyDescent="0.25">
      <c r="A332" t="s">
        <v>29</v>
      </c>
      <c r="B332" t="s">
        <v>18</v>
      </c>
      <c r="C332">
        <v>90000</v>
      </c>
      <c r="D332" t="s">
        <v>46</v>
      </c>
      <c r="E332" t="s">
        <v>31</v>
      </c>
      <c r="F332" t="s">
        <v>32</v>
      </c>
      <c r="G332" t="s">
        <v>22</v>
      </c>
      <c r="H332" t="s">
        <v>28</v>
      </c>
      <c r="I332" t="s">
        <v>24</v>
      </c>
      <c r="J332">
        <v>62131.5</v>
      </c>
      <c r="K332">
        <v>6214.5</v>
      </c>
      <c r="L332" t="s">
        <v>43</v>
      </c>
      <c r="M332" t="s">
        <v>26</v>
      </c>
      <c r="N332" t="s">
        <v>27</v>
      </c>
      <c r="O332" t="s">
        <v>35</v>
      </c>
      <c r="P332" t="s">
        <v>26</v>
      </c>
      <c r="Q332">
        <v>0</v>
      </c>
    </row>
    <row r="333" spans="1:17" x14ac:dyDescent="0.25">
      <c r="A333" t="s">
        <v>29</v>
      </c>
      <c r="B333" t="s">
        <v>18</v>
      </c>
      <c r="C333">
        <v>90000</v>
      </c>
      <c r="D333" t="s">
        <v>46</v>
      </c>
      <c r="E333" t="s">
        <v>31</v>
      </c>
      <c r="F333" t="s">
        <v>32</v>
      </c>
      <c r="G333" t="s">
        <v>22</v>
      </c>
      <c r="H333" t="s">
        <v>28</v>
      </c>
      <c r="I333" t="s">
        <v>24</v>
      </c>
      <c r="J333">
        <v>78525</v>
      </c>
      <c r="K333">
        <v>0</v>
      </c>
      <c r="L333" t="s">
        <v>25</v>
      </c>
      <c r="M333" t="s">
        <v>26</v>
      </c>
      <c r="N333" t="s">
        <v>27</v>
      </c>
      <c r="O333" t="s">
        <v>35</v>
      </c>
      <c r="P333" t="s">
        <v>26</v>
      </c>
      <c r="Q333">
        <v>0</v>
      </c>
    </row>
    <row r="334" spans="1:17" x14ac:dyDescent="0.25">
      <c r="A334" t="s">
        <v>29</v>
      </c>
      <c r="B334" t="s">
        <v>18</v>
      </c>
      <c r="C334">
        <v>135000</v>
      </c>
      <c r="D334" t="s">
        <v>19</v>
      </c>
      <c r="E334" t="s">
        <v>20</v>
      </c>
      <c r="F334" t="s">
        <v>32</v>
      </c>
      <c r="G334" t="s">
        <v>22</v>
      </c>
      <c r="H334" t="s">
        <v>48</v>
      </c>
      <c r="I334" t="s">
        <v>24</v>
      </c>
      <c r="J334">
        <v>134014.27499999999</v>
      </c>
      <c r="K334">
        <v>4.2750000000000004</v>
      </c>
      <c r="L334" t="s">
        <v>25</v>
      </c>
      <c r="M334" t="s">
        <v>26</v>
      </c>
      <c r="N334" t="s">
        <v>27</v>
      </c>
      <c r="O334" t="s">
        <v>35</v>
      </c>
      <c r="P334" t="s">
        <v>26</v>
      </c>
      <c r="Q334">
        <v>0</v>
      </c>
    </row>
    <row r="335" spans="1:17" x14ac:dyDescent="0.25">
      <c r="A335" t="s">
        <v>17</v>
      </c>
      <c r="B335" t="s">
        <v>36</v>
      </c>
      <c r="C335">
        <v>308250</v>
      </c>
      <c r="D335" t="s">
        <v>19</v>
      </c>
      <c r="E335" t="s">
        <v>20</v>
      </c>
      <c r="F335" t="s">
        <v>39</v>
      </c>
      <c r="G335" t="s">
        <v>22</v>
      </c>
      <c r="H335" t="s">
        <v>49</v>
      </c>
      <c r="I335" t="s">
        <v>24</v>
      </c>
      <c r="J335">
        <v>1126687.5</v>
      </c>
      <c r="K335">
        <v>270405</v>
      </c>
      <c r="L335" t="s">
        <v>25</v>
      </c>
      <c r="M335" t="s">
        <v>26</v>
      </c>
      <c r="N335" t="s">
        <v>27</v>
      </c>
      <c r="O335" t="s">
        <v>35</v>
      </c>
      <c r="P335" t="s">
        <v>26</v>
      </c>
      <c r="Q335">
        <v>0</v>
      </c>
    </row>
    <row r="336" spans="1:17" x14ac:dyDescent="0.25">
      <c r="A336" t="s">
        <v>29</v>
      </c>
      <c r="B336" t="s">
        <v>36</v>
      </c>
      <c r="C336">
        <v>108000</v>
      </c>
      <c r="D336" t="s">
        <v>46</v>
      </c>
      <c r="E336" t="s">
        <v>20</v>
      </c>
      <c r="F336" t="s">
        <v>54</v>
      </c>
      <c r="G336" t="s">
        <v>22</v>
      </c>
      <c r="H336" t="s">
        <v>28</v>
      </c>
      <c r="I336" t="s">
        <v>24</v>
      </c>
      <c r="J336">
        <v>165168</v>
      </c>
      <c r="K336">
        <v>0</v>
      </c>
      <c r="L336" t="s">
        <v>43</v>
      </c>
      <c r="M336" t="s">
        <v>26</v>
      </c>
      <c r="N336" t="s">
        <v>27</v>
      </c>
      <c r="O336" t="s">
        <v>35</v>
      </c>
      <c r="P336" t="s">
        <v>26</v>
      </c>
      <c r="Q336">
        <v>0</v>
      </c>
    </row>
    <row r="337" spans="1:17" x14ac:dyDescent="0.25">
      <c r="A337" t="s">
        <v>29</v>
      </c>
      <c r="B337" t="s">
        <v>36</v>
      </c>
      <c r="C337">
        <v>108000</v>
      </c>
      <c r="D337" t="s">
        <v>46</v>
      </c>
      <c r="E337" t="s">
        <v>20</v>
      </c>
      <c r="F337" t="s">
        <v>54</v>
      </c>
      <c r="G337" t="s">
        <v>22</v>
      </c>
      <c r="H337" t="s">
        <v>28</v>
      </c>
      <c r="I337" t="s">
        <v>24</v>
      </c>
      <c r="J337">
        <v>81580.5</v>
      </c>
      <c r="K337">
        <v>0</v>
      </c>
      <c r="L337" t="s">
        <v>38</v>
      </c>
      <c r="M337" t="s">
        <v>26</v>
      </c>
      <c r="N337" t="s">
        <v>27</v>
      </c>
      <c r="O337" t="s">
        <v>35</v>
      </c>
      <c r="P337" t="s">
        <v>26</v>
      </c>
      <c r="Q337">
        <v>0</v>
      </c>
    </row>
    <row r="338" spans="1:17" x14ac:dyDescent="0.25">
      <c r="A338" t="s">
        <v>29</v>
      </c>
      <c r="B338" t="s">
        <v>36</v>
      </c>
      <c r="C338">
        <v>108000</v>
      </c>
      <c r="D338" t="s">
        <v>46</v>
      </c>
      <c r="E338" t="s">
        <v>20</v>
      </c>
      <c r="F338" t="s">
        <v>54</v>
      </c>
      <c r="G338" t="s">
        <v>22</v>
      </c>
      <c r="H338" t="s">
        <v>28</v>
      </c>
      <c r="I338" t="s">
        <v>24</v>
      </c>
      <c r="J338">
        <v>176760</v>
      </c>
      <c r="K338">
        <v>0</v>
      </c>
      <c r="L338" t="s">
        <v>38</v>
      </c>
      <c r="M338" t="s">
        <v>26</v>
      </c>
      <c r="N338" t="s">
        <v>27</v>
      </c>
      <c r="O338" t="s">
        <v>35</v>
      </c>
      <c r="P338" t="s">
        <v>26</v>
      </c>
      <c r="Q338">
        <v>0</v>
      </c>
    </row>
    <row r="339" spans="1:17" x14ac:dyDescent="0.25">
      <c r="A339" t="s">
        <v>29</v>
      </c>
      <c r="B339" t="s">
        <v>36</v>
      </c>
      <c r="C339">
        <v>135000</v>
      </c>
      <c r="D339" t="s">
        <v>19</v>
      </c>
      <c r="E339" t="s">
        <v>20</v>
      </c>
      <c r="F339" t="s">
        <v>32</v>
      </c>
      <c r="G339" t="s">
        <v>22</v>
      </c>
      <c r="H339" t="s">
        <v>63</v>
      </c>
      <c r="I339" t="s">
        <v>24</v>
      </c>
      <c r="J339">
        <v>62901</v>
      </c>
      <c r="K339">
        <v>0</v>
      </c>
      <c r="L339" t="s">
        <v>25</v>
      </c>
      <c r="M339" t="s">
        <v>26</v>
      </c>
      <c r="N339" t="s">
        <v>27</v>
      </c>
      <c r="O339" t="s">
        <v>35</v>
      </c>
      <c r="P339" t="s">
        <v>26</v>
      </c>
      <c r="Q339">
        <v>0</v>
      </c>
    </row>
    <row r="340" spans="1:17" x14ac:dyDescent="0.25">
      <c r="A340" t="s">
        <v>17</v>
      </c>
      <c r="B340" t="s">
        <v>36</v>
      </c>
      <c r="C340">
        <v>67500</v>
      </c>
      <c r="D340" t="s">
        <v>46</v>
      </c>
      <c r="E340" t="s">
        <v>20</v>
      </c>
      <c r="F340" t="s">
        <v>32</v>
      </c>
      <c r="G340" t="s">
        <v>22</v>
      </c>
      <c r="H340" t="s">
        <v>28</v>
      </c>
      <c r="I340" t="s">
        <v>24</v>
      </c>
      <c r="J340">
        <v>91800</v>
      </c>
      <c r="K340">
        <v>9180</v>
      </c>
      <c r="L340" t="s">
        <v>51</v>
      </c>
      <c r="M340" t="s">
        <v>26</v>
      </c>
      <c r="N340" t="s">
        <v>27</v>
      </c>
      <c r="O340" t="s">
        <v>35</v>
      </c>
      <c r="P340" t="s">
        <v>26</v>
      </c>
      <c r="Q340">
        <v>0</v>
      </c>
    </row>
    <row r="341" spans="1:17" x14ac:dyDescent="0.25">
      <c r="A341" t="s">
        <v>17</v>
      </c>
      <c r="B341" t="s">
        <v>18</v>
      </c>
      <c r="C341">
        <v>180000</v>
      </c>
      <c r="D341" t="s">
        <v>46</v>
      </c>
      <c r="E341" t="s">
        <v>20</v>
      </c>
      <c r="F341" t="s">
        <v>54</v>
      </c>
      <c r="G341" t="s">
        <v>22</v>
      </c>
      <c r="H341" t="s">
        <v>28</v>
      </c>
      <c r="I341" t="s">
        <v>24</v>
      </c>
      <c r="J341">
        <v>62491.5</v>
      </c>
      <c r="K341">
        <v>0</v>
      </c>
      <c r="L341" t="s">
        <v>25</v>
      </c>
      <c r="M341" t="s">
        <v>26</v>
      </c>
      <c r="N341" t="s">
        <v>27</v>
      </c>
      <c r="O341" t="s">
        <v>35</v>
      </c>
      <c r="P341" t="s">
        <v>26</v>
      </c>
      <c r="Q341">
        <v>0</v>
      </c>
    </row>
    <row r="342" spans="1:17" x14ac:dyDescent="0.25">
      <c r="A342" t="s">
        <v>17</v>
      </c>
      <c r="B342" t="s">
        <v>18</v>
      </c>
      <c r="C342">
        <v>180000</v>
      </c>
      <c r="D342" t="s">
        <v>46</v>
      </c>
      <c r="E342" t="s">
        <v>20</v>
      </c>
      <c r="F342" t="s">
        <v>54</v>
      </c>
      <c r="G342" t="s">
        <v>22</v>
      </c>
      <c r="H342" t="s">
        <v>28</v>
      </c>
      <c r="I342" t="s">
        <v>24</v>
      </c>
      <c r="J342">
        <v>27400.5</v>
      </c>
      <c r="K342">
        <v>2740.5</v>
      </c>
      <c r="L342" t="s">
        <v>43</v>
      </c>
      <c r="M342" t="s">
        <v>26</v>
      </c>
      <c r="N342" t="s">
        <v>27</v>
      </c>
      <c r="O342" t="s">
        <v>35</v>
      </c>
      <c r="P342" t="s">
        <v>26</v>
      </c>
      <c r="Q342">
        <v>0</v>
      </c>
    </row>
    <row r="343" spans="1:17" x14ac:dyDescent="0.25">
      <c r="A343" t="s">
        <v>29</v>
      </c>
      <c r="B343" t="s">
        <v>18</v>
      </c>
      <c r="C343">
        <v>112500</v>
      </c>
      <c r="D343" t="s">
        <v>44</v>
      </c>
      <c r="E343" t="s">
        <v>20</v>
      </c>
      <c r="F343" t="s">
        <v>54</v>
      </c>
      <c r="G343" t="s">
        <v>22</v>
      </c>
      <c r="H343" t="s">
        <v>49</v>
      </c>
      <c r="I343" t="s">
        <v>24</v>
      </c>
      <c r="J343">
        <v>47160</v>
      </c>
      <c r="K343">
        <v>4716</v>
      </c>
      <c r="L343" t="s">
        <v>38</v>
      </c>
      <c r="M343" t="s">
        <v>26</v>
      </c>
      <c r="N343" t="s">
        <v>27</v>
      </c>
      <c r="O343" t="s">
        <v>35</v>
      </c>
      <c r="P343" t="s">
        <v>26</v>
      </c>
      <c r="Q343">
        <v>0</v>
      </c>
    </row>
    <row r="344" spans="1:17" x14ac:dyDescent="0.25">
      <c r="A344" t="s">
        <v>29</v>
      </c>
      <c r="B344" t="s">
        <v>18</v>
      </c>
      <c r="C344">
        <v>135000</v>
      </c>
      <c r="D344" t="s">
        <v>44</v>
      </c>
      <c r="E344" t="s">
        <v>20</v>
      </c>
      <c r="F344" t="s">
        <v>39</v>
      </c>
      <c r="G344" t="s">
        <v>22</v>
      </c>
      <c r="H344" t="s">
        <v>49</v>
      </c>
      <c r="I344" t="s">
        <v>24</v>
      </c>
      <c r="J344">
        <v>66555</v>
      </c>
      <c r="K344">
        <v>6655.5</v>
      </c>
      <c r="L344" t="s">
        <v>25</v>
      </c>
      <c r="M344" t="s">
        <v>26</v>
      </c>
      <c r="N344" t="s">
        <v>27</v>
      </c>
      <c r="O344" t="s">
        <v>35</v>
      </c>
      <c r="P344" t="s">
        <v>26</v>
      </c>
      <c r="Q344">
        <v>0</v>
      </c>
    </row>
    <row r="345" spans="1:17" x14ac:dyDescent="0.25">
      <c r="A345" t="s">
        <v>17</v>
      </c>
      <c r="B345" t="s">
        <v>36</v>
      </c>
      <c r="C345">
        <v>180000</v>
      </c>
      <c r="D345" t="s">
        <v>19</v>
      </c>
      <c r="E345" t="s">
        <v>31</v>
      </c>
      <c r="F345" t="s">
        <v>32</v>
      </c>
      <c r="G345" t="s">
        <v>62</v>
      </c>
      <c r="H345" t="s">
        <v>23</v>
      </c>
      <c r="I345" t="s">
        <v>24</v>
      </c>
      <c r="J345">
        <v>102928.5</v>
      </c>
      <c r="K345">
        <v>10296</v>
      </c>
      <c r="L345" t="s">
        <v>43</v>
      </c>
      <c r="M345" t="s">
        <v>26</v>
      </c>
      <c r="N345" t="s">
        <v>27</v>
      </c>
      <c r="O345" t="s">
        <v>35</v>
      </c>
      <c r="P345" t="s">
        <v>26</v>
      </c>
      <c r="Q345">
        <v>0</v>
      </c>
    </row>
    <row r="346" spans="1:17" x14ac:dyDescent="0.25">
      <c r="A346" t="s">
        <v>29</v>
      </c>
      <c r="B346" t="s">
        <v>18</v>
      </c>
      <c r="C346">
        <v>112500</v>
      </c>
      <c r="D346" t="s">
        <v>19</v>
      </c>
      <c r="E346" t="s">
        <v>20</v>
      </c>
      <c r="F346" t="s">
        <v>39</v>
      </c>
      <c r="G346" t="s">
        <v>52</v>
      </c>
      <c r="H346" t="s">
        <v>49</v>
      </c>
      <c r="I346" t="s">
        <v>24</v>
      </c>
      <c r="J346">
        <v>157815</v>
      </c>
      <c r="K346">
        <v>13500</v>
      </c>
      <c r="L346" t="s">
        <v>25</v>
      </c>
      <c r="M346" t="s">
        <v>26</v>
      </c>
      <c r="N346" t="s">
        <v>27</v>
      </c>
      <c r="O346" t="s">
        <v>35</v>
      </c>
      <c r="P346" t="s">
        <v>26</v>
      </c>
      <c r="Q346">
        <v>0</v>
      </c>
    </row>
    <row r="347" spans="1:17" x14ac:dyDescent="0.25">
      <c r="A347" t="s">
        <v>29</v>
      </c>
      <c r="B347" t="s">
        <v>18</v>
      </c>
      <c r="C347">
        <v>112500</v>
      </c>
      <c r="D347" t="s">
        <v>19</v>
      </c>
      <c r="E347" t="s">
        <v>20</v>
      </c>
      <c r="F347" t="s">
        <v>39</v>
      </c>
      <c r="G347" t="s">
        <v>52</v>
      </c>
      <c r="H347" t="s">
        <v>49</v>
      </c>
      <c r="I347" t="s">
        <v>24</v>
      </c>
      <c r="J347">
        <v>34473.599999999999</v>
      </c>
      <c r="K347">
        <v>3451.5</v>
      </c>
      <c r="L347" t="s">
        <v>38</v>
      </c>
      <c r="M347" t="s">
        <v>26</v>
      </c>
      <c r="N347" t="s">
        <v>27</v>
      </c>
      <c r="O347" t="s">
        <v>35</v>
      </c>
      <c r="P347" t="s">
        <v>26</v>
      </c>
      <c r="Q347">
        <v>0</v>
      </c>
    </row>
    <row r="348" spans="1:17" x14ac:dyDescent="0.25">
      <c r="A348" t="s">
        <v>17</v>
      </c>
      <c r="B348" t="s">
        <v>36</v>
      </c>
      <c r="C348">
        <v>121500</v>
      </c>
      <c r="D348" t="s">
        <v>19</v>
      </c>
      <c r="E348" t="s">
        <v>20</v>
      </c>
      <c r="F348" t="s">
        <v>32</v>
      </c>
      <c r="G348" t="s">
        <v>22</v>
      </c>
      <c r="H348" t="s">
        <v>23</v>
      </c>
      <c r="I348" t="s">
        <v>24</v>
      </c>
      <c r="J348">
        <v>47385</v>
      </c>
      <c r="K348">
        <v>0</v>
      </c>
      <c r="L348" t="s">
        <v>25</v>
      </c>
      <c r="M348" t="s">
        <v>26</v>
      </c>
      <c r="N348" t="s">
        <v>27</v>
      </c>
      <c r="O348" t="s">
        <v>35</v>
      </c>
      <c r="P348" t="s">
        <v>26</v>
      </c>
      <c r="Q348">
        <v>0</v>
      </c>
    </row>
    <row r="349" spans="1:17" x14ac:dyDescent="0.25">
      <c r="A349" t="s">
        <v>29</v>
      </c>
      <c r="B349" t="s">
        <v>18</v>
      </c>
      <c r="C349">
        <v>202500</v>
      </c>
      <c r="D349" t="s">
        <v>46</v>
      </c>
      <c r="E349" t="s">
        <v>31</v>
      </c>
      <c r="F349" t="s">
        <v>32</v>
      </c>
      <c r="G349" t="s">
        <v>22</v>
      </c>
      <c r="H349" t="s">
        <v>28</v>
      </c>
      <c r="I349" t="s">
        <v>24</v>
      </c>
      <c r="J349">
        <v>139050</v>
      </c>
      <c r="K349">
        <v>13905</v>
      </c>
      <c r="L349" t="s">
        <v>38</v>
      </c>
      <c r="M349" t="s">
        <v>26</v>
      </c>
      <c r="N349" t="s">
        <v>27</v>
      </c>
      <c r="O349" t="s">
        <v>35</v>
      </c>
      <c r="P349" t="s">
        <v>26</v>
      </c>
      <c r="Q349">
        <v>0</v>
      </c>
    </row>
    <row r="350" spans="1:17" x14ac:dyDescent="0.25">
      <c r="A350" t="s">
        <v>29</v>
      </c>
      <c r="B350" t="s">
        <v>18</v>
      </c>
      <c r="C350">
        <v>157500</v>
      </c>
      <c r="D350" t="s">
        <v>19</v>
      </c>
      <c r="E350" t="s">
        <v>20</v>
      </c>
      <c r="F350" t="s">
        <v>39</v>
      </c>
      <c r="G350" t="s">
        <v>22</v>
      </c>
      <c r="H350" t="s">
        <v>41</v>
      </c>
      <c r="I350" t="s">
        <v>24</v>
      </c>
      <c r="J350">
        <v>142785</v>
      </c>
      <c r="K350">
        <v>13500</v>
      </c>
      <c r="L350" t="s">
        <v>38</v>
      </c>
      <c r="M350" t="s">
        <v>26</v>
      </c>
      <c r="N350" t="s">
        <v>58</v>
      </c>
      <c r="O350" t="s">
        <v>28</v>
      </c>
      <c r="P350" t="s">
        <v>60</v>
      </c>
      <c r="Q350">
        <v>1</v>
      </c>
    </row>
    <row r="351" spans="1:17" x14ac:dyDescent="0.25">
      <c r="A351" t="s">
        <v>29</v>
      </c>
      <c r="B351" t="s">
        <v>18</v>
      </c>
      <c r="C351">
        <v>157500</v>
      </c>
      <c r="D351" t="s">
        <v>19</v>
      </c>
      <c r="E351" t="s">
        <v>20</v>
      </c>
      <c r="F351" t="s">
        <v>39</v>
      </c>
      <c r="G351" t="s">
        <v>22</v>
      </c>
      <c r="H351" t="s">
        <v>41</v>
      </c>
      <c r="I351" t="s">
        <v>24</v>
      </c>
      <c r="J351">
        <v>132106.5</v>
      </c>
      <c r="K351">
        <v>18000</v>
      </c>
      <c r="L351" t="s">
        <v>42</v>
      </c>
      <c r="M351" t="s">
        <v>26</v>
      </c>
      <c r="N351" t="s">
        <v>27</v>
      </c>
      <c r="O351" t="s">
        <v>28</v>
      </c>
      <c r="P351" t="s">
        <v>26</v>
      </c>
      <c r="Q351">
        <v>0</v>
      </c>
    </row>
    <row r="352" spans="1:17" x14ac:dyDescent="0.25">
      <c r="A352" t="s">
        <v>29</v>
      </c>
      <c r="B352" t="s">
        <v>18</v>
      </c>
      <c r="C352">
        <v>157500</v>
      </c>
      <c r="D352" t="s">
        <v>19</v>
      </c>
      <c r="E352" t="s">
        <v>20</v>
      </c>
      <c r="F352" t="s">
        <v>39</v>
      </c>
      <c r="G352" t="s">
        <v>22</v>
      </c>
      <c r="H352" t="s">
        <v>41</v>
      </c>
      <c r="I352" t="s">
        <v>24</v>
      </c>
      <c r="J352">
        <v>143460</v>
      </c>
      <c r="K352">
        <v>71730</v>
      </c>
      <c r="L352" t="s">
        <v>34</v>
      </c>
      <c r="M352" t="s">
        <v>26</v>
      </c>
      <c r="N352" t="s">
        <v>58</v>
      </c>
      <c r="O352" t="s">
        <v>28</v>
      </c>
      <c r="P352" t="s">
        <v>60</v>
      </c>
      <c r="Q352">
        <v>1</v>
      </c>
    </row>
    <row r="353" spans="1:17" x14ac:dyDescent="0.25">
      <c r="A353" t="s">
        <v>17</v>
      </c>
      <c r="B353" t="s">
        <v>36</v>
      </c>
      <c r="C353">
        <v>202500</v>
      </c>
      <c r="D353" t="s">
        <v>19</v>
      </c>
      <c r="E353" t="s">
        <v>31</v>
      </c>
      <c r="F353" t="s">
        <v>32</v>
      </c>
      <c r="G353" t="s">
        <v>22</v>
      </c>
      <c r="H353" t="s">
        <v>65</v>
      </c>
      <c r="I353" t="s">
        <v>24</v>
      </c>
      <c r="J353">
        <v>25744.5</v>
      </c>
      <c r="K353">
        <v>0</v>
      </c>
      <c r="L353" t="s">
        <v>38</v>
      </c>
      <c r="M353" t="s">
        <v>26</v>
      </c>
      <c r="N353" t="s">
        <v>27</v>
      </c>
      <c r="O353" t="s">
        <v>35</v>
      </c>
      <c r="P353" t="s">
        <v>26</v>
      </c>
      <c r="Q353">
        <v>0</v>
      </c>
    </row>
    <row r="354" spans="1:17" x14ac:dyDescent="0.25">
      <c r="A354" t="s">
        <v>17</v>
      </c>
      <c r="B354" t="s">
        <v>36</v>
      </c>
      <c r="C354">
        <v>202500</v>
      </c>
      <c r="D354" t="s">
        <v>19</v>
      </c>
      <c r="E354" t="s">
        <v>31</v>
      </c>
      <c r="F354" t="s">
        <v>32</v>
      </c>
      <c r="G354" t="s">
        <v>22</v>
      </c>
      <c r="H354" t="s">
        <v>65</v>
      </c>
      <c r="I354" t="s">
        <v>24</v>
      </c>
      <c r="J354">
        <v>142812</v>
      </c>
      <c r="K354">
        <v>0</v>
      </c>
      <c r="L354" t="s">
        <v>25</v>
      </c>
      <c r="M354" t="s">
        <v>26</v>
      </c>
      <c r="N354" t="s">
        <v>27</v>
      </c>
      <c r="O354" t="s">
        <v>35</v>
      </c>
      <c r="P354" t="s">
        <v>26</v>
      </c>
      <c r="Q354">
        <v>0</v>
      </c>
    </row>
    <row r="355" spans="1:17" x14ac:dyDescent="0.25">
      <c r="A355" t="s">
        <v>17</v>
      </c>
      <c r="B355" t="s">
        <v>18</v>
      </c>
      <c r="C355">
        <v>135000</v>
      </c>
      <c r="D355" t="s">
        <v>19</v>
      </c>
      <c r="E355" t="s">
        <v>20</v>
      </c>
      <c r="F355" t="s">
        <v>69</v>
      </c>
      <c r="G355" t="s">
        <v>22</v>
      </c>
      <c r="H355" t="s">
        <v>23</v>
      </c>
      <c r="I355" t="s">
        <v>24</v>
      </c>
      <c r="J355">
        <v>39091.5</v>
      </c>
      <c r="K355">
        <v>3910.5</v>
      </c>
      <c r="L355" t="s">
        <v>43</v>
      </c>
      <c r="M355" t="s">
        <v>26</v>
      </c>
      <c r="N355" t="s">
        <v>27</v>
      </c>
      <c r="O355" t="s">
        <v>35</v>
      </c>
      <c r="P355" t="s">
        <v>26</v>
      </c>
      <c r="Q355">
        <v>0</v>
      </c>
    </row>
    <row r="356" spans="1:17" x14ac:dyDescent="0.25">
      <c r="A356" t="s">
        <v>29</v>
      </c>
      <c r="B356" t="s">
        <v>18</v>
      </c>
      <c r="C356">
        <v>153000</v>
      </c>
      <c r="D356" t="s">
        <v>19</v>
      </c>
      <c r="E356" t="s">
        <v>70</v>
      </c>
      <c r="F356" t="s">
        <v>32</v>
      </c>
      <c r="G356" t="s">
        <v>22</v>
      </c>
      <c r="H356" t="s">
        <v>49</v>
      </c>
      <c r="I356" t="s">
        <v>24</v>
      </c>
      <c r="J356">
        <v>49500</v>
      </c>
      <c r="K356">
        <v>9900</v>
      </c>
      <c r="L356" t="s">
        <v>43</v>
      </c>
      <c r="M356" t="s">
        <v>26</v>
      </c>
      <c r="N356" t="s">
        <v>27</v>
      </c>
      <c r="O356" t="s">
        <v>83</v>
      </c>
      <c r="P356" t="s">
        <v>26</v>
      </c>
      <c r="Q356">
        <v>0</v>
      </c>
    </row>
    <row r="357" spans="1:17" x14ac:dyDescent="0.25">
      <c r="A357" t="s">
        <v>29</v>
      </c>
      <c r="B357" t="s">
        <v>18</v>
      </c>
      <c r="C357">
        <v>153000</v>
      </c>
      <c r="D357" t="s">
        <v>19</v>
      </c>
      <c r="E357" t="s">
        <v>70</v>
      </c>
      <c r="F357" t="s">
        <v>32</v>
      </c>
      <c r="G357" t="s">
        <v>22</v>
      </c>
      <c r="H357" t="s">
        <v>49</v>
      </c>
      <c r="I357" t="s">
        <v>24</v>
      </c>
      <c r="J357">
        <v>32625</v>
      </c>
      <c r="K357">
        <v>3262.5</v>
      </c>
      <c r="L357" t="s">
        <v>43</v>
      </c>
      <c r="M357" t="s">
        <v>26</v>
      </c>
      <c r="N357" t="s">
        <v>27</v>
      </c>
      <c r="O357" t="s">
        <v>83</v>
      </c>
      <c r="P357" t="s">
        <v>26</v>
      </c>
      <c r="Q357">
        <v>0</v>
      </c>
    </row>
    <row r="358" spans="1:17" x14ac:dyDescent="0.25">
      <c r="A358" t="s">
        <v>29</v>
      </c>
      <c r="B358" t="s">
        <v>18</v>
      </c>
      <c r="C358">
        <v>202500</v>
      </c>
      <c r="D358" t="s">
        <v>46</v>
      </c>
      <c r="E358" t="s">
        <v>20</v>
      </c>
      <c r="F358" t="s">
        <v>32</v>
      </c>
      <c r="G358" t="s">
        <v>22</v>
      </c>
      <c r="H358" t="s">
        <v>28</v>
      </c>
      <c r="I358" t="s">
        <v>66</v>
      </c>
      <c r="J358">
        <v>274500</v>
      </c>
      <c r="K358">
        <v>0</v>
      </c>
      <c r="L358" t="s">
        <v>45</v>
      </c>
      <c r="M358" t="s">
        <v>28</v>
      </c>
      <c r="N358" t="s">
        <v>27</v>
      </c>
      <c r="O358" t="s">
        <v>35</v>
      </c>
      <c r="P358" t="s">
        <v>26</v>
      </c>
      <c r="Q358">
        <v>0</v>
      </c>
    </row>
    <row r="359" spans="1:17" x14ac:dyDescent="0.25">
      <c r="A359" t="s">
        <v>29</v>
      </c>
      <c r="B359" t="s">
        <v>18</v>
      </c>
      <c r="C359">
        <v>157500</v>
      </c>
      <c r="D359" t="s">
        <v>44</v>
      </c>
      <c r="E359" t="s">
        <v>20</v>
      </c>
      <c r="F359" t="s">
        <v>54</v>
      </c>
      <c r="G359" t="s">
        <v>22</v>
      </c>
      <c r="H359" t="s">
        <v>50</v>
      </c>
      <c r="I359" t="s">
        <v>24</v>
      </c>
      <c r="J359">
        <v>31756.5</v>
      </c>
      <c r="K359">
        <v>3195</v>
      </c>
      <c r="L359" t="s">
        <v>45</v>
      </c>
      <c r="M359" t="s">
        <v>26</v>
      </c>
      <c r="N359" t="s">
        <v>27</v>
      </c>
      <c r="O359" t="s">
        <v>35</v>
      </c>
      <c r="P359" t="s">
        <v>26</v>
      </c>
      <c r="Q359">
        <v>0</v>
      </c>
    </row>
    <row r="360" spans="1:17" x14ac:dyDescent="0.25">
      <c r="A360" t="s">
        <v>17</v>
      </c>
      <c r="B360" t="s">
        <v>36</v>
      </c>
      <c r="C360">
        <v>135000</v>
      </c>
      <c r="D360" t="s">
        <v>19</v>
      </c>
      <c r="E360" t="s">
        <v>20</v>
      </c>
      <c r="F360" t="s">
        <v>32</v>
      </c>
      <c r="G360" t="s">
        <v>22</v>
      </c>
      <c r="H360" t="s">
        <v>49</v>
      </c>
      <c r="I360" t="s">
        <v>24</v>
      </c>
      <c r="J360">
        <v>111195</v>
      </c>
      <c r="K360">
        <v>0</v>
      </c>
      <c r="L360" t="s">
        <v>38</v>
      </c>
      <c r="M360" t="s">
        <v>26</v>
      </c>
      <c r="N360" t="s">
        <v>27</v>
      </c>
      <c r="O360" t="s">
        <v>28</v>
      </c>
      <c r="P360" t="s">
        <v>26</v>
      </c>
      <c r="Q360">
        <v>0</v>
      </c>
    </row>
    <row r="361" spans="1:17" x14ac:dyDescent="0.25">
      <c r="A361" t="s">
        <v>17</v>
      </c>
      <c r="B361" t="s">
        <v>36</v>
      </c>
      <c r="C361">
        <v>135000</v>
      </c>
      <c r="D361" t="s">
        <v>19</v>
      </c>
      <c r="E361" t="s">
        <v>20</v>
      </c>
      <c r="F361" t="s">
        <v>32</v>
      </c>
      <c r="G361" t="s">
        <v>22</v>
      </c>
      <c r="H361" t="s">
        <v>49</v>
      </c>
      <c r="I361" t="s">
        <v>24</v>
      </c>
      <c r="J361">
        <v>121639.5</v>
      </c>
      <c r="K361">
        <v>12168</v>
      </c>
      <c r="L361" t="s">
        <v>45</v>
      </c>
      <c r="M361" t="s">
        <v>26</v>
      </c>
      <c r="N361" t="s">
        <v>27</v>
      </c>
      <c r="O361" t="s">
        <v>28</v>
      </c>
      <c r="P361" t="s">
        <v>26</v>
      </c>
      <c r="Q361">
        <v>0</v>
      </c>
    </row>
    <row r="362" spans="1:17" x14ac:dyDescent="0.25">
      <c r="A362" t="s">
        <v>17</v>
      </c>
      <c r="B362" t="s">
        <v>36</v>
      </c>
      <c r="C362">
        <v>135000</v>
      </c>
      <c r="D362" t="s">
        <v>19</v>
      </c>
      <c r="E362" t="s">
        <v>20</v>
      </c>
      <c r="F362" t="s">
        <v>32</v>
      </c>
      <c r="G362" t="s">
        <v>22</v>
      </c>
      <c r="H362" t="s">
        <v>49</v>
      </c>
      <c r="I362" t="s">
        <v>24</v>
      </c>
      <c r="J362">
        <v>55773</v>
      </c>
      <c r="K362">
        <v>0</v>
      </c>
      <c r="L362" t="s">
        <v>38</v>
      </c>
      <c r="M362" t="s">
        <v>26</v>
      </c>
      <c r="N362" t="s">
        <v>58</v>
      </c>
      <c r="O362" t="s">
        <v>35</v>
      </c>
      <c r="P362" t="s">
        <v>64</v>
      </c>
      <c r="Q362">
        <v>1</v>
      </c>
    </row>
    <row r="363" spans="1:17" x14ac:dyDescent="0.25">
      <c r="A363" t="s">
        <v>29</v>
      </c>
      <c r="B363" t="s">
        <v>18</v>
      </c>
      <c r="C363">
        <v>270000</v>
      </c>
      <c r="D363" t="s">
        <v>19</v>
      </c>
      <c r="E363" t="s">
        <v>20</v>
      </c>
      <c r="F363" t="s">
        <v>32</v>
      </c>
      <c r="G363" t="s">
        <v>22</v>
      </c>
      <c r="H363" t="s">
        <v>49</v>
      </c>
      <c r="I363" t="s">
        <v>24</v>
      </c>
      <c r="J363">
        <v>155749.5</v>
      </c>
      <c r="K363">
        <v>15579</v>
      </c>
      <c r="L363" t="s">
        <v>51</v>
      </c>
      <c r="M363" t="s">
        <v>26</v>
      </c>
      <c r="N363" t="s">
        <v>27</v>
      </c>
      <c r="O363" t="s">
        <v>28</v>
      </c>
      <c r="P363" t="s">
        <v>26</v>
      </c>
      <c r="Q363">
        <v>0</v>
      </c>
    </row>
    <row r="364" spans="1:17" x14ac:dyDescent="0.25">
      <c r="A364" t="s">
        <v>29</v>
      </c>
      <c r="B364" t="s">
        <v>18</v>
      </c>
      <c r="C364">
        <v>270000</v>
      </c>
      <c r="D364" t="s">
        <v>19</v>
      </c>
      <c r="E364" t="s">
        <v>20</v>
      </c>
      <c r="F364" t="s">
        <v>32</v>
      </c>
      <c r="G364" t="s">
        <v>22</v>
      </c>
      <c r="H364" t="s">
        <v>49</v>
      </c>
      <c r="I364" t="s">
        <v>24</v>
      </c>
      <c r="J364">
        <v>38245.5</v>
      </c>
      <c r="K364">
        <v>18000</v>
      </c>
      <c r="L364" t="s">
        <v>45</v>
      </c>
      <c r="M364" t="s">
        <v>26</v>
      </c>
      <c r="N364" t="s">
        <v>27</v>
      </c>
      <c r="O364" t="s">
        <v>35</v>
      </c>
      <c r="P364" t="s">
        <v>26</v>
      </c>
      <c r="Q364">
        <v>0</v>
      </c>
    </row>
    <row r="365" spans="1:17" x14ac:dyDescent="0.25">
      <c r="A365" t="s">
        <v>29</v>
      </c>
      <c r="B365" t="s">
        <v>18</v>
      </c>
      <c r="C365">
        <v>112500</v>
      </c>
      <c r="D365" t="s">
        <v>30</v>
      </c>
      <c r="E365" t="s">
        <v>20</v>
      </c>
      <c r="F365" t="s">
        <v>32</v>
      </c>
      <c r="G365" t="s">
        <v>22</v>
      </c>
      <c r="H365" t="s">
        <v>68</v>
      </c>
      <c r="I365" t="s">
        <v>66</v>
      </c>
      <c r="J365">
        <v>135000</v>
      </c>
      <c r="K365">
        <v>0</v>
      </c>
      <c r="L365" t="s">
        <v>45</v>
      </c>
      <c r="M365" t="s">
        <v>28</v>
      </c>
      <c r="N365" t="s">
        <v>27</v>
      </c>
      <c r="O365" t="s">
        <v>28</v>
      </c>
      <c r="P365" t="s">
        <v>26</v>
      </c>
      <c r="Q365">
        <v>0</v>
      </c>
    </row>
    <row r="366" spans="1:17" x14ac:dyDescent="0.25">
      <c r="A366" t="s">
        <v>17</v>
      </c>
      <c r="B366" t="s">
        <v>18</v>
      </c>
      <c r="C366">
        <v>112500</v>
      </c>
      <c r="D366" t="s">
        <v>19</v>
      </c>
      <c r="E366" t="s">
        <v>20</v>
      </c>
      <c r="F366" t="s">
        <v>32</v>
      </c>
      <c r="G366" t="s">
        <v>22</v>
      </c>
      <c r="H366" t="s">
        <v>23</v>
      </c>
      <c r="I366" t="s">
        <v>24</v>
      </c>
      <c r="J366">
        <v>185935.14</v>
      </c>
      <c r="K366">
        <v>4.1399999999999997</v>
      </c>
      <c r="L366" t="s">
        <v>51</v>
      </c>
      <c r="M366" t="s">
        <v>26</v>
      </c>
      <c r="N366" t="s">
        <v>58</v>
      </c>
      <c r="O366" t="s">
        <v>35</v>
      </c>
      <c r="P366" t="s">
        <v>64</v>
      </c>
      <c r="Q366">
        <v>1</v>
      </c>
    </row>
    <row r="367" spans="1:17" x14ac:dyDescent="0.25">
      <c r="A367" t="s">
        <v>17</v>
      </c>
      <c r="B367" t="s">
        <v>18</v>
      </c>
      <c r="C367">
        <v>112500</v>
      </c>
      <c r="D367" t="s">
        <v>19</v>
      </c>
      <c r="E367" t="s">
        <v>20</v>
      </c>
      <c r="F367" t="s">
        <v>32</v>
      </c>
      <c r="G367" t="s">
        <v>22</v>
      </c>
      <c r="H367" t="s">
        <v>23</v>
      </c>
      <c r="I367" t="s">
        <v>24</v>
      </c>
      <c r="J367">
        <v>185935.14</v>
      </c>
      <c r="K367">
        <v>4.1399999999999997</v>
      </c>
      <c r="L367" t="s">
        <v>51</v>
      </c>
      <c r="M367" t="s">
        <v>26</v>
      </c>
      <c r="N367" t="s">
        <v>58</v>
      </c>
      <c r="O367" t="s">
        <v>35</v>
      </c>
      <c r="P367" t="s">
        <v>64</v>
      </c>
      <c r="Q367">
        <v>1</v>
      </c>
    </row>
    <row r="368" spans="1:17" x14ac:dyDescent="0.25">
      <c r="A368" t="s">
        <v>17</v>
      </c>
      <c r="B368" t="s">
        <v>18</v>
      </c>
      <c r="C368">
        <v>112500</v>
      </c>
      <c r="D368" t="s">
        <v>19</v>
      </c>
      <c r="E368" t="s">
        <v>20</v>
      </c>
      <c r="F368" t="s">
        <v>32</v>
      </c>
      <c r="G368" t="s">
        <v>22</v>
      </c>
      <c r="H368" t="s">
        <v>23</v>
      </c>
      <c r="I368" t="s">
        <v>24</v>
      </c>
      <c r="J368">
        <v>127741.27499999999</v>
      </c>
      <c r="K368">
        <v>4.2750000000000004</v>
      </c>
      <c r="L368" t="s">
        <v>45</v>
      </c>
      <c r="M368" t="s">
        <v>26</v>
      </c>
      <c r="N368" t="s">
        <v>58</v>
      </c>
      <c r="O368" t="s">
        <v>35</v>
      </c>
      <c r="P368" t="s">
        <v>59</v>
      </c>
      <c r="Q368">
        <v>1</v>
      </c>
    </row>
    <row r="369" spans="1:17" x14ac:dyDescent="0.25">
      <c r="A369" t="s">
        <v>17</v>
      </c>
      <c r="B369" t="s">
        <v>18</v>
      </c>
      <c r="C369">
        <v>112500</v>
      </c>
      <c r="D369" t="s">
        <v>19</v>
      </c>
      <c r="E369" t="s">
        <v>20</v>
      </c>
      <c r="F369" t="s">
        <v>32</v>
      </c>
      <c r="G369" t="s">
        <v>22</v>
      </c>
      <c r="H369" t="s">
        <v>23</v>
      </c>
      <c r="I369" t="s">
        <v>24</v>
      </c>
      <c r="J369">
        <v>121455</v>
      </c>
      <c r="K369">
        <v>22500</v>
      </c>
      <c r="L369" t="s">
        <v>38</v>
      </c>
      <c r="M369" t="s">
        <v>26</v>
      </c>
      <c r="N369" t="s">
        <v>27</v>
      </c>
      <c r="O369" t="s">
        <v>35</v>
      </c>
      <c r="P369" t="s">
        <v>26</v>
      </c>
      <c r="Q369">
        <v>0</v>
      </c>
    </row>
    <row r="370" spans="1:17" x14ac:dyDescent="0.25">
      <c r="A370" t="s">
        <v>29</v>
      </c>
      <c r="B370" t="s">
        <v>18</v>
      </c>
      <c r="C370">
        <v>180000</v>
      </c>
      <c r="D370" t="s">
        <v>19</v>
      </c>
      <c r="E370" t="s">
        <v>20</v>
      </c>
      <c r="F370" t="s">
        <v>39</v>
      </c>
      <c r="G370" t="s">
        <v>22</v>
      </c>
      <c r="H370" t="s">
        <v>91</v>
      </c>
      <c r="I370" t="s">
        <v>24</v>
      </c>
      <c r="J370">
        <v>23575.5</v>
      </c>
      <c r="K370">
        <v>0</v>
      </c>
      <c r="L370" t="s">
        <v>42</v>
      </c>
      <c r="M370" t="s">
        <v>26</v>
      </c>
      <c r="N370" t="s">
        <v>27</v>
      </c>
      <c r="O370" t="s">
        <v>35</v>
      </c>
      <c r="P370" t="s">
        <v>26</v>
      </c>
      <c r="Q370">
        <v>0</v>
      </c>
    </row>
    <row r="371" spans="1:17" x14ac:dyDescent="0.25">
      <c r="A371" t="s">
        <v>29</v>
      </c>
      <c r="B371" t="s">
        <v>18</v>
      </c>
      <c r="C371">
        <v>180000</v>
      </c>
      <c r="D371" t="s">
        <v>19</v>
      </c>
      <c r="E371" t="s">
        <v>20</v>
      </c>
      <c r="F371" t="s">
        <v>39</v>
      </c>
      <c r="G371" t="s">
        <v>22</v>
      </c>
      <c r="H371" t="s">
        <v>91</v>
      </c>
      <c r="I371" t="s">
        <v>24</v>
      </c>
      <c r="J371">
        <v>81346.5</v>
      </c>
      <c r="K371">
        <v>0</v>
      </c>
      <c r="L371" t="s">
        <v>45</v>
      </c>
      <c r="M371" t="s">
        <v>26</v>
      </c>
      <c r="N371" t="s">
        <v>58</v>
      </c>
      <c r="O371" t="s">
        <v>35</v>
      </c>
      <c r="P371" t="s">
        <v>60</v>
      </c>
      <c r="Q371">
        <v>1</v>
      </c>
    </row>
    <row r="372" spans="1:17" x14ac:dyDescent="0.25">
      <c r="A372" t="s">
        <v>29</v>
      </c>
      <c r="B372" t="s">
        <v>18</v>
      </c>
      <c r="C372">
        <v>180000</v>
      </c>
      <c r="D372" t="s">
        <v>19</v>
      </c>
      <c r="E372" t="s">
        <v>20</v>
      </c>
      <c r="F372" t="s">
        <v>39</v>
      </c>
      <c r="G372" t="s">
        <v>22</v>
      </c>
      <c r="H372" t="s">
        <v>91</v>
      </c>
      <c r="I372" t="s">
        <v>24</v>
      </c>
      <c r="J372">
        <v>80955</v>
      </c>
      <c r="K372">
        <v>0</v>
      </c>
      <c r="L372" t="s">
        <v>51</v>
      </c>
      <c r="M372" t="s">
        <v>26</v>
      </c>
      <c r="N372" t="s">
        <v>27</v>
      </c>
      <c r="O372" t="s">
        <v>35</v>
      </c>
      <c r="P372" t="s">
        <v>26</v>
      </c>
      <c r="Q372">
        <v>0</v>
      </c>
    </row>
    <row r="373" spans="1:17" x14ac:dyDescent="0.25">
      <c r="A373" t="s">
        <v>29</v>
      </c>
      <c r="B373" t="s">
        <v>18</v>
      </c>
      <c r="C373">
        <v>292500</v>
      </c>
      <c r="D373" t="s">
        <v>46</v>
      </c>
      <c r="E373" t="s">
        <v>20</v>
      </c>
      <c r="F373" t="s">
        <v>54</v>
      </c>
      <c r="G373" t="s">
        <v>22</v>
      </c>
      <c r="H373" t="s">
        <v>28</v>
      </c>
      <c r="I373" t="s">
        <v>66</v>
      </c>
      <c r="J373">
        <v>180000</v>
      </c>
      <c r="K373">
        <v>0</v>
      </c>
      <c r="L373" t="s">
        <v>42</v>
      </c>
      <c r="M373" t="s">
        <v>28</v>
      </c>
      <c r="N373" t="s">
        <v>27</v>
      </c>
      <c r="O373" t="s">
        <v>28</v>
      </c>
      <c r="P373" t="s">
        <v>26</v>
      </c>
      <c r="Q373">
        <v>0</v>
      </c>
    </row>
    <row r="374" spans="1:17" x14ac:dyDescent="0.25">
      <c r="A374" t="s">
        <v>29</v>
      </c>
      <c r="B374" t="s">
        <v>18</v>
      </c>
      <c r="C374">
        <v>292500</v>
      </c>
      <c r="D374" t="s">
        <v>46</v>
      </c>
      <c r="E374" t="s">
        <v>20</v>
      </c>
      <c r="F374" t="s">
        <v>54</v>
      </c>
      <c r="G374" t="s">
        <v>22</v>
      </c>
      <c r="H374" t="s">
        <v>28</v>
      </c>
      <c r="I374" t="s">
        <v>66</v>
      </c>
      <c r="J374">
        <v>45000</v>
      </c>
      <c r="K374">
        <v>0</v>
      </c>
      <c r="L374" t="s">
        <v>51</v>
      </c>
      <c r="M374" t="s">
        <v>28</v>
      </c>
      <c r="N374" t="s">
        <v>27</v>
      </c>
      <c r="O374" t="s">
        <v>28</v>
      </c>
      <c r="P374" t="s">
        <v>26</v>
      </c>
      <c r="Q374">
        <v>0</v>
      </c>
    </row>
    <row r="375" spans="1:17" x14ac:dyDescent="0.25">
      <c r="A375" t="s">
        <v>29</v>
      </c>
      <c r="B375" t="s">
        <v>18</v>
      </c>
      <c r="C375">
        <v>292500</v>
      </c>
      <c r="D375" t="s">
        <v>46</v>
      </c>
      <c r="E375" t="s">
        <v>20</v>
      </c>
      <c r="F375" t="s">
        <v>54</v>
      </c>
      <c r="G375" t="s">
        <v>22</v>
      </c>
      <c r="H375" t="s">
        <v>28</v>
      </c>
      <c r="I375" t="s">
        <v>24</v>
      </c>
      <c r="J375">
        <v>31455</v>
      </c>
      <c r="K375">
        <v>3145.5</v>
      </c>
      <c r="L375" t="s">
        <v>42</v>
      </c>
      <c r="M375" t="s">
        <v>26</v>
      </c>
      <c r="N375" t="s">
        <v>27</v>
      </c>
      <c r="O375" t="s">
        <v>35</v>
      </c>
      <c r="P375" t="s">
        <v>26</v>
      </c>
      <c r="Q375">
        <v>0</v>
      </c>
    </row>
    <row r="376" spans="1:17" x14ac:dyDescent="0.25">
      <c r="A376" t="s">
        <v>29</v>
      </c>
      <c r="B376" t="s">
        <v>18</v>
      </c>
      <c r="C376">
        <v>225000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>
        <v>118633.5</v>
      </c>
      <c r="K376">
        <v>0</v>
      </c>
      <c r="L376" t="s">
        <v>25</v>
      </c>
      <c r="M376" t="s">
        <v>26</v>
      </c>
      <c r="N376" t="s">
        <v>27</v>
      </c>
      <c r="O376" t="s">
        <v>28</v>
      </c>
      <c r="P376" t="s">
        <v>26</v>
      </c>
      <c r="Q376">
        <v>0</v>
      </c>
    </row>
    <row r="377" spans="1:17" x14ac:dyDescent="0.25">
      <c r="A377" t="s">
        <v>17</v>
      </c>
      <c r="B377" t="s">
        <v>36</v>
      </c>
      <c r="C377">
        <v>135000</v>
      </c>
      <c r="D377" t="s">
        <v>19</v>
      </c>
      <c r="E377" t="s">
        <v>70</v>
      </c>
      <c r="F377" t="s">
        <v>21</v>
      </c>
      <c r="G377" t="s">
        <v>22</v>
      </c>
      <c r="H377" t="s">
        <v>23</v>
      </c>
      <c r="I377" t="s">
        <v>24</v>
      </c>
      <c r="J377">
        <v>109710</v>
      </c>
      <c r="K377">
        <v>0</v>
      </c>
      <c r="L377" t="s">
        <v>25</v>
      </c>
      <c r="M377" t="s">
        <v>26</v>
      </c>
      <c r="N377" t="s">
        <v>27</v>
      </c>
      <c r="O377" t="s">
        <v>35</v>
      </c>
      <c r="P377" t="s">
        <v>26</v>
      </c>
      <c r="Q377">
        <v>0</v>
      </c>
    </row>
    <row r="378" spans="1:17" x14ac:dyDescent="0.25">
      <c r="A378" t="s">
        <v>17</v>
      </c>
      <c r="B378" t="s">
        <v>18</v>
      </c>
      <c r="C378">
        <v>225000</v>
      </c>
      <c r="D378" t="s">
        <v>30</v>
      </c>
      <c r="E378" t="s">
        <v>20</v>
      </c>
      <c r="F378" t="s">
        <v>32</v>
      </c>
      <c r="G378" t="s">
        <v>22</v>
      </c>
      <c r="H378" t="s">
        <v>96</v>
      </c>
      <c r="I378" t="s">
        <v>66</v>
      </c>
      <c r="J378">
        <v>67500</v>
      </c>
      <c r="K378">
        <v>0</v>
      </c>
      <c r="L378" t="s">
        <v>43</v>
      </c>
      <c r="M378" t="s">
        <v>82</v>
      </c>
      <c r="N378" t="s">
        <v>27</v>
      </c>
      <c r="O378" t="s">
        <v>35</v>
      </c>
      <c r="P378" t="s">
        <v>26</v>
      </c>
      <c r="Q378">
        <v>0</v>
      </c>
    </row>
    <row r="379" spans="1:17" x14ac:dyDescent="0.25">
      <c r="A379" t="s">
        <v>17</v>
      </c>
      <c r="B379" t="s">
        <v>18</v>
      </c>
      <c r="C379">
        <v>225000</v>
      </c>
      <c r="D379" t="s">
        <v>30</v>
      </c>
      <c r="E379" t="s">
        <v>20</v>
      </c>
      <c r="F379" t="s">
        <v>32</v>
      </c>
      <c r="G379" t="s">
        <v>22</v>
      </c>
      <c r="H379" t="s">
        <v>96</v>
      </c>
      <c r="I379" t="s">
        <v>24</v>
      </c>
      <c r="J379">
        <v>76410</v>
      </c>
      <c r="K379">
        <v>7641</v>
      </c>
      <c r="L379" t="s">
        <v>51</v>
      </c>
      <c r="M379" t="s">
        <v>26</v>
      </c>
      <c r="N379" t="s">
        <v>27</v>
      </c>
      <c r="O379" t="s">
        <v>35</v>
      </c>
      <c r="P379" t="s">
        <v>26</v>
      </c>
      <c r="Q379">
        <v>0</v>
      </c>
    </row>
    <row r="380" spans="1:17" x14ac:dyDescent="0.25">
      <c r="A380" t="s">
        <v>17</v>
      </c>
      <c r="B380" t="s">
        <v>18</v>
      </c>
      <c r="C380">
        <v>225000</v>
      </c>
      <c r="D380" t="s">
        <v>30</v>
      </c>
      <c r="E380" t="s">
        <v>20</v>
      </c>
      <c r="F380" t="s">
        <v>32</v>
      </c>
      <c r="G380" t="s">
        <v>22</v>
      </c>
      <c r="H380" t="s">
        <v>96</v>
      </c>
      <c r="I380" t="s">
        <v>66</v>
      </c>
      <c r="J380">
        <v>225000</v>
      </c>
      <c r="K380">
        <v>0</v>
      </c>
      <c r="L380" t="s">
        <v>43</v>
      </c>
      <c r="M380" t="s">
        <v>28</v>
      </c>
      <c r="N380" t="s">
        <v>27</v>
      </c>
      <c r="O380" t="s">
        <v>35</v>
      </c>
      <c r="P380" t="s">
        <v>26</v>
      </c>
      <c r="Q380">
        <v>0</v>
      </c>
    </row>
    <row r="381" spans="1:17" x14ac:dyDescent="0.25">
      <c r="A381" t="s">
        <v>17</v>
      </c>
      <c r="B381" t="s">
        <v>18</v>
      </c>
      <c r="C381">
        <v>157500</v>
      </c>
      <c r="D381" t="s">
        <v>19</v>
      </c>
      <c r="E381" t="s">
        <v>31</v>
      </c>
      <c r="F381" t="s">
        <v>32</v>
      </c>
      <c r="G381" t="s">
        <v>22</v>
      </c>
      <c r="H381" t="s">
        <v>23</v>
      </c>
      <c r="I381" t="s">
        <v>24</v>
      </c>
      <c r="J381">
        <v>58900.5</v>
      </c>
      <c r="K381">
        <v>5890.5</v>
      </c>
      <c r="L381" t="s">
        <v>43</v>
      </c>
      <c r="M381" t="s">
        <v>26</v>
      </c>
      <c r="N381" t="s">
        <v>27</v>
      </c>
      <c r="O381" t="s">
        <v>35</v>
      </c>
      <c r="P381" t="s">
        <v>26</v>
      </c>
      <c r="Q381">
        <v>0</v>
      </c>
    </row>
    <row r="382" spans="1:17" x14ac:dyDescent="0.25">
      <c r="A382" t="s">
        <v>17</v>
      </c>
      <c r="B382" t="s">
        <v>18</v>
      </c>
      <c r="C382">
        <v>157500</v>
      </c>
      <c r="D382" t="s">
        <v>19</v>
      </c>
      <c r="E382" t="s">
        <v>31</v>
      </c>
      <c r="F382" t="s">
        <v>32</v>
      </c>
      <c r="G382" t="s">
        <v>22</v>
      </c>
      <c r="H382" t="s">
        <v>23</v>
      </c>
      <c r="I382" t="s">
        <v>24</v>
      </c>
      <c r="J382">
        <v>195291</v>
      </c>
      <c r="K382">
        <v>23436</v>
      </c>
      <c r="L382" t="s">
        <v>38</v>
      </c>
      <c r="M382" t="s">
        <v>26</v>
      </c>
      <c r="N382" t="s">
        <v>27</v>
      </c>
      <c r="O382" t="s">
        <v>35</v>
      </c>
      <c r="P382" t="s">
        <v>26</v>
      </c>
      <c r="Q382">
        <v>0</v>
      </c>
    </row>
    <row r="383" spans="1:17" x14ac:dyDescent="0.25">
      <c r="A383" t="s">
        <v>17</v>
      </c>
      <c r="B383" t="s">
        <v>18</v>
      </c>
      <c r="C383">
        <v>157500</v>
      </c>
      <c r="D383" t="s">
        <v>19</v>
      </c>
      <c r="E383" t="s">
        <v>31</v>
      </c>
      <c r="F383" t="s">
        <v>32</v>
      </c>
      <c r="G383" t="s">
        <v>22</v>
      </c>
      <c r="H383" t="s">
        <v>23</v>
      </c>
      <c r="I383" t="s">
        <v>24</v>
      </c>
      <c r="J383">
        <v>103459.5</v>
      </c>
      <c r="K383">
        <v>0</v>
      </c>
      <c r="L383" t="s">
        <v>45</v>
      </c>
      <c r="M383" t="s">
        <v>26</v>
      </c>
      <c r="N383" t="s">
        <v>58</v>
      </c>
      <c r="O383" t="s">
        <v>28</v>
      </c>
      <c r="P383" t="s">
        <v>59</v>
      </c>
      <c r="Q383">
        <v>1</v>
      </c>
    </row>
    <row r="384" spans="1:17" x14ac:dyDescent="0.25">
      <c r="A384" t="s">
        <v>17</v>
      </c>
      <c r="B384" t="s">
        <v>18</v>
      </c>
      <c r="C384">
        <v>157500</v>
      </c>
      <c r="D384" t="s">
        <v>19</v>
      </c>
      <c r="E384" t="s">
        <v>31</v>
      </c>
      <c r="F384" t="s">
        <v>32</v>
      </c>
      <c r="G384" t="s">
        <v>22</v>
      </c>
      <c r="H384" t="s">
        <v>23</v>
      </c>
      <c r="I384" t="s">
        <v>24</v>
      </c>
      <c r="J384">
        <v>89901</v>
      </c>
      <c r="K384">
        <v>0</v>
      </c>
      <c r="L384" t="s">
        <v>25</v>
      </c>
      <c r="M384" t="s">
        <v>26</v>
      </c>
      <c r="N384" t="s">
        <v>27</v>
      </c>
      <c r="O384" t="s">
        <v>35</v>
      </c>
      <c r="P384" t="s">
        <v>26</v>
      </c>
      <c r="Q384">
        <v>0</v>
      </c>
    </row>
    <row r="385" spans="1:17" x14ac:dyDescent="0.25">
      <c r="A385" t="s">
        <v>17</v>
      </c>
      <c r="B385" t="s">
        <v>18</v>
      </c>
      <c r="C385">
        <v>180000</v>
      </c>
      <c r="D385" t="s">
        <v>19</v>
      </c>
      <c r="E385" t="s">
        <v>31</v>
      </c>
      <c r="F385" t="s">
        <v>32</v>
      </c>
      <c r="G385" t="s">
        <v>52</v>
      </c>
      <c r="H385" t="s">
        <v>23</v>
      </c>
      <c r="I385" t="s">
        <v>24</v>
      </c>
      <c r="J385">
        <v>147582</v>
      </c>
      <c r="K385">
        <v>90000</v>
      </c>
      <c r="L385" t="s">
        <v>42</v>
      </c>
      <c r="M385" t="s">
        <v>26</v>
      </c>
      <c r="N385" t="s">
        <v>58</v>
      </c>
      <c r="O385" t="s">
        <v>35</v>
      </c>
      <c r="P385" t="s">
        <v>60</v>
      </c>
      <c r="Q385">
        <v>1</v>
      </c>
    </row>
    <row r="386" spans="1:17" x14ac:dyDescent="0.25">
      <c r="A386" t="s">
        <v>17</v>
      </c>
      <c r="B386" t="s">
        <v>18</v>
      </c>
      <c r="C386">
        <v>180000</v>
      </c>
      <c r="D386" t="s">
        <v>19</v>
      </c>
      <c r="E386" t="s">
        <v>31</v>
      </c>
      <c r="F386" t="s">
        <v>32</v>
      </c>
      <c r="G386" t="s">
        <v>52</v>
      </c>
      <c r="H386" t="s">
        <v>23</v>
      </c>
      <c r="I386" t="s">
        <v>24</v>
      </c>
      <c r="J386">
        <v>136107</v>
      </c>
      <c r="K386">
        <v>0</v>
      </c>
      <c r="L386" t="s">
        <v>25</v>
      </c>
      <c r="M386" t="s">
        <v>26</v>
      </c>
      <c r="N386" t="s">
        <v>27</v>
      </c>
      <c r="O386" t="s">
        <v>35</v>
      </c>
      <c r="P386" t="s">
        <v>26</v>
      </c>
      <c r="Q386">
        <v>0</v>
      </c>
    </row>
    <row r="387" spans="1:17" x14ac:dyDescent="0.25">
      <c r="A387" t="s">
        <v>17</v>
      </c>
      <c r="B387" t="s">
        <v>18</v>
      </c>
      <c r="C387">
        <v>180000</v>
      </c>
      <c r="D387" t="s">
        <v>19</v>
      </c>
      <c r="E387" t="s">
        <v>31</v>
      </c>
      <c r="F387" t="s">
        <v>32</v>
      </c>
      <c r="G387" t="s">
        <v>52</v>
      </c>
      <c r="H387" t="s">
        <v>23</v>
      </c>
      <c r="I387" t="s">
        <v>24</v>
      </c>
      <c r="J387">
        <v>180841.5</v>
      </c>
      <c r="K387">
        <v>0</v>
      </c>
      <c r="L387" t="s">
        <v>38</v>
      </c>
      <c r="M387" t="s">
        <v>26</v>
      </c>
      <c r="N387" t="s">
        <v>27</v>
      </c>
      <c r="O387" t="s">
        <v>35</v>
      </c>
      <c r="P387" t="s">
        <v>26</v>
      </c>
      <c r="Q387">
        <v>0</v>
      </c>
    </row>
    <row r="388" spans="1:17" x14ac:dyDescent="0.25">
      <c r="A388" t="s">
        <v>17</v>
      </c>
      <c r="B388" t="s">
        <v>18</v>
      </c>
      <c r="C388">
        <v>180000</v>
      </c>
      <c r="D388" t="s">
        <v>19</v>
      </c>
      <c r="E388" t="s">
        <v>31</v>
      </c>
      <c r="F388" t="s">
        <v>32</v>
      </c>
      <c r="G388" t="s">
        <v>52</v>
      </c>
      <c r="H388" t="s">
        <v>23</v>
      </c>
      <c r="I388" t="s">
        <v>24</v>
      </c>
      <c r="J388">
        <v>154341</v>
      </c>
      <c r="K388">
        <v>30870</v>
      </c>
      <c r="L388" t="s">
        <v>25</v>
      </c>
      <c r="M388" t="s">
        <v>26</v>
      </c>
      <c r="N388" t="s">
        <v>27</v>
      </c>
      <c r="O388" t="s">
        <v>35</v>
      </c>
      <c r="P388" t="s">
        <v>26</v>
      </c>
      <c r="Q388">
        <v>0</v>
      </c>
    </row>
    <row r="389" spans="1:17" x14ac:dyDescent="0.25">
      <c r="A389" t="s">
        <v>17</v>
      </c>
      <c r="B389" t="s">
        <v>18</v>
      </c>
      <c r="C389">
        <v>180000</v>
      </c>
      <c r="D389" t="s">
        <v>19</v>
      </c>
      <c r="E389" t="s">
        <v>31</v>
      </c>
      <c r="F389" t="s">
        <v>32</v>
      </c>
      <c r="G389" t="s">
        <v>52</v>
      </c>
      <c r="H389" t="s">
        <v>23</v>
      </c>
      <c r="I389" t="s">
        <v>24</v>
      </c>
      <c r="J389">
        <v>87295.5</v>
      </c>
      <c r="K389">
        <v>0</v>
      </c>
      <c r="L389" t="s">
        <v>51</v>
      </c>
      <c r="M389" t="s">
        <v>26</v>
      </c>
      <c r="N389" t="s">
        <v>27</v>
      </c>
      <c r="O389" t="s">
        <v>35</v>
      </c>
      <c r="P389" t="s">
        <v>26</v>
      </c>
      <c r="Q389">
        <v>0</v>
      </c>
    </row>
    <row r="390" spans="1:17" x14ac:dyDescent="0.25">
      <c r="A390" t="s">
        <v>29</v>
      </c>
      <c r="B390" t="s">
        <v>18</v>
      </c>
      <c r="C390">
        <v>87750</v>
      </c>
      <c r="D390" t="s">
        <v>46</v>
      </c>
      <c r="E390" t="s">
        <v>31</v>
      </c>
      <c r="F390" t="s">
        <v>32</v>
      </c>
      <c r="G390" t="s">
        <v>22</v>
      </c>
      <c r="H390" t="s">
        <v>28</v>
      </c>
      <c r="I390" t="s">
        <v>24</v>
      </c>
      <c r="J390">
        <v>46305.9</v>
      </c>
      <c r="K390">
        <v>4631.3999999999996</v>
      </c>
      <c r="L390" t="s">
        <v>45</v>
      </c>
      <c r="M390" t="s">
        <v>26</v>
      </c>
      <c r="N390" t="s">
        <v>27</v>
      </c>
      <c r="O390" t="s">
        <v>35</v>
      </c>
      <c r="P390" t="s">
        <v>26</v>
      </c>
      <c r="Q390">
        <v>0</v>
      </c>
    </row>
    <row r="391" spans="1:17" x14ac:dyDescent="0.25">
      <c r="A391" t="s">
        <v>17</v>
      </c>
      <c r="B391" t="s">
        <v>18</v>
      </c>
      <c r="C391">
        <v>292500</v>
      </c>
      <c r="D391" t="s">
        <v>19</v>
      </c>
      <c r="E391" t="s">
        <v>20</v>
      </c>
      <c r="F391" t="s">
        <v>32</v>
      </c>
      <c r="G391" t="s">
        <v>22</v>
      </c>
      <c r="H391" t="s">
        <v>49</v>
      </c>
      <c r="I391" t="s">
        <v>24</v>
      </c>
      <c r="J391">
        <v>129105</v>
      </c>
      <c r="K391">
        <v>9000</v>
      </c>
      <c r="L391" t="s">
        <v>38</v>
      </c>
      <c r="M391" t="s">
        <v>26</v>
      </c>
      <c r="N391" t="s">
        <v>27</v>
      </c>
      <c r="O391" t="s">
        <v>35</v>
      </c>
      <c r="P391" t="s">
        <v>26</v>
      </c>
      <c r="Q391">
        <v>0</v>
      </c>
    </row>
    <row r="392" spans="1:17" x14ac:dyDescent="0.25">
      <c r="A392" t="s">
        <v>17</v>
      </c>
      <c r="B392" t="s">
        <v>18</v>
      </c>
      <c r="C392">
        <v>292500</v>
      </c>
      <c r="D392" t="s">
        <v>19</v>
      </c>
      <c r="E392" t="s">
        <v>20</v>
      </c>
      <c r="F392" t="s">
        <v>32</v>
      </c>
      <c r="G392" t="s">
        <v>22</v>
      </c>
      <c r="H392" t="s">
        <v>49</v>
      </c>
      <c r="I392" t="s">
        <v>66</v>
      </c>
      <c r="J392">
        <v>225000</v>
      </c>
      <c r="K392">
        <v>0</v>
      </c>
      <c r="L392" t="s">
        <v>51</v>
      </c>
      <c r="M392" t="s">
        <v>28</v>
      </c>
      <c r="N392" t="s">
        <v>58</v>
      </c>
      <c r="O392" t="s">
        <v>35</v>
      </c>
      <c r="P392" t="s">
        <v>60</v>
      </c>
      <c r="Q392">
        <v>1</v>
      </c>
    </row>
    <row r="393" spans="1:17" x14ac:dyDescent="0.25">
      <c r="A393" t="s">
        <v>17</v>
      </c>
      <c r="B393" t="s">
        <v>18</v>
      </c>
      <c r="C393">
        <v>292500</v>
      </c>
      <c r="D393" t="s">
        <v>19</v>
      </c>
      <c r="E393" t="s">
        <v>20</v>
      </c>
      <c r="F393" t="s">
        <v>32</v>
      </c>
      <c r="G393" t="s">
        <v>22</v>
      </c>
      <c r="H393" t="s">
        <v>49</v>
      </c>
      <c r="I393" t="s">
        <v>66</v>
      </c>
      <c r="J393">
        <v>90000</v>
      </c>
      <c r="K393">
        <v>0</v>
      </c>
      <c r="L393" t="s">
        <v>42</v>
      </c>
      <c r="M393" t="s">
        <v>28</v>
      </c>
      <c r="N393" t="s">
        <v>27</v>
      </c>
      <c r="O393" t="s">
        <v>35</v>
      </c>
      <c r="P393" t="s">
        <v>26</v>
      </c>
      <c r="Q393">
        <v>0</v>
      </c>
    </row>
    <row r="394" spans="1:17" x14ac:dyDescent="0.25">
      <c r="A394" t="s">
        <v>29</v>
      </c>
      <c r="B394" t="s">
        <v>36</v>
      </c>
      <c r="C394">
        <v>121500</v>
      </c>
      <c r="D394" t="s">
        <v>19</v>
      </c>
      <c r="E394" t="s">
        <v>31</v>
      </c>
      <c r="F394" t="s">
        <v>32</v>
      </c>
      <c r="G394" t="s">
        <v>22</v>
      </c>
      <c r="H394" t="s">
        <v>48</v>
      </c>
      <c r="I394" t="s">
        <v>24</v>
      </c>
      <c r="J394">
        <v>25200</v>
      </c>
      <c r="K394">
        <v>0</v>
      </c>
      <c r="L394" t="s">
        <v>38</v>
      </c>
      <c r="M394" t="s">
        <v>26</v>
      </c>
      <c r="N394" t="s">
        <v>27</v>
      </c>
      <c r="O394" t="s">
        <v>35</v>
      </c>
      <c r="P394" t="s">
        <v>26</v>
      </c>
      <c r="Q394">
        <v>0</v>
      </c>
    </row>
    <row r="395" spans="1:17" x14ac:dyDescent="0.25">
      <c r="A395" t="s">
        <v>29</v>
      </c>
      <c r="B395" t="s">
        <v>36</v>
      </c>
      <c r="C395">
        <v>121500</v>
      </c>
      <c r="D395" t="s">
        <v>19</v>
      </c>
      <c r="E395" t="s">
        <v>31</v>
      </c>
      <c r="F395" t="s">
        <v>32</v>
      </c>
      <c r="G395" t="s">
        <v>22</v>
      </c>
      <c r="H395" t="s">
        <v>48</v>
      </c>
      <c r="I395" t="s">
        <v>24</v>
      </c>
      <c r="J395">
        <v>68760</v>
      </c>
      <c r="K395">
        <v>6876</v>
      </c>
      <c r="L395" t="s">
        <v>25</v>
      </c>
      <c r="M395" t="s">
        <v>26</v>
      </c>
      <c r="N395" t="s">
        <v>27</v>
      </c>
      <c r="O395" t="s">
        <v>28</v>
      </c>
      <c r="P395" t="s">
        <v>26</v>
      </c>
      <c r="Q395">
        <v>0</v>
      </c>
    </row>
    <row r="396" spans="1:17" x14ac:dyDescent="0.25">
      <c r="A396" t="s">
        <v>29</v>
      </c>
      <c r="B396" t="s">
        <v>36</v>
      </c>
      <c r="C396">
        <v>121500</v>
      </c>
      <c r="D396" t="s">
        <v>19</v>
      </c>
      <c r="E396" t="s">
        <v>31</v>
      </c>
      <c r="F396" t="s">
        <v>32</v>
      </c>
      <c r="G396" t="s">
        <v>22</v>
      </c>
      <c r="H396" t="s">
        <v>48</v>
      </c>
      <c r="I396" t="s">
        <v>24</v>
      </c>
      <c r="J396">
        <v>24700.95</v>
      </c>
      <c r="K396">
        <v>0</v>
      </c>
      <c r="L396" t="s">
        <v>42</v>
      </c>
      <c r="M396" t="s">
        <v>26</v>
      </c>
      <c r="N396" t="s">
        <v>76</v>
      </c>
      <c r="O396" t="s">
        <v>35</v>
      </c>
      <c r="P396" t="s">
        <v>77</v>
      </c>
      <c r="Q396">
        <v>0</v>
      </c>
    </row>
    <row r="397" spans="1:17" x14ac:dyDescent="0.25">
      <c r="A397" t="s">
        <v>29</v>
      </c>
      <c r="B397" t="s">
        <v>18</v>
      </c>
      <c r="C397">
        <v>67500</v>
      </c>
      <c r="D397" t="s">
        <v>19</v>
      </c>
      <c r="E397" t="s">
        <v>20</v>
      </c>
      <c r="F397" t="s">
        <v>32</v>
      </c>
      <c r="G397" t="s">
        <v>22</v>
      </c>
      <c r="H397" t="s">
        <v>68</v>
      </c>
      <c r="I397" t="s">
        <v>24</v>
      </c>
      <c r="J397">
        <v>24705</v>
      </c>
      <c r="K397">
        <v>2475</v>
      </c>
      <c r="L397" t="s">
        <v>38</v>
      </c>
      <c r="M397" t="s">
        <v>26</v>
      </c>
      <c r="N397" t="s">
        <v>27</v>
      </c>
      <c r="O397" t="s">
        <v>35</v>
      </c>
      <c r="P397" t="s">
        <v>26</v>
      </c>
      <c r="Q397">
        <v>0</v>
      </c>
    </row>
    <row r="398" spans="1:17" x14ac:dyDescent="0.25">
      <c r="A398" t="s">
        <v>29</v>
      </c>
      <c r="B398" t="s">
        <v>18</v>
      </c>
      <c r="C398">
        <v>180000</v>
      </c>
      <c r="D398" t="s">
        <v>19</v>
      </c>
      <c r="E398" t="s">
        <v>31</v>
      </c>
      <c r="F398" t="s">
        <v>32</v>
      </c>
      <c r="G398" t="s">
        <v>22</v>
      </c>
      <c r="H398" t="s">
        <v>33</v>
      </c>
      <c r="I398" t="s">
        <v>66</v>
      </c>
      <c r="J398">
        <v>108000</v>
      </c>
      <c r="K398">
        <v>0</v>
      </c>
      <c r="L398" t="s">
        <v>45</v>
      </c>
      <c r="M398" t="s">
        <v>28</v>
      </c>
      <c r="N398" t="s">
        <v>27</v>
      </c>
      <c r="O398" t="s">
        <v>35</v>
      </c>
      <c r="P398" t="s">
        <v>26</v>
      </c>
      <c r="Q398">
        <v>0</v>
      </c>
    </row>
    <row r="399" spans="1:17" x14ac:dyDescent="0.25">
      <c r="A399" t="s">
        <v>29</v>
      </c>
      <c r="B399" t="s">
        <v>18</v>
      </c>
      <c r="C399">
        <v>180000</v>
      </c>
      <c r="D399" t="s">
        <v>19</v>
      </c>
      <c r="E399" t="s">
        <v>31</v>
      </c>
      <c r="F399" t="s">
        <v>32</v>
      </c>
      <c r="G399" t="s">
        <v>22</v>
      </c>
      <c r="H399" t="s">
        <v>33</v>
      </c>
      <c r="I399" t="s">
        <v>66</v>
      </c>
      <c r="J399">
        <v>180000</v>
      </c>
      <c r="K399">
        <v>0</v>
      </c>
      <c r="L399" t="s">
        <v>42</v>
      </c>
      <c r="M399" t="s">
        <v>28</v>
      </c>
      <c r="N399" t="s">
        <v>27</v>
      </c>
      <c r="O399" t="s">
        <v>35</v>
      </c>
      <c r="P399" t="s">
        <v>26</v>
      </c>
      <c r="Q399">
        <v>0</v>
      </c>
    </row>
    <row r="400" spans="1:17" x14ac:dyDescent="0.25">
      <c r="A400" t="s">
        <v>29</v>
      </c>
      <c r="B400" t="s">
        <v>18</v>
      </c>
      <c r="C400">
        <v>180000</v>
      </c>
      <c r="D400" t="s">
        <v>19</v>
      </c>
      <c r="E400" t="s">
        <v>31</v>
      </c>
      <c r="F400" t="s">
        <v>32</v>
      </c>
      <c r="G400" t="s">
        <v>22</v>
      </c>
      <c r="H400" t="s">
        <v>33</v>
      </c>
      <c r="I400" t="s">
        <v>66</v>
      </c>
      <c r="J400">
        <v>90000</v>
      </c>
      <c r="K400">
        <v>0</v>
      </c>
      <c r="L400" t="s">
        <v>45</v>
      </c>
      <c r="M400" t="s">
        <v>28</v>
      </c>
      <c r="N400" t="s">
        <v>27</v>
      </c>
      <c r="O400" t="s">
        <v>35</v>
      </c>
      <c r="P400" t="s">
        <v>26</v>
      </c>
      <c r="Q400">
        <v>0</v>
      </c>
    </row>
    <row r="401" spans="1:17" x14ac:dyDescent="0.25">
      <c r="A401" t="s">
        <v>29</v>
      </c>
      <c r="B401" t="s">
        <v>18</v>
      </c>
      <c r="C401">
        <v>180000</v>
      </c>
      <c r="D401" t="s">
        <v>19</v>
      </c>
      <c r="E401" t="s">
        <v>31</v>
      </c>
      <c r="F401" t="s">
        <v>32</v>
      </c>
      <c r="G401" t="s">
        <v>22</v>
      </c>
      <c r="H401" t="s">
        <v>33</v>
      </c>
      <c r="I401" t="s">
        <v>66</v>
      </c>
      <c r="J401">
        <v>180000</v>
      </c>
      <c r="K401">
        <v>0</v>
      </c>
      <c r="L401" t="s">
        <v>45</v>
      </c>
      <c r="M401" t="s">
        <v>28</v>
      </c>
      <c r="N401" t="s">
        <v>27</v>
      </c>
      <c r="O401" t="s">
        <v>35</v>
      </c>
      <c r="P401" t="s">
        <v>26</v>
      </c>
      <c r="Q401">
        <v>0</v>
      </c>
    </row>
    <row r="402" spans="1:17" x14ac:dyDescent="0.25">
      <c r="A402" t="s">
        <v>17</v>
      </c>
      <c r="B402" t="s">
        <v>36</v>
      </c>
      <c r="C402">
        <v>225000</v>
      </c>
      <c r="D402" t="s">
        <v>19</v>
      </c>
      <c r="E402" t="s">
        <v>20</v>
      </c>
      <c r="F402" t="s">
        <v>32</v>
      </c>
      <c r="G402" t="s">
        <v>22</v>
      </c>
      <c r="H402" t="s">
        <v>53</v>
      </c>
      <c r="I402" t="s">
        <v>24</v>
      </c>
      <c r="J402">
        <v>34609.095000000001</v>
      </c>
      <c r="K402">
        <v>6929.5950000000003</v>
      </c>
      <c r="L402" t="s">
        <v>42</v>
      </c>
      <c r="M402" t="s">
        <v>26</v>
      </c>
      <c r="N402" t="s">
        <v>27</v>
      </c>
      <c r="O402" t="s">
        <v>35</v>
      </c>
      <c r="P402" t="s">
        <v>26</v>
      </c>
      <c r="Q402">
        <v>0</v>
      </c>
    </row>
    <row r="403" spans="1:17" x14ac:dyDescent="0.25">
      <c r="A403" t="s">
        <v>17</v>
      </c>
      <c r="B403" t="s">
        <v>36</v>
      </c>
      <c r="C403">
        <v>270000</v>
      </c>
      <c r="D403" t="s">
        <v>44</v>
      </c>
      <c r="E403" t="s">
        <v>20</v>
      </c>
      <c r="F403" t="s">
        <v>39</v>
      </c>
      <c r="G403" t="s">
        <v>22</v>
      </c>
      <c r="H403" t="s">
        <v>23</v>
      </c>
      <c r="I403" t="s">
        <v>24</v>
      </c>
      <c r="J403">
        <v>22216.5</v>
      </c>
      <c r="K403">
        <v>4500</v>
      </c>
      <c r="L403" t="s">
        <v>34</v>
      </c>
      <c r="M403" t="s">
        <v>26</v>
      </c>
      <c r="N403" t="s">
        <v>27</v>
      </c>
      <c r="O403" t="s">
        <v>35</v>
      </c>
      <c r="P403" t="s">
        <v>26</v>
      </c>
      <c r="Q403">
        <v>0</v>
      </c>
    </row>
    <row r="404" spans="1:17" x14ac:dyDescent="0.25">
      <c r="A404" t="s">
        <v>17</v>
      </c>
      <c r="B404" t="s">
        <v>36</v>
      </c>
      <c r="C404">
        <v>450000</v>
      </c>
      <c r="D404" t="s">
        <v>44</v>
      </c>
      <c r="E404" t="s">
        <v>31</v>
      </c>
      <c r="F404" t="s">
        <v>32</v>
      </c>
      <c r="G404" t="s">
        <v>22</v>
      </c>
      <c r="H404" t="s">
        <v>23</v>
      </c>
      <c r="I404" t="s">
        <v>24</v>
      </c>
      <c r="J404">
        <v>67437</v>
      </c>
      <c r="K404">
        <v>0</v>
      </c>
      <c r="L404" t="s">
        <v>34</v>
      </c>
      <c r="M404" t="s">
        <v>26</v>
      </c>
      <c r="N404" t="s">
        <v>27</v>
      </c>
      <c r="O404" t="s">
        <v>35</v>
      </c>
      <c r="P404" t="s">
        <v>26</v>
      </c>
      <c r="Q404">
        <v>0</v>
      </c>
    </row>
    <row r="405" spans="1:17" x14ac:dyDescent="0.25">
      <c r="A405" t="s">
        <v>29</v>
      </c>
      <c r="B405" t="s">
        <v>36</v>
      </c>
      <c r="C405">
        <v>112500</v>
      </c>
      <c r="D405" t="s">
        <v>44</v>
      </c>
      <c r="E405" t="s">
        <v>20</v>
      </c>
      <c r="F405" t="s">
        <v>69</v>
      </c>
      <c r="G405" t="s">
        <v>22</v>
      </c>
      <c r="H405" t="s">
        <v>49</v>
      </c>
      <c r="I405" t="s">
        <v>24</v>
      </c>
      <c r="J405">
        <v>109300.5</v>
      </c>
      <c r="K405">
        <v>0</v>
      </c>
      <c r="L405" t="s">
        <v>45</v>
      </c>
      <c r="M405" t="s">
        <v>26</v>
      </c>
      <c r="N405" t="s">
        <v>58</v>
      </c>
      <c r="O405" t="s">
        <v>35</v>
      </c>
      <c r="P405" t="s">
        <v>59</v>
      </c>
      <c r="Q405">
        <v>1</v>
      </c>
    </row>
    <row r="406" spans="1:17" x14ac:dyDescent="0.25">
      <c r="A406" t="s">
        <v>29</v>
      </c>
      <c r="B406" t="s">
        <v>36</v>
      </c>
      <c r="C406">
        <v>112500</v>
      </c>
      <c r="D406" t="s">
        <v>44</v>
      </c>
      <c r="E406" t="s">
        <v>20</v>
      </c>
      <c r="F406" t="s">
        <v>69</v>
      </c>
      <c r="G406" t="s">
        <v>22</v>
      </c>
      <c r="H406" t="s">
        <v>49</v>
      </c>
      <c r="I406" t="s">
        <v>24</v>
      </c>
      <c r="J406">
        <v>121455</v>
      </c>
      <c r="K406">
        <v>0</v>
      </c>
      <c r="L406" t="s">
        <v>43</v>
      </c>
      <c r="M406" t="s">
        <v>26</v>
      </c>
      <c r="N406" t="s">
        <v>58</v>
      </c>
      <c r="O406" t="s">
        <v>35</v>
      </c>
      <c r="P406" t="s">
        <v>60</v>
      </c>
      <c r="Q406">
        <v>1</v>
      </c>
    </row>
    <row r="407" spans="1:17" x14ac:dyDescent="0.25">
      <c r="A407" t="s">
        <v>17</v>
      </c>
      <c r="B407" t="s">
        <v>36</v>
      </c>
      <c r="C407">
        <v>36000</v>
      </c>
      <c r="D407" t="s">
        <v>46</v>
      </c>
      <c r="E407" t="s">
        <v>20</v>
      </c>
      <c r="F407" t="s">
        <v>39</v>
      </c>
      <c r="G407" t="s">
        <v>22</v>
      </c>
      <c r="H407" t="s">
        <v>28</v>
      </c>
      <c r="I407" t="s">
        <v>24</v>
      </c>
      <c r="J407">
        <v>98775</v>
      </c>
      <c r="K407">
        <v>22500</v>
      </c>
      <c r="L407" t="s">
        <v>45</v>
      </c>
      <c r="M407" t="s">
        <v>26</v>
      </c>
      <c r="N407" t="s">
        <v>27</v>
      </c>
      <c r="O407" t="s">
        <v>35</v>
      </c>
      <c r="P407" t="s">
        <v>26</v>
      </c>
      <c r="Q407">
        <v>0</v>
      </c>
    </row>
    <row r="408" spans="1:17" x14ac:dyDescent="0.25">
      <c r="A408" t="s">
        <v>17</v>
      </c>
      <c r="B408" t="s">
        <v>36</v>
      </c>
      <c r="C408">
        <v>180000</v>
      </c>
      <c r="D408" t="s">
        <v>19</v>
      </c>
      <c r="E408" t="s">
        <v>20</v>
      </c>
      <c r="F408" t="s">
        <v>32</v>
      </c>
      <c r="G408" t="s">
        <v>22</v>
      </c>
      <c r="H408" t="s">
        <v>23</v>
      </c>
      <c r="I408" t="s">
        <v>66</v>
      </c>
      <c r="J408">
        <v>180000</v>
      </c>
      <c r="K408">
        <v>0</v>
      </c>
      <c r="L408" t="s">
        <v>38</v>
      </c>
      <c r="M408" t="s">
        <v>28</v>
      </c>
      <c r="N408" t="s">
        <v>27</v>
      </c>
      <c r="O408" t="s">
        <v>35</v>
      </c>
      <c r="P408" t="s">
        <v>26</v>
      </c>
      <c r="Q408">
        <v>0</v>
      </c>
    </row>
    <row r="409" spans="1:17" x14ac:dyDescent="0.25">
      <c r="A409" t="s">
        <v>17</v>
      </c>
      <c r="B409" t="s">
        <v>36</v>
      </c>
      <c r="C409">
        <v>180000</v>
      </c>
      <c r="D409" t="s">
        <v>19</v>
      </c>
      <c r="E409" t="s">
        <v>20</v>
      </c>
      <c r="F409" t="s">
        <v>32</v>
      </c>
      <c r="G409" t="s">
        <v>22</v>
      </c>
      <c r="H409" t="s">
        <v>23</v>
      </c>
      <c r="I409" t="s">
        <v>24</v>
      </c>
      <c r="J409">
        <v>79798.5</v>
      </c>
      <c r="K409">
        <v>0</v>
      </c>
      <c r="L409" t="s">
        <v>25</v>
      </c>
      <c r="M409" t="s">
        <v>26</v>
      </c>
      <c r="N409" t="s">
        <v>27</v>
      </c>
      <c r="O409" t="s">
        <v>35</v>
      </c>
      <c r="P409" t="s">
        <v>26</v>
      </c>
      <c r="Q409">
        <v>0</v>
      </c>
    </row>
    <row r="410" spans="1:17" x14ac:dyDescent="0.25">
      <c r="A410" t="s">
        <v>29</v>
      </c>
      <c r="B410" t="s">
        <v>18</v>
      </c>
      <c r="C410">
        <v>171000</v>
      </c>
      <c r="D410" t="s">
        <v>30</v>
      </c>
      <c r="E410" t="s">
        <v>20</v>
      </c>
      <c r="F410" t="s">
        <v>32</v>
      </c>
      <c r="G410" t="s">
        <v>22</v>
      </c>
      <c r="H410" t="s">
        <v>68</v>
      </c>
      <c r="I410" t="s">
        <v>24</v>
      </c>
      <c r="J410">
        <v>236925</v>
      </c>
      <c r="K410">
        <v>0</v>
      </c>
      <c r="L410" t="s">
        <v>43</v>
      </c>
      <c r="M410" t="s">
        <v>26</v>
      </c>
      <c r="N410" t="s">
        <v>27</v>
      </c>
      <c r="O410" t="s">
        <v>35</v>
      </c>
      <c r="P410" t="s">
        <v>26</v>
      </c>
      <c r="Q410">
        <v>0</v>
      </c>
    </row>
    <row r="411" spans="1:17" x14ac:dyDescent="0.25">
      <c r="A411" t="s">
        <v>29</v>
      </c>
      <c r="B411" t="s">
        <v>18</v>
      </c>
      <c r="C411">
        <v>171000</v>
      </c>
      <c r="D411" t="s">
        <v>30</v>
      </c>
      <c r="E411" t="s">
        <v>20</v>
      </c>
      <c r="F411" t="s">
        <v>32</v>
      </c>
      <c r="G411" t="s">
        <v>22</v>
      </c>
      <c r="H411" t="s">
        <v>68</v>
      </c>
      <c r="I411" t="s">
        <v>24</v>
      </c>
      <c r="J411">
        <v>144504</v>
      </c>
      <c r="K411">
        <v>14454</v>
      </c>
      <c r="L411" t="s">
        <v>43</v>
      </c>
      <c r="M411" t="s">
        <v>26</v>
      </c>
      <c r="N411" t="s">
        <v>27</v>
      </c>
      <c r="O411" t="s">
        <v>35</v>
      </c>
      <c r="P411" t="s">
        <v>26</v>
      </c>
      <c r="Q411">
        <v>0</v>
      </c>
    </row>
    <row r="412" spans="1:17" x14ac:dyDescent="0.25">
      <c r="A412" t="s">
        <v>29</v>
      </c>
      <c r="B412" t="s">
        <v>18</v>
      </c>
      <c r="C412">
        <v>157500</v>
      </c>
      <c r="D412" t="s">
        <v>46</v>
      </c>
      <c r="E412" t="s">
        <v>20</v>
      </c>
      <c r="F412" t="s">
        <v>54</v>
      </c>
      <c r="G412" t="s">
        <v>22</v>
      </c>
      <c r="H412" t="s">
        <v>28</v>
      </c>
      <c r="I412" t="s">
        <v>24</v>
      </c>
      <c r="J412">
        <v>170977.5</v>
      </c>
      <c r="K412">
        <v>63000</v>
      </c>
      <c r="L412" t="s">
        <v>38</v>
      </c>
      <c r="M412" t="s">
        <v>26</v>
      </c>
      <c r="N412" t="s">
        <v>58</v>
      </c>
      <c r="O412" t="s">
        <v>35</v>
      </c>
      <c r="P412" t="s">
        <v>59</v>
      </c>
      <c r="Q412">
        <v>1</v>
      </c>
    </row>
    <row r="413" spans="1:17" x14ac:dyDescent="0.25">
      <c r="A413" t="s">
        <v>29</v>
      </c>
      <c r="B413" t="s">
        <v>18</v>
      </c>
      <c r="C413">
        <v>382500</v>
      </c>
      <c r="D413" t="s">
        <v>44</v>
      </c>
      <c r="E413" t="s">
        <v>70</v>
      </c>
      <c r="F413" t="s">
        <v>32</v>
      </c>
      <c r="G413" t="s">
        <v>22</v>
      </c>
      <c r="H413" t="s">
        <v>91</v>
      </c>
      <c r="I413" t="s">
        <v>24</v>
      </c>
      <c r="J413">
        <v>56655</v>
      </c>
      <c r="K413">
        <v>22500</v>
      </c>
      <c r="L413" t="s">
        <v>51</v>
      </c>
      <c r="M413" t="s">
        <v>26</v>
      </c>
      <c r="N413" t="s">
        <v>58</v>
      </c>
      <c r="O413" t="s">
        <v>35</v>
      </c>
      <c r="P413" t="s">
        <v>60</v>
      </c>
      <c r="Q413">
        <v>1</v>
      </c>
    </row>
    <row r="414" spans="1:17" x14ac:dyDescent="0.25">
      <c r="A414" t="s">
        <v>29</v>
      </c>
      <c r="B414" t="s">
        <v>18</v>
      </c>
      <c r="C414">
        <v>382500</v>
      </c>
      <c r="D414" t="s">
        <v>44</v>
      </c>
      <c r="E414" t="s">
        <v>70</v>
      </c>
      <c r="F414" t="s">
        <v>32</v>
      </c>
      <c r="G414" t="s">
        <v>22</v>
      </c>
      <c r="H414" t="s">
        <v>91</v>
      </c>
      <c r="I414" t="s">
        <v>24</v>
      </c>
      <c r="J414">
        <v>76491</v>
      </c>
      <c r="K414">
        <v>7650</v>
      </c>
      <c r="L414" t="s">
        <v>43</v>
      </c>
      <c r="M414" t="s">
        <v>26</v>
      </c>
      <c r="N414" t="s">
        <v>27</v>
      </c>
      <c r="O414" t="s">
        <v>35</v>
      </c>
      <c r="P414" t="s">
        <v>26</v>
      </c>
      <c r="Q414">
        <v>0</v>
      </c>
    </row>
    <row r="415" spans="1:17" x14ac:dyDescent="0.25">
      <c r="A415" t="s">
        <v>29</v>
      </c>
      <c r="B415" t="s">
        <v>18</v>
      </c>
      <c r="C415">
        <v>382500</v>
      </c>
      <c r="D415" t="s">
        <v>44</v>
      </c>
      <c r="E415" t="s">
        <v>70</v>
      </c>
      <c r="F415" t="s">
        <v>32</v>
      </c>
      <c r="G415" t="s">
        <v>22</v>
      </c>
      <c r="H415" t="s">
        <v>91</v>
      </c>
      <c r="I415" t="s">
        <v>24</v>
      </c>
      <c r="J415">
        <v>40356</v>
      </c>
      <c r="K415">
        <v>0</v>
      </c>
      <c r="L415" t="s">
        <v>43</v>
      </c>
      <c r="M415" t="s">
        <v>26</v>
      </c>
      <c r="N415" t="s">
        <v>27</v>
      </c>
      <c r="O415" t="s">
        <v>35</v>
      </c>
      <c r="P415" t="s">
        <v>26</v>
      </c>
      <c r="Q415">
        <v>0</v>
      </c>
    </row>
    <row r="416" spans="1:17" x14ac:dyDescent="0.25">
      <c r="A416" t="s">
        <v>29</v>
      </c>
      <c r="B416" t="s">
        <v>18</v>
      </c>
      <c r="C416">
        <v>63000</v>
      </c>
      <c r="D416" t="s">
        <v>46</v>
      </c>
      <c r="E416" t="s">
        <v>20</v>
      </c>
      <c r="F416" t="s">
        <v>54</v>
      </c>
      <c r="G416" t="s">
        <v>22</v>
      </c>
      <c r="H416" t="s">
        <v>28</v>
      </c>
      <c r="I416" t="s">
        <v>24</v>
      </c>
      <c r="J416">
        <v>104724</v>
      </c>
      <c r="K416">
        <v>0</v>
      </c>
      <c r="L416" t="s">
        <v>34</v>
      </c>
      <c r="M416" t="s">
        <v>26</v>
      </c>
      <c r="N416" t="s">
        <v>27</v>
      </c>
      <c r="O416" t="s">
        <v>35</v>
      </c>
      <c r="P416" t="s">
        <v>26</v>
      </c>
      <c r="Q416">
        <v>0</v>
      </c>
    </row>
    <row r="417" spans="1:17" x14ac:dyDescent="0.25">
      <c r="A417" t="s">
        <v>29</v>
      </c>
      <c r="B417" t="s">
        <v>36</v>
      </c>
      <c r="C417">
        <v>157500</v>
      </c>
      <c r="D417" t="s">
        <v>44</v>
      </c>
      <c r="E417" t="s">
        <v>20</v>
      </c>
      <c r="F417" t="s">
        <v>21</v>
      </c>
      <c r="G417" t="s">
        <v>22</v>
      </c>
      <c r="H417" t="s">
        <v>89</v>
      </c>
      <c r="I417" t="s">
        <v>24</v>
      </c>
      <c r="J417">
        <v>32557.5</v>
      </c>
      <c r="K417">
        <v>0</v>
      </c>
      <c r="L417" t="s">
        <v>51</v>
      </c>
      <c r="M417" t="s">
        <v>26</v>
      </c>
      <c r="N417" t="s">
        <v>76</v>
      </c>
      <c r="O417" t="s">
        <v>35</v>
      </c>
      <c r="P417" t="s">
        <v>77</v>
      </c>
      <c r="Q417">
        <v>0</v>
      </c>
    </row>
    <row r="418" spans="1:17" x14ac:dyDescent="0.25">
      <c r="A418" t="s">
        <v>17</v>
      </c>
      <c r="B418" t="s">
        <v>36</v>
      </c>
      <c r="C418">
        <v>76500</v>
      </c>
      <c r="D418" t="s">
        <v>19</v>
      </c>
      <c r="E418" t="s">
        <v>20</v>
      </c>
      <c r="F418" t="s">
        <v>54</v>
      </c>
      <c r="G418" t="s">
        <v>22</v>
      </c>
      <c r="H418" t="s">
        <v>97</v>
      </c>
      <c r="I418" t="s">
        <v>24</v>
      </c>
      <c r="J418">
        <v>33736.5</v>
      </c>
      <c r="K418">
        <v>0</v>
      </c>
      <c r="L418" t="s">
        <v>38</v>
      </c>
      <c r="M418" t="s">
        <v>26</v>
      </c>
      <c r="N418" t="s">
        <v>27</v>
      </c>
      <c r="O418" t="s">
        <v>35</v>
      </c>
      <c r="P418" t="s">
        <v>26</v>
      </c>
      <c r="Q418">
        <v>0</v>
      </c>
    </row>
    <row r="419" spans="1:17" x14ac:dyDescent="0.25">
      <c r="A419" t="s">
        <v>17</v>
      </c>
      <c r="B419" t="s">
        <v>36</v>
      </c>
      <c r="C419">
        <v>76500</v>
      </c>
      <c r="D419" t="s">
        <v>19</v>
      </c>
      <c r="E419" t="s">
        <v>20</v>
      </c>
      <c r="F419" t="s">
        <v>54</v>
      </c>
      <c r="G419" t="s">
        <v>22</v>
      </c>
      <c r="H419" t="s">
        <v>97</v>
      </c>
      <c r="I419" t="s">
        <v>24</v>
      </c>
      <c r="J419">
        <v>98145</v>
      </c>
      <c r="K419">
        <v>5890.5</v>
      </c>
      <c r="L419" t="s">
        <v>38</v>
      </c>
      <c r="M419" t="s">
        <v>26</v>
      </c>
      <c r="N419" t="s">
        <v>27</v>
      </c>
      <c r="O419" t="s">
        <v>28</v>
      </c>
      <c r="P419" t="s">
        <v>26</v>
      </c>
      <c r="Q419">
        <v>0</v>
      </c>
    </row>
    <row r="420" spans="1:17" x14ac:dyDescent="0.25">
      <c r="A420" t="s">
        <v>17</v>
      </c>
      <c r="B420" t="s">
        <v>18</v>
      </c>
      <c r="C420">
        <v>90000</v>
      </c>
      <c r="D420" t="s">
        <v>19</v>
      </c>
      <c r="E420" t="s">
        <v>20</v>
      </c>
      <c r="F420" t="s">
        <v>21</v>
      </c>
      <c r="G420" t="s">
        <v>62</v>
      </c>
      <c r="H420" t="s">
        <v>23</v>
      </c>
      <c r="I420" t="s">
        <v>24</v>
      </c>
      <c r="J420">
        <v>150025.5</v>
      </c>
      <c r="K420">
        <v>0</v>
      </c>
      <c r="L420" t="s">
        <v>25</v>
      </c>
      <c r="M420" t="s">
        <v>26</v>
      </c>
      <c r="N420" t="s">
        <v>27</v>
      </c>
      <c r="O420" t="s">
        <v>28</v>
      </c>
      <c r="P420" t="s">
        <v>26</v>
      </c>
      <c r="Q420">
        <v>0</v>
      </c>
    </row>
    <row r="421" spans="1:17" x14ac:dyDescent="0.25">
      <c r="A421" t="s">
        <v>17</v>
      </c>
      <c r="B421" t="s">
        <v>36</v>
      </c>
      <c r="C421">
        <v>315000</v>
      </c>
      <c r="D421" t="s">
        <v>19</v>
      </c>
      <c r="E421" t="s">
        <v>20</v>
      </c>
      <c r="F421" t="s">
        <v>21</v>
      </c>
      <c r="G421" t="s">
        <v>62</v>
      </c>
      <c r="H421" t="s">
        <v>23</v>
      </c>
      <c r="I421" t="s">
        <v>24</v>
      </c>
      <c r="J421">
        <v>76455</v>
      </c>
      <c r="K421">
        <v>0</v>
      </c>
      <c r="L421" t="s">
        <v>42</v>
      </c>
      <c r="M421" t="s">
        <v>26</v>
      </c>
      <c r="N421" t="s">
        <v>76</v>
      </c>
      <c r="O421" t="s">
        <v>35</v>
      </c>
      <c r="P421" t="s">
        <v>77</v>
      </c>
      <c r="Q421">
        <v>0</v>
      </c>
    </row>
    <row r="422" spans="1:17" x14ac:dyDescent="0.25">
      <c r="A422" t="s">
        <v>17</v>
      </c>
      <c r="B422" t="s">
        <v>36</v>
      </c>
      <c r="C422">
        <v>315000</v>
      </c>
      <c r="D422" t="s">
        <v>19</v>
      </c>
      <c r="E422" t="s">
        <v>20</v>
      </c>
      <c r="F422" t="s">
        <v>21</v>
      </c>
      <c r="G422" t="s">
        <v>62</v>
      </c>
      <c r="H422" t="s">
        <v>23</v>
      </c>
      <c r="I422" t="s">
        <v>24</v>
      </c>
      <c r="J422">
        <v>66105</v>
      </c>
      <c r="K422">
        <v>6610.5</v>
      </c>
      <c r="L422" t="s">
        <v>25</v>
      </c>
      <c r="M422" t="s">
        <v>26</v>
      </c>
      <c r="N422" t="s">
        <v>27</v>
      </c>
      <c r="O422" t="s">
        <v>28</v>
      </c>
      <c r="P422" t="s">
        <v>26</v>
      </c>
      <c r="Q422">
        <v>0</v>
      </c>
    </row>
    <row r="423" spans="1:17" x14ac:dyDescent="0.25">
      <c r="A423" t="s">
        <v>17</v>
      </c>
      <c r="B423" t="s">
        <v>18</v>
      </c>
      <c r="C423">
        <v>112500</v>
      </c>
      <c r="D423" t="s">
        <v>44</v>
      </c>
      <c r="E423" t="s">
        <v>31</v>
      </c>
      <c r="F423" t="s">
        <v>32</v>
      </c>
      <c r="G423" t="s">
        <v>22</v>
      </c>
      <c r="H423" t="s">
        <v>23</v>
      </c>
      <c r="I423" t="s">
        <v>24</v>
      </c>
      <c r="J423">
        <v>40455</v>
      </c>
      <c r="K423">
        <v>4050</v>
      </c>
      <c r="L423" t="s">
        <v>34</v>
      </c>
      <c r="M423" t="s">
        <v>26</v>
      </c>
      <c r="N423" t="s">
        <v>27</v>
      </c>
      <c r="O423" t="s">
        <v>35</v>
      </c>
      <c r="P423" t="s">
        <v>26</v>
      </c>
      <c r="Q423">
        <v>0</v>
      </c>
    </row>
    <row r="424" spans="1:17" x14ac:dyDescent="0.25">
      <c r="A424" t="s">
        <v>17</v>
      </c>
      <c r="B424" t="s">
        <v>18</v>
      </c>
      <c r="C424">
        <v>112500</v>
      </c>
      <c r="D424" t="s">
        <v>44</v>
      </c>
      <c r="E424" t="s">
        <v>31</v>
      </c>
      <c r="F424" t="s">
        <v>32</v>
      </c>
      <c r="G424" t="s">
        <v>22</v>
      </c>
      <c r="H424" t="s">
        <v>23</v>
      </c>
      <c r="I424" t="s">
        <v>24</v>
      </c>
      <c r="J424">
        <v>42210</v>
      </c>
      <c r="K424">
        <v>4500</v>
      </c>
      <c r="L424" t="s">
        <v>34</v>
      </c>
      <c r="M424" t="s">
        <v>26</v>
      </c>
      <c r="N424" t="s">
        <v>27</v>
      </c>
      <c r="O424" t="s">
        <v>35</v>
      </c>
      <c r="P424" t="s">
        <v>26</v>
      </c>
      <c r="Q424">
        <v>0</v>
      </c>
    </row>
    <row r="425" spans="1:17" x14ac:dyDescent="0.25">
      <c r="A425" t="s">
        <v>17</v>
      </c>
      <c r="B425" t="s">
        <v>18</v>
      </c>
      <c r="C425">
        <v>112500</v>
      </c>
      <c r="D425" t="s">
        <v>44</v>
      </c>
      <c r="E425" t="s">
        <v>31</v>
      </c>
      <c r="F425" t="s">
        <v>32</v>
      </c>
      <c r="G425" t="s">
        <v>22</v>
      </c>
      <c r="H425" t="s">
        <v>23</v>
      </c>
      <c r="I425" t="s">
        <v>24</v>
      </c>
      <c r="J425">
        <v>52245</v>
      </c>
      <c r="K425">
        <v>9000</v>
      </c>
      <c r="L425" t="s">
        <v>25</v>
      </c>
      <c r="M425" t="s">
        <v>26</v>
      </c>
      <c r="N425" t="s">
        <v>27</v>
      </c>
      <c r="O425" t="s">
        <v>35</v>
      </c>
      <c r="P425" t="s">
        <v>26</v>
      </c>
      <c r="Q425">
        <v>0</v>
      </c>
    </row>
    <row r="426" spans="1:17" x14ac:dyDescent="0.25">
      <c r="A426" t="s">
        <v>29</v>
      </c>
      <c r="B426" t="s">
        <v>18</v>
      </c>
      <c r="C426">
        <v>157500</v>
      </c>
      <c r="D426" t="s">
        <v>19</v>
      </c>
      <c r="E426" t="s">
        <v>20</v>
      </c>
      <c r="F426" t="s">
        <v>32</v>
      </c>
      <c r="G426" t="s">
        <v>22</v>
      </c>
      <c r="H426" t="s">
        <v>49</v>
      </c>
      <c r="I426" t="s">
        <v>24</v>
      </c>
      <c r="J426">
        <v>222075</v>
      </c>
      <c r="K426">
        <v>0</v>
      </c>
      <c r="L426" t="s">
        <v>38</v>
      </c>
      <c r="M426" t="s">
        <v>26</v>
      </c>
      <c r="N426" t="s">
        <v>27</v>
      </c>
      <c r="O426" t="s">
        <v>35</v>
      </c>
      <c r="P426" t="s">
        <v>26</v>
      </c>
      <c r="Q426">
        <v>0</v>
      </c>
    </row>
    <row r="427" spans="1:17" x14ac:dyDescent="0.25">
      <c r="A427" t="s">
        <v>29</v>
      </c>
      <c r="B427" t="s">
        <v>18</v>
      </c>
      <c r="C427">
        <v>180000</v>
      </c>
      <c r="D427" t="s">
        <v>30</v>
      </c>
      <c r="E427" t="s">
        <v>31</v>
      </c>
      <c r="F427" t="s">
        <v>69</v>
      </c>
      <c r="G427" t="s">
        <v>22</v>
      </c>
      <c r="H427" t="s">
        <v>33</v>
      </c>
      <c r="I427" t="s">
        <v>66</v>
      </c>
      <c r="J427">
        <v>67500</v>
      </c>
      <c r="K427">
        <v>0</v>
      </c>
      <c r="L427" t="s">
        <v>45</v>
      </c>
      <c r="M427" t="s">
        <v>28</v>
      </c>
      <c r="N427" t="s">
        <v>27</v>
      </c>
      <c r="O427" t="s">
        <v>35</v>
      </c>
      <c r="P427" t="s">
        <v>26</v>
      </c>
      <c r="Q427">
        <v>0</v>
      </c>
    </row>
    <row r="428" spans="1:17" x14ac:dyDescent="0.25">
      <c r="A428" t="s">
        <v>29</v>
      </c>
      <c r="B428" t="s">
        <v>18</v>
      </c>
      <c r="C428">
        <v>180000</v>
      </c>
      <c r="D428" t="s">
        <v>30</v>
      </c>
      <c r="E428" t="s">
        <v>31</v>
      </c>
      <c r="F428" t="s">
        <v>69</v>
      </c>
      <c r="G428" t="s">
        <v>22</v>
      </c>
      <c r="H428" t="s">
        <v>33</v>
      </c>
      <c r="I428" t="s">
        <v>66</v>
      </c>
      <c r="J428">
        <v>45000</v>
      </c>
      <c r="K428">
        <v>0</v>
      </c>
      <c r="L428" t="s">
        <v>34</v>
      </c>
      <c r="M428" t="s">
        <v>28</v>
      </c>
      <c r="N428" t="s">
        <v>27</v>
      </c>
      <c r="O428" t="s">
        <v>35</v>
      </c>
      <c r="P428" t="s">
        <v>26</v>
      </c>
      <c r="Q428">
        <v>0</v>
      </c>
    </row>
    <row r="429" spans="1:17" x14ac:dyDescent="0.25">
      <c r="A429" t="s">
        <v>29</v>
      </c>
      <c r="B429" t="s">
        <v>18</v>
      </c>
      <c r="C429">
        <v>180000</v>
      </c>
      <c r="D429" t="s">
        <v>30</v>
      </c>
      <c r="E429" t="s">
        <v>31</v>
      </c>
      <c r="F429" t="s">
        <v>69</v>
      </c>
      <c r="G429" t="s">
        <v>22</v>
      </c>
      <c r="H429" t="s">
        <v>33</v>
      </c>
      <c r="I429" t="s">
        <v>66</v>
      </c>
      <c r="J429">
        <v>157500</v>
      </c>
      <c r="K429">
        <v>0</v>
      </c>
      <c r="L429" t="s">
        <v>45</v>
      </c>
      <c r="M429" t="s">
        <v>28</v>
      </c>
      <c r="N429" t="s">
        <v>27</v>
      </c>
      <c r="O429" t="s">
        <v>35</v>
      </c>
      <c r="P429" t="s">
        <v>26</v>
      </c>
      <c r="Q429">
        <v>0</v>
      </c>
    </row>
    <row r="430" spans="1:17" x14ac:dyDescent="0.25">
      <c r="A430" t="s">
        <v>29</v>
      </c>
      <c r="B430" t="s">
        <v>18</v>
      </c>
      <c r="C430">
        <v>81000</v>
      </c>
      <c r="D430" t="s">
        <v>46</v>
      </c>
      <c r="E430" t="s">
        <v>20</v>
      </c>
      <c r="F430" t="s">
        <v>32</v>
      </c>
      <c r="G430" t="s">
        <v>22</v>
      </c>
      <c r="H430" t="s">
        <v>28</v>
      </c>
      <c r="I430" t="s">
        <v>24</v>
      </c>
      <c r="J430">
        <v>76045.5</v>
      </c>
      <c r="K430">
        <v>7605</v>
      </c>
      <c r="L430" t="s">
        <v>43</v>
      </c>
      <c r="M430" t="s">
        <v>26</v>
      </c>
      <c r="N430" t="s">
        <v>27</v>
      </c>
      <c r="O430" t="s">
        <v>35</v>
      </c>
      <c r="P430" t="s">
        <v>26</v>
      </c>
      <c r="Q430">
        <v>0</v>
      </c>
    </row>
    <row r="431" spans="1:17" x14ac:dyDescent="0.25">
      <c r="A431" t="s">
        <v>29</v>
      </c>
      <c r="B431" t="s">
        <v>18</v>
      </c>
      <c r="C431">
        <v>69750</v>
      </c>
      <c r="D431" t="s">
        <v>46</v>
      </c>
      <c r="E431" t="s">
        <v>20</v>
      </c>
      <c r="F431" t="s">
        <v>32</v>
      </c>
      <c r="G431" t="s">
        <v>22</v>
      </c>
      <c r="H431" t="s">
        <v>28</v>
      </c>
      <c r="I431" t="s">
        <v>24</v>
      </c>
      <c r="J431">
        <v>265144.5</v>
      </c>
      <c r="K431">
        <v>0</v>
      </c>
      <c r="L431" t="s">
        <v>25</v>
      </c>
      <c r="M431" t="s">
        <v>26</v>
      </c>
      <c r="N431" t="s">
        <v>27</v>
      </c>
      <c r="O431" t="s">
        <v>35</v>
      </c>
      <c r="P431" t="s">
        <v>26</v>
      </c>
      <c r="Q431">
        <v>0</v>
      </c>
    </row>
    <row r="432" spans="1:17" x14ac:dyDescent="0.25">
      <c r="A432" t="s">
        <v>29</v>
      </c>
      <c r="B432" t="s">
        <v>18</v>
      </c>
      <c r="C432">
        <v>81000</v>
      </c>
      <c r="D432" t="s">
        <v>19</v>
      </c>
      <c r="E432" t="s">
        <v>20</v>
      </c>
      <c r="F432" t="s">
        <v>54</v>
      </c>
      <c r="G432" t="s">
        <v>22</v>
      </c>
      <c r="H432" t="s">
        <v>49</v>
      </c>
      <c r="I432" t="s">
        <v>24</v>
      </c>
      <c r="J432">
        <v>33196.5</v>
      </c>
      <c r="K432">
        <v>0</v>
      </c>
      <c r="L432" t="s">
        <v>38</v>
      </c>
      <c r="M432" t="s">
        <v>26</v>
      </c>
      <c r="N432" t="s">
        <v>27</v>
      </c>
      <c r="O432" t="s">
        <v>35</v>
      </c>
      <c r="P432" t="s">
        <v>26</v>
      </c>
      <c r="Q432">
        <v>0</v>
      </c>
    </row>
    <row r="433" spans="1:17" x14ac:dyDescent="0.25">
      <c r="A433" t="s">
        <v>17</v>
      </c>
      <c r="B433" t="s">
        <v>18</v>
      </c>
      <c r="C433">
        <v>315000</v>
      </c>
      <c r="D433" t="s">
        <v>19</v>
      </c>
      <c r="E433" t="s">
        <v>20</v>
      </c>
      <c r="F433" t="s">
        <v>32</v>
      </c>
      <c r="G433" t="s">
        <v>62</v>
      </c>
      <c r="H433" t="s">
        <v>48</v>
      </c>
      <c r="I433" t="s">
        <v>24</v>
      </c>
      <c r="J433">
        <v>98955</v>
      </c>
      <c r="K433">
        <v>9895.5</v>
      </c>
      <c r="L433" t="s">
        <v>51</v>
      </c>
      <c r="M433" t="s">
        <v>26</v>
      </c>
      <c r="N433" t="s">
        <v>27</v>
      </c>
      <c r="O433" t="s">
        <v>35</v>
      </c>
      <c r="P433" t="s">
        <v>26</v>
      </c>
      <c r="Q433">
        <v>0</v>
      </c>
    </row>
    <row r="434" spans="1:17" x14ac:dyDescent="0.25">
      <c r="A434" t="s">
        <v>17</v>
      </c>
      <c r="B434" t="s">
        <v>18</v>
      </c>
      <c r="C434">
        <v>315000</v>
      </c>
      <c r="D434" t="s">
        <v>19</v>
      </c>
      <c r="E434" t="s">
        <v>20</v>
      </c>
      <c r="F434" t="s">
        <v>32</v>
      </c>
      <c r="G434" t="s">
        <v>62</v>
      </c>
      <c r="H434" t="s">
        <v>48</v>
      </c>
      <c r="I434" t="s">
        <v>24</v>
      </c>
      <c r="J434">
        <v>85351.5</v>
      </c>
      <c r="K434">
        <v>45000</v>
      </c>
      <c r="L434" t="s">
        <v>43</v>
      </c>
      <c r="M434" t="s">
        <v>26</v>
      </c>
      <c r="N434" t="s">
        <v>27</v>
      </c>
      <c r="O434" t="s">
        <v>35</v>
      </c>
      <c r="P434" t="s">
        <v>26</v>
      </c>
      <c r="Q434">
        <v>0</v>
      </c>
    </row>
    <row r="435" spans="1:17" x14ac:dyDescent="0.25">
      <c r="A435" t="s">
        <v>29</v>
      </c>
      <c r="B435" t="s">
        <v>18</v>
      </c>
      <c r="C435">
        <v>180000</v>
      </c>
      <c r="D435" t="s">
        <v>19</v>
      </c>
      <c r="E435" t="s">
        <v>20</v>
      </c>
      <c r="F435" t="s">
        <v>54</v>
      </c>
      <c r="G435" t="s">
        <v>22</v>
      </c>
      <c r="H435" t="s">
        <v>23</v>
      </c>
      <c r="I435" t="s">
        <v>24</v>
      </c>
      <c r="J435">
        <v>40167</v>
      </c>
      <c r="K435">
        <v>4018.5</v>
      </c>
      <c r="L435" t="s">
        <v>43</v>
      </c>
      <c r="M435" t="s">
        <v>26</v>
      </c>
      <c r="N435" t="s">
        <v>27</v>
      </c>
      <c r="O435" t="s">
        <v>35</v>
      </c>
      <c r="P435" t="s">
        <v>26</v>
      </c>
      <c r="Q435">
        <v>0</v>
      </c>
    </row>
    <row r="436" spans="1:17" x14ac:dyDescent="0.25">
      <c r="A436" t="s">
        <v>17</v>
      </c>
      <c r="B436" t="s">
        <v>36</v>
      </c>
      <c r="C436">
        <v>112500</v>
      </c>
      <c r="D436" t="s">
        <v>19</v>
      </c>
      <c r="E436" t="s">
        <v>20</v>
      </c>
      <c r="F436" t="s">
        <v>32</v>
      </c>
      <c r="G436" t="s">
        <v>22</v>
      </c>
      <c r="H436" t="s">
        <v>23</v>
      </c>
      <c r="I436" t="s">
        <v>24</v>
      </c>
      <c r="J436">
        <v>40491</v>
      </c>
      <c r="K436">
        <v>0</v>
      </c>
      <c r="L436" t="s">
        <v>51</v>
      </c>
      <c r="M436" t="s">
        <v>26</v>
      </c>
      <c r="N436" t="s">
        <v>58</v>
      </c>
      <c r="O436" t="s">
        <v>35</v>
      </c>
      <c r="P436" t="s">
        <v>59</v>
      </c>
      <c r="Q436">
        <v>1</v>
      </c>
    </row>
    <row r="437" spans="1:17" x14ac:dyDescent="0.25">
      <c r="A437" t="s">
        <v>29</v>
      </c>
      <c r="B437" t="s">
        <v>18</v>
      </c>
      <c r="C437">
        <v>67500</v>
      </c>
      <c r="D437" t="s">
        <v>44</v>
      </c>
      <c r="E437" t="s">
        <v>20</v>
      </c>
      <c r="F437" t="s">
        <v>32</v>
      </c>
      <c r="G437" t="s">
        <v>22</v>
      </c>
      <c r="H437" t="s">
        <v>55</v>
      </c>
      <c r="I437" t="s">
        <v>24</v>
      </c>
      <c r="J437">
        <v>54000</v>
      </c>
      <c r="K437">
        <v>5400</v>
      </c>
      <c r="L437" t="s">
        <v>42</v>
      </c>
      <c r="M437" t="s">
        <v>26</v>
      </c>
      <c r="N437" t="s">
        <v>27</v>
      </c>
      <c r="O437" t="s">
        <v>28</v>
      </c>
      <c r="P437" t="s">
        <v>26</v>
      </c>
      <c r="Q437">
        <v>0</v>
      </c>
    </row>
    <row r="438" spans="1:17" x14ac:dyDescent="0.25">
      <c r="A438" t="s">
        <v>29</v>
      </c>
      <c r="B438" t="s">
        <v>18</v>
      </c>
      <c r="C438">
        <v>157500</v>
      </c>
      <c r="D438" t="s">
        <v>44</v>
      </c>
      <c r="E438" t="s">
        <v>20</v>
      </c>
      <c r="F438" t="s">
        <v>39</v>
      </c>
      <c r="G438" t="s">
        <v>22</v>
      </c>
      <c r="H438" t="s">
        <v>48</v>
      </c>
      <c r="I438" t="s">
        <v>24</v>
      </c>
      <c r="J438">
        <v>210622.5</v>
      </c>
      <c r="K438">
        <v>21064.5</v>
      </c>
      <c r="L438" t="s">
        <v>42</v>
      </c>
      <c r="M438" t="s">
        <v>26</v>
      </c>
      <c r="N438" t="s">
        <v>27</v>
      </c>
      <c r="O438" t="s">
        <v>35</v>
      </c>
      <c r="P438" t="s">
        <v>26</v>
      </c>
      <c r="Q438">
        <v>0</v>
      </c>
    </row>
    <row r="439" spans="1:17" x14ac:dyDescent="0.25">
      <c r="A439" t="s">
        <v>29</v>
      </c>
      <c r="B439" t="s">
        <v>18</v>
      </c>
      <c r="C439">
        <v>157500</v>
      </c>
      <c r="D439" t="s">
        <v>44</v>
      </c>
      <c r="E439" t="s">
        <v>20</v>
      </c>
      <c r="F439" t="s">
        <v>39</v>
      </c>
      <c r="G439" t="s">
        <v>22</v>
      </c>
      <c r="H439" t="s">
        <v>48</v>
      </c>
      <c r="I439" t="s">
        <v>66</v>
      </c>
      <c r="J439">
        <v>135000</v>
      </c>
      <c r="K439">
        <v>0</v>
      </c>
      <c r="L439" t="s">
        <v>45</v>
      </c>
      <c r="M439" t="s">
        <v>68</v>
      </c>
      <c r="N439" t="s">
        <v>27</v>
      </c>
      <c r="O439" t="s">
        <v>35</v>
      </c>
      <c r="P439" t="s">
        <v>26</v>
      </c>
      <c r="Q439">
        <v>0</v>
      </c>
    </row>
    <row r="440" spans="1:17" x14ac:dyDescent="0.25">
      <c r="A440" t="s">
        <v>29</v>
      </c>
      <c r="B440" t="s">
        <v>18</v>
      </c>
      <c r="C440">
        <v>157500</v>
      </c>
      <c r="D440" t="s">
        <v>44</v>
      </c>
      <c r="E440" t="s">
        <v>20</v>
      </c>
      <c r="F440" t="s">
        <v>39</v>
      </c>
      <c r="G440" t="s">
        <v>22</v>
      </c>
      <c r="H440" t="s">
        <v>48</v>
      </c>
      <c r="I440" t="s">
        <v>66</v>
      </c>
      <c r="J440">
        <v>180000</v>
      </c>
      <c r="K440">
        <v>0</v>
      </c>
      <c r="L440" t="s">
        <v>25</v>
      </c>
      <c r="M440" t="s">
        <v>28</v>
      </c>
      <c r="N440" t="s">
        <v>27</v>
      </c>
      <c r="O440" t="s">
        <v>35</v>
      </c>
      <c r="P440" t="s">
        <v>26</v>
      </c>
      <c r="Q440">
        <v>0</v>
      </c>
    </row>
    <row r="441" spans="1:17" x14ac:dyDescent="0.25">
      <c r="A441" t="s">
        <v>29</v>
      </c>
      <c r="B441" t="s">
        <v>36</v>
      </c>
      <c r="C441">
        <v>360000</v>
      </c>
      <c r="D441" t="s">
        <v>44</v>
      </c>
      <c r="E441" t="s">
        <v>31</v>
      </c>
      <c r="F441" t="s">
        <v>32</v>
      </c>
      <c r="G441" t="s">
        <v>22</v>
      </c>
      <c r="H441" t="s">
        <v>91</v>
      </c>
      <c r="I441" t="s">
        <v>24</v>
      </c>
      <c r="J441">
        <v>121410</v>
      </c>
      <c r="K441">
        <v>0</v>
      </c>
      <c r="L441" t="s">
        <v>38</v>
      </c>
      <c r="M441" t="s">
        <v>26</v>
      </c>
      <c r="N441" t="s">
        <v>27</v>
      </c>
      <c r="O441" t="s">
        <v>35</v>
      </c>
      <c r="P441" t="s">
        <v>26</v>
      </c>
      <c r="Q441">
        <v>0</v>
      </c>
    </row>
    <row r="442" spans="1:17" x14ac:dyDescent="0.25">
      <c r="A442" t="s">
        <v>29</v>
      </c>
      <c r="B442" t="s">
        <v>36</v>
      </c>
      <c r="C442">
        <v>360000</v>
      </c>
      <c r="D442" t="s">
        <v>44</v>
      </c>
      <c r="E442" t="s">
        <v>31</v>
      </c>
      <c r="F442" t="s">
        <v>32</v>
      </c>
      <c r="G442" t="s">
        <v>22</v>
      </c>
      <c r="H442" t="s">
        <v>91</v>
      </c>
      <c r="I442" t="s">
        <v>24</v>
      </c>
      <c r="J442">
        <v>108445.5</v>
      </c>
      <c r="K442">
        <v>0</v>
      </c>
      <c r="L442" t="s">
        <v>38</v>
      </c>
      <c r="M442" t="s">
        <v>26</v>
      </c>
      <c r="N442" t="s">
        <v>27</v>
      </c>
      <c r="O442" t="s">
        <v>35</v>
      </c>
      <c r="P442" t="s">
        <v>26</v>
      </c>
      <c r="Q442">
        <v>0</v>
      </c>
    </row>
    <row r="443" spans="1:17" x14ac:dyDescent="0.25">
      <c r="A443" t="s">
        <v>29</v>
      </c>
      <c r="B443" t="s">
        <v>18</v>
      </c>
      <c r="C443">
        <v>247500</v>
      </c>
      <c r="D443" t="s">
        <v>46</v>
      </c>
      <c r="E443" t="s">
        <v>31</v>
      </c>
      <c r="F443" t="s">
        <v>32</v>
      </c>
      <c r="G443" t="s">
        <v>22</v>
      </c>
      <c r="H443" t="s">
        <v>28</v>
      </c>
      <c r="I443" t="s">
        <v>24</v>
      </c>
      <c r="J443">
        <v>19615.5</v>
      </c>
      <c r="K443">
        <v>3924</v>
      </c>
      <c r="L443" t="s">
        <v>42</v>
      </c>
      <c r="M443" t="s">
        <v>26</v>
      </c>
      <c r="N443" t="s">
        <v>27</v>
      </c>
      <c r="O443" t="s">
        <v>28</v>
      </c>
      <c r="P443" t="s">
        <v>26</v>
      </c>
      <c r="Q443">
        <v>0</v>
      </c>
    </row>
    <row r="444" spans="1:17" x14ac:dyDescent="0.25">
      <c r="A444" t="s">
        <v>29</v>
      </c>
      <c r="B444" t="s">
        <v>18</v>
      </c>
      <c r="C444">
        <v>157500</v>
      </c>
      <c r="D444" t="s">
        <v>44</v>
      </c>
      <c r="E444" t="s">
        <v>20</v>
      </c>
      <c r="F444" t="s">
        <v>32</v>
      </c>
      <c r="G444" t="s">
        <v>22</v>
      </c>
      <c r="H444" t="s">
        <v>49</v>
      </c>
      <c r="I444" t="s">
        <v>24</v>
      </c>
      <c r="J444">
        <v>62955</v>
      </c>
      <c r="K444">
        <v>6295.5</v>
      </c>
      <c r="L444" t="s">
        <v>45</v>
      </c>
      <c r="M444" t="s">
        <v>26</v>
      </c>
      <c r="N444" t="s">
        <v>27</v>
      </c>
      <c r="O444" t="s">
        <v>28</v>
      </c>
      <c r="P444" t="s">
        <v>26</v>
      </c>
      <c r="Q444">
        <v>0</v>
      </c>
    </row>
    <row r="445" spans="1:17" x14ac:dyDescent="0.25">
      <c r="A445" t="s">
        <v>29</v>
      </c>
      <c r="B445" t="s">
        <v>18</v>
      </c>
      <c r="C445">
        <v>157500</v>
      </c>
      <c r="D445" t="s">
        <v>44</v>
      </c>
      <c r="E445" t="s">
        <v>20</v>
      </c>
      <c r="F445" t="s">
        <v>32</v>
      </c>
      <c r="G445" t="s">
        <v>22</v>
      </c>
      <c r="H445" t="s">
        <v>49</v>
      </c>
      <c r="I445" t="s">
        <v>24</v>
      </c>
      <c r="J445">
        <v>90886.5</v>
      </c>
      <c r="K445">
        <v>9090</v>
      </c>
      <c r="L445" t="s">
        <v>43</v>
      </c>
      <c r="M445" t="s">
        <v>26</v>
      </c>
      <c r="N445" t="s">
        <v>27</v>
      </c>
      <c r="O445" t="s">
        <v>35</v>
      </c>
      <c r="P445" t="s">
        <v>26</v>
      </c>
      <c r="Q445">
        <v>0</v>
      </c>
    </row>
    <row r="446" spans="1:17" x14ac:dyDescent="0.25">
      <c r="A446" t="s">
        <v>29</v>
      </c>
      <c r="B446" t="s">
        <v>18</v>
      </c>
      <c r="C446">
        <v>45000</v>
      </c>
      <c r="D446" t="s">
        <v>46</v>
      </c>
      <c r="E446" t="s">
        <v>20</v>
      </c>
      <c r="F446" t="s">
        <v>32</v>
      </c>
      <c r="G446" t="s">
        <v>22</v>
      </c>
      <c r="H446" t="s">
        <v>28</v>
      </c>
      <c r="I446" t="s">
        <v>24</v>
      </c>
      <c r="J446">
        <v>58275</v>
      </c>
      <c r="K446">
        <v>5827.5</v>
      </c>
      <c r="L446" t="s">
        <v>25</v>
      </c>
      <c r="M446" t="s">
        <v>26</v>
      </c>
      <c r="N446" t="s">
        <v>27</v>
      </c>
      <c r="O446" t="s">
        <v>35</v>
      </c>
      <c r="P446" t="s">
        <v>26</v>
      </c>
      <c r="Q446">
        <v>0</v>
      </c>
    </row>
    <row r="447" spans="1:17" x14ac:dyDescent="0.25">
      <c r="A447" t="s">
        <v>29</v>
      </c>
      <c r="B447" t="s">
        <v>18</v>
      </c>
      <c r="C447">
        <v>45000</v>
      </c>
      <c r="D447" t="s">
        <v>46</v>
      </c>
      <c r="E447" t="s">
        <v>20</v>
      </c>
      <c r="F447" t="s">
        <v>32</v>
      </c>
      <c r="G447" t="s">
        <v>22</v>
      </c>
      <c r="H447" t="s">
        <v>28</v>
      </c>
      <c r="I447" t="s">
        <v>66</v>
      </c>
      <c r="J447">
        <v>67500</v>
      </c>
      <c r="K447">
        <v>0</v>
      </c>
      <c r="L447" t="s">
        <v>45</v>
      </c>
      <c r="M447" t="s">
        <v>28</v>
      </c>
      <c r="N447" t="s">
        <v>27</v>
      </c>
      <c r="O447" t="s">
        <v>28</v>
      </c>
      <c r="P447" t="s">
        <v>26</v>
      </c>
      <c r="Q447">
        <v>0</v>
      </c>
    </row>
    <row r="448" spans="1:17" x14ac:dyDescent="0.25">
      <c r="A448" t="s">
        <v>29</v>
      </c>
      <c r="B448" t="s">
        <v>18</v>
      </c>
      <c r="C448">
        <v>45000</v>
      </c>
      <c r="D448" t="s">
        <v>46</v>
      </c>
      <c r="E448" t="s">
        <v>20</v>
      </c>
      <c r="F448" t="s">
        <v>32</v>
      </c>
      <c r="G448" t="s">
        <v>22</v>
      </c>
      <c r="H448" t="s">
        <v>28</v>
      </c>
      <c r="I448" t="s">
        <v>24</v>
      </c>
      <c r="J448">
        <v>48596.4</v>
      </c>
      <c r="K448">
        <v>4860.8999999999996</v>
      </c>
      <c r="L448" t="s">
        <v>25</v>
      </c>
      <c r="M448" t="s">
        <v>26</v>
      </c>
      <c r="N448" t="s">
        <v>27</v>
      </c>
      <c r="O448" t="s">
        <v>35</v>
      </c>
      <c r="P448" t="s">
        <v>26</v>
      </c>
      <c r="Q448">
        <v>0</v>
      </c>
    </row>
    <row r="449" spans="1:17" x14ac:dyDescent="0.25">
      <c r="A449" t="s">
        <v>29</v>
      </c>
      <c r="B449" t="s">
        <v>18</v>
      </c>
      <c r="C449">
        <v>45000</v>
      </c>
      <c r="D449" t="s">
        <v>46</v>
      </c>
      <c r="E449" t="s">
        <v>20</v>
      </c>
      <c r="F449" t="s">
        <v>32</v>
      </c>
      <c r="G449" t="s">
        <v>22</v>
      </c>
      <c r="H449" t="s">
        <v>28</v>
      </c>
      <c r="I449" t="s">
        <v>66</v>
      </c>
      <c r="J449">
        <v>45000</v>
      </c>
      <c r="K449">
        <v>0</v>
      </c>
      <c r="L449" t="s">
        <v>38</v>
      </c>
      <c r="M449" t="s">
        <v>28</v>
      </c>
      <c r="N449" t="s">
        <v>27</v>
      </c>
      <c r="O449" t="s">
        <v>28</v>
      </c>
      <c r="P449" t="s">
        <v>26</v>
      </c>
      <c r="Q449">
        <v>0</v>
      </c>
    </row>
    <row r="450" spans="1:17" x14ac:dyDescent="0.25">
      <c r="A450" t="s">
        <v>29</v>
      </c>
      <c r="B450" t="s">
        <v>36</v>
      </c>
      <c r="C450">
        <v>450000</v>
      </c>
      <c r="D450" t="s">
        <v>44</v>
      </c>
      <c r="E450" t="s">
        <v>31</v>
      </c>
      <c r="F450" t="s">
        <v>39</v>
      </c>
      <c r="G450" t="s">
        <v>22</v>
      </c>
      <c r="H450" t="s">
        <v>56</v>
      </c>
      <c r="I450" t="s">
        <v>24</v>
      </c>
      <c r="J450">
        <v>145557</v>
      </c>
      <c r="K450">
        <v>14557.5</v>
      </c>
      <c r="L450" t="s">
        <v>34</v>
      </c>
      <c r="M450" t="s">
        <v>26</v>
      </c>
      <c r="N450" t="s">
        <v>27</v>
      </c>
      <c r="O450" t="s">
        <v>35</v>
      </c>
      <c r="P450" t="s">
        <v>26</v>
      </c>
      <c r="Q450">
        <v>0</v>
      </c>
    </row>
    <row r="451" spans="1:17" x14ac:dyDescent="0.25">
      <c r="A451" t="s">
        <v>29</v>
      </c>
      <c r="B451" t="s">
        <v>18</v>
      </c>
      <c r="C451">
        <v>225000</v>
      </c>
      <c r="D451" t="s">
        <v>30</v>
      </c>
      <c r="E451" t="s">
        <v>20</v>
      </c>
      <c r="F451" t="s">
        <v>32</v>
      </c>
      <c r="G451" t="s">
        <v>22</v>
      </c>
      <c r="H451" t="s">
        <v>33</v>
      </c>
      <c r="I451" t="s">
        <v>24</v>
      </c>
      <c r="J451">
        <v>115695</v>
      </c>
      <c r="K451">
        <v>11569.5</v>
      </c>
      <c r="L451" t="s">
        <v>25</v>
      </c>
      <c r="M451" t="s">
        <v>26</v>
      </c>
      <c r="N451" t="s">
        <v>27</v>
      </c>
      <c r="O451" t="s">
        <v>35</v>
      </c>
      <c r="P451" t="s">
        <v>26</v>
      </c>
      <c r="Q451">
        <v>0</v>
      </c>
    </row>
    <row r="452" spans="1:17" x14ac:dyDescent="0.25">
      <c r="A452" t="s">
        <v>29</v>
      </c>
      <c r="B452" t="s">
        <v>36</v>
      </c>
      <c r="C452">
        <v>112500</v>
      </c>
      <c r="D452" t="s">
        <v>19</v>
      </c>
      <c r="E452" t="s">
        <v>20</v>
      </c>
      <c r="F452" t="s">
        <v>32</v>
      </c>
      <c r="G452" t="s">
        <v>22</v>
      </c>
      <c r="H452" t="s">
        <v>50</v>
      </c>
      <c r="I452" t="s">
        <v>24</v>
      </c>
      <c r="J452">
        <v>82017</v>
      </c>
      <c r="K452">
        <v>8203.5</v>
      </c>
      <c r="L452" t="s">
        <v>51</v>
      </c>
      <c r="M452" t="s">
        <v>26</v>
      </c>
      <c r="N452" t="s">
        <v>27</v>
      </c>
      <c r="O452" t="s">
        <v>35</v>
      </c>
      <c r="P452" t="s">
        <v>26</v>
      </c>
      <c r="Q452">
        <v>0</v>
      </c>
    </row>
    <row r="453" spans="1:17" x14ac:dyDescent="0.25">
      <c r="A453" t="s">
        <v>29</v>
      </c>
      <c r="B453" t="s">
        <v>36</v>
      </c>
      <c r="C453">
        <v>112500</v>
      </c>
      <c r="D453" t="s">
        <v>19</v>
      </c>
      <c r="E453" t="s">
        <v>20</v>
      </c>
      <c r="F453" t="s">
        <v>32</v>
      </c>
      <c r="G453" t="s">
        <v>22</v>
      </c>
      <c r="H453" t="s">
        <v>50</v>
      </c>
      <c r="I453" t="s">
        <v>24</v>
      </c>
      <c r="J453">
        <v>40320</v>
      </c>
      <c r="K453">
        <v>4050</v>
      </c>
      <c r="L453" t="s">
        <v>38</v>
      </c>
      <c r="M453" t="s">
        <v>26</v>
      </c>
      <c r="N453" t="s">
        <v>27</v>
      </c>
      <c r="O453" t="s">
        <v>35</v>
      </c>
      <c r="P453" t="s">
        <v>26</v>
      </c>
      <c r="Q453">
        <v>0</v>
      </c>
    </row>
    <row r="454" spans="1:17" x14ac:dyDescent="0.25">
      <c r="A454" t="s">
        <v>29</v>
      </c>
      <c r="B454" t="s">
        <v>36</v>
      </c>
      <c r="C454">
        <v>112500</v>
      </c>
      <c r="D454" t="s">
        <v>19</v>
      </c>
      <c r="E454" t="s">
        <v>20</v>
      </c>
      <c r="F454" t="s">
        <v>32</v>
      </c>
      <c r="G454" t="s">
        <v>22</v>
      </c>
      <c r="H454" t="s">
        <v>50</v>
      </c>
      <c r="I454" t="s">
        <v>24</v>
      </c>
      <c r="J454">
        <v>122377.5</v>
      </c>
      <c r="K454">
        <v>0</v>
      </c>
      <c r="L454" t="s">
        <v>43</v>
      </c>
      <c r="M454" t="s">
        <v>26</v>
      </c>
      <c r="N454" t="s">
        <v>58</v>
      </c>
      <c r="O454" t="s">
        <v>35</v>
      </c>
      <c r="P454" t="s">
        <v>64</v>
      </c>
      <c r="Q454">
        <v>1</v>
      </c>
    </row>
    <row r="455" spans="1:17" x14ac:dyDescent="0.25">
      <c r="A455" t="s">
        <v>17</v>
      </c>
      <c r="B455" t="s">
        <v>18</v>
      </c>
      <c r="C455">
        <v>180000</v>
      </c>
      <c r="D455" t="s">
        <v>44</v>
      </c>
      <c r="E455" t="s">
        <v>31</v>
      </c>
      <c r="F455" t="s">
        <v>32</v>
      </c>
      <c r="G455" t="s">
        <v>22</v>
      </c>
      <c r="H455" t="s">
        <v>98</v>
      </c>
      <c r="I455" t="s">
        <v>24</v>
      </c>
      <c r="J455">
        <v>76005</v>
      </c>
      <c r="K455">
        <v>0</v>
      </c>
      <c r="L455" t="s">
        <v>42</v>
      </c>
      <c r="M455" t="s">
        <v>26</v>
      </c>
      <c r="N455" t="s">
        <v>27</v>
      </c>
      <c r="O455" t="s">
        <v>35</v>
      </c>
      <c r="P455" t="s">
        <v>26</v>
      </c>
      <c r="Q455">
        <v>0</v>
      </c>
    </row>
    <row r="456" spans="1:17" x14ac:dyDescent="0.25">
      <c r="A456" t="s">
        <v>17</v>
      </c>
      <c r="B456" t="s">
        <v>18</v>
      </c>
      <c r="C456">
        <v>157500</v>
      </c>
      <c r="D456" t="s">
        <v>19</v>
      </c>
      <c r="E456" t="s">
        <v>31</v>
      </c>
      <c r="F456" t="s">
        <v>32</v>
      </c>
      <c r="G456" t="s">
        <v>22</v>
      </c>
      <c r="H456" t="s">
        <v>23</v>
      </c>
      <c r="I456" t="s">
        <v>24</v>
      </c>
      <c r="J456">
        <v>26190</v>
      </c>
      <c r="K456">
        <v>0</v>
      </c>
      <c r="L456" t="s">
        <v>43</v>
      </c>
      <c r="M456" t="s">
        <v>26</v>
      </c>
      <c r="N456" t="s">
        <v>27</v>
      </c>
      <c r="O456" t="s">
        <v>35</v>
      </c>
      <c r="P456" t="s">
        <v>26</v>
      </c>
      <c r="Q456">
        <v>0</v>
      </c>
    </row>
    <row r="457" spans="1:17" x14ac:dyDescent="0.25">
      <c r="A457" t="s">
        <v>17</v>
      </c>
      <c r="B457" t="s">
        <v>18</v>
      </c>
      <c r="C457">
        <v>157500</v>
      </c>
      <c r="D457" t="s">
        <v>19</v>
      </c>
      <c r="E457" t="s">
        <v>31</v>
      </c>
      <c r="F457" t="s">
        <v>32</v>
      </c>
      <c r="G457" t="s">
        <v>22</v>
      </c>
      <c r="H457" t="s">
        <v>23</v>
      </c>
      <c r="I457" t="s">
        <v>24</v>
      </c>
      <c r="J457">
        <v>164187</v>
      </c>
      <c r="K457">
        <v>0</v>
      </c>
      <c r="L457" t="s">
        <v>42</v>
      </c>
      <c r="M457" t="s">
        <v>26</v>
      </c>
      <c r="N457" t="s">
        <v>58</v>
      </c>
      <c r="O457" t="s">
        <v>35</v>
      </c>
      <c r="P457" t="s">
        <v>60</v>
      </c>
      <c r="Q457">
        <v>1</v>
      </c>
    </row>
    <row r="458" spans="1:17" x14ac:dyDescent="0.25">
      <c r="A458" t="s">
        <v>29</v>
      </c>
      <c r="B458" t="s">
        <v>36</v>
      </c>
      <c r="C458">
        <v>247500</v>
      </c>
      <c r="D458" t="s">
        <v>19</v>
      </c>
      <c r="E458" t="s">
        <v>20</v>
      </c>
      <c r="F458" t="s">
        <v>54</v>
      </c>
      <c r="G458" t="s">
        <v>22</v>
      </c>
      <c r="H458" t="s">
        <v>49</v>
      </c>
      <c r="I458" t="s">
        <v>24</v>
      </c>
      <c r="J458">
        <v>101817</v>
      </c>
      <c r="K458">
        <v>20367</v>
      </c>
      <c r="L458" t="s">
        <v>38</v>
      </c>
      <c r="M458" t="s">
        <v>26</v>
      </c>
      <c r="N458" t="s">
        <v>27</v>
      </c>
      <c r="O458" t="s">
        <v>28</v>
      </c>
      <c r="P458" t="s">
        <v>26</v>
      </c>
      <c r="Q458">
        <v>0</v>
      </c>
    </row>
    <row r="459" spans="1:17" x14ac:dyDescent="0.25">
      <c r="A459" t="s">
        <v>29</v>
      </c>
      <c r="B459" t="s">
        <v>36</v>
      </c>
      <c r="C459">
        <v>247500</v>
      </c>
      <c r="D459" t="s">
        <v>19</v>
      </c>
      <c r="E459" t="s">
        <v>20</v>
      </c>
      <c r="F459" t="s">
        <v>54</v>
      </c>
      <c r="G459" t="s">
        <v>22</v>
      </c>
      <c r="H459" t="s">
        <v>49</v>
      </c>
      <c r="I459" t="s">
        <v>24</v>
      </c>
      <c r="J459">
        <v>114633</v>
      </c>
      <c r="K459">
        <v>0</v>
      </c>
      <c r="L459" t="s">
        <v>43</v>
      </c>
      <c r="M459" t="s">
        <v>26</v>
      </c>
      <c r="N459" t="s">
        <v>58</v>
      </c>
      <c r="O459" t="s">
        <v>35</v>
      </c>
      <c r="P459" t="s">
        <v>60</v>
      </c>
      <c r="Q459">
        <v>1</v>
      </c>
    </row>
    <row r="460" spans="1:17" x14ac:dyDescent="0.25">
      <c r="A460" t="s">
        <v>17</v>
      </c>
      <c r="B460" t="s">
        <v>36</v>
      </c>
      <c r="C460">
        <v>112500</v>
      </c>
      <c r="D460" t="s">
        <v>19</v>
      </c>
      <c r="E460" t="s">
        <v>20</v>
      </c>
      <c r="F460" t="s">
        <v>32</v>
      </c>
      <c r="G460" t="s">
        <v>22</v>
      </c>
      <c r="H460" t="s">
        <v>81</v>
      </c>
      <c r="I460" t="s">
        <v>24</v>
      </c>
      <c r="J460">
        <v>42705</v>
      </c>
      <c r="K460">
        <v>4270.5</v>
      </c>
      <c r="L460" t="s">
        <v>51</v>
      </c>
      <c r="M460" t="s">
        <v>26</v>
      </c>
      <c r="N460" t="s">
        <v>27</v>
      </c>
      <c r="O460" t="s">
        <v>35</v>
      </c>
      <c r="P460" t="s">
        <v>26</v>
      </c>
      <c r="Q460">
        <v>0</v>
      </c>
    </row>
    <row r="461" spans="1:17" x14ac:dyDescent="0.25">
      <c r="A461" t="s">
        <v>17</v>
      </c>
      <c r="B461" t="s">
        <v>36</v>
      </c>
      <c r="C461">
        <v>112500</v>
      </c>
      <c r="D461" t="s">
        <v>19</v>
      </c>
      <c r="E461" t="s">
        <v>20</v>
      </c>
      <c r="F461" t="s">
        <v>32</v>
      </c>
      <c r="G461" t="s">
        <v>22</v>
      </c>
      <c r="H461" t="s">
        <v>81</v>
      </c>
      <c r="I461" t="s">
        <v>24</v>
      </c>
      <c r="J461">
        <v>191178</v>
      </c>
      <c r="K461">
        <v>38236.5</v>
      </c>
      <c r="L461" t="s">
        <v>43</v>
      </c>
      <c r="M461" t="s">
        <v>26</v>
      </c>
      <c r="N461" t="s">
        <v>27</v>
      </c>
      <c r="O461" t="s">
        <v>35</v>
      </c>
      <c r="P461" t="s">
        <v>26</v>
      </c>
      <c r="Q461">
        <v>0</v>
      </c>
    </row>
    <row r="462" spans="1:17" x14ac:dyDescent="0.25">
      <c r="A462" t="s">
        <v>29</v>
      </c>
      <c r="B462" t="s">
        <v>18</v>
      </c>
      <c r="C462">
        <v>630000</v>
      </c>
      <c r="D462" t="s">
        <v>19</v>
      </c>
      <c r="E462" t="s">
        <v>31</v>
      </c>
      <c r="F462" t="s">
        <v>32</v>
      </c>
      <c r="G462" t="s">
        <v>22</v>
      </c>
      <c r="H462" t="s">
        <v>23</v>
      </c>
      <c r="I462" t="s">
        <v>24</v>
      </c>
      <c r="J462">
        <v>62955</v>
      </c>
      <c r="K462">
        <v>6295.5</v>
      </c>
      <c r="L462" t="s">
        <v>45</v>
      </c>
      <c r="M462" t="s">
        <v>26</v>
      </c>
      <c r="N462" t="s">
        <v>27</v>
      </c>
      <c r="O462" t="s">
        <v>35</v>
      </c>
      <c r="P462" t="s">
        <v>26</v>
      </c>
      <c r="Q462">
        <v>0</v>
      </c>
    </row>
    <row r="463" spans="1:17" x14ac:dyDescent="0.25">
      <c r="A463" t="s">
        <v>17</v>
      </c>
      <c r="B463" t="s">
        <v>36</v>
      </c>
      <c r="C463">
        <v>180000</v>
      </c>
      <c r="D463" t="s">
        <v>19</v>
      </c>
      <c r="E463" t="s">
        <v>20</v>
      </c>
      <c r="F463" t="s">
        <v>32</v>
      </c>
      <c r="G463" t="s">
        <v>22</v>
      </c>
      <c r="H463" t="s">
        <v>23</v>
      </c>
      <c r="I463" t="s">
        <v>24</v>
      </c>
      <c r="J463">
        <v>72207</v>
      </c>
      <c r="K463">
        <v>5778</v>
      </c>
      <c r="L463" t="s">
        <v>25</v>
      </c>
      <c r="M463" t="s">
        <v>26</v>
      </c>
      <c r="N463" t="s">
        <v>27</v>
      </c>
      <c r="O463" t="s">
        <v>35</v>
      </c>
      <c r="P463" t="s">
        <v>26</v>
      </c>
      <c r="Q463">
        <v>0</v>
      </c>
    </row>
    <row r="464" spans="1:17" x14ac:dyDescent="0.25">
      <c r="A464" t="s">
        <v>17</v>
      </c>
      <c r="B464" t="s">
        <v>36</v>
      </c>
      <c r="C464">
        <v>180000</v>
      </c>
      <c r="D464" t="s">
        <v>19</v>
      </c>
      <c r="E464" t="s">
        <v>20</v>
      </c>
      <c r="F464" t="s">
        <v>32</v>
      </c>
      <c r="G464" t="s">
        <v>22</v>
      </c>
      <c r="H464" t="s">
        <v>23</v>
      </c>
      <c r="I464" t="s">
        <v>24</v>
      </c>
      <c r="J464">
        <v>43182</v>
      </c>
      <c r="K464">
        <v>0</v>
      </c>
      <c r="L464" t="s">
        <v>45</v>
      </c>
      <c r="M464" t="s">
        <v>26</v>
      </c>
      <c r="N464" t="s">
        <v>27</v>
      </c>
      <c r="O464" t="s">
        <v>35</v>
      </c>
      <c r="P464" t="s">
        <v>26</v>
      </c>
      <c r="Q464">
        <v>0</v>
      </c>
    </row>
    <row r="465" spans="1:17" x14ac:dyDescent="0.25">
      <c r="A465" t="s">
        <v>17</v>
      </c>
      <c r="B465" t="s">
        <v>36</v>
      </c>
      <c r="C465">
        <v>180000</v>
      </c>
      <c r="D465" t="s">
        <v>19</v>
      </c>
      <c r="E465" t="s">
        <v>20</v>
      </c>
      <c r="F465" t="s">
        <v>32</v>
      </c>
      <c r="G465" t="s">
        <v>22</v>
      </c>
      <c r="H465" t="s">
        <v>23</v>
      </c>
      <c r="I465" t="s">
        <v>24</v>
      </c>
      <c r="J465">
        <v>92655</v>
      </c>
      <c r="K465">
        <v>9265.5</v>
      </c>
      <c r="L465" t="s">
        <v>25</v>
      </c>
      <c r="M465" t="s">
        <v>26</v>
      </c>
      <c r="N465" t="s">
        <v>27</v>
      </c>
      <c r="O465" t="s">
        <v>28</v>
      </c>
      <c r="P465" t="s">
        <v>26</v>
      </c>
      <c r="Q465">
        <v>0</v>
      </c>
    </row>
    <row r="466" spans="1:17" x14ac:dyDescent="0.25">
      <c r="A466" t="s">
        <v>17</v>
      </c>
      <c r="B466" t="s">
        <v>36</v>
      </c>
      <c r="C466">
        <v>180000</v>
      </c>
      <c r="D466" t="s">
        <v>19</v>
      </c>
      <c r="E466" t="s">
        <v>20</v>
      </c>
      <c r="F466" t="s">
        <v>32</v>
      </c>
      <c r="G466" t="s">
        <v>22</v>
      </c>
      <c r="H466" t="s">
        <v>23</v>
      </c>
      <c r="I466" t="s">
        <v>66</v>
      </c>
      <c r="J466">
        <v>247500</v>
      </c>
      <c r="K466">
        <v>0</v>
      </c>
      <c r="L466" t="s">
        <v>51</v>
      </c>
      <c r="M466" t="s">
        <v>28</v>
      </c>
      <c r="N466" t="s">
        <v>27</v>
      </c>
      <c r="O466" t="s">
        <v>35</v>
      </c>
      <c r="P466" t="s">
        <v>26</v>
      </c>
      <c r="Q466">
        <v>0</v>
      </c>
    </row>
    <row r="467" spans="1:17" x14ac:dyDescent="0.25">
      <c r="A467" t="s">
        <v>17</v>
      </c>
      <c r="B467" t="s">
        <v>36</v>
      </c>
      <c r="C467">
        <v>292500</v>
      </c>
      <c r="D467" t="s">
        <v>44</v>
      </c>
      <c r="E467" t="s">
        <v>20</v>
      </c>
      <c r="F467" t="s">
        <v>32</v>
      </c>
      <c r="G467" t="s">
        <v>22</v>
      </c>
      <c r="H467" t="s">
        <v>89</v>
      </c>
      <c r="I467" t="s">
        <v>24</v>
      </c>
      <c r="J467">
        <v>132300</v>
      </c>
      <c r="K467">
        <v>0</v>
      </c>
      <c r="L467" t="s">
        <v>34</v>
      </c>
      <c r="M467" t="s">
        <v>26</v>
      </c>
      <c r="N467" t="s">
        <v>27</v>
      </c>
      <c r="O467" t="s">
        <v>35</v>
      </c>
      <c r="P467" t="s">
        <v>26</v>
      </c>
      <c r="Q467">
        <v>0</v>
      </c>
    </row>
    <row r="468" spans="1:17" x14ac:dyDescent="0.25">
      <c r="A468" t="s">
        <v>17</v>
      </c>
      <c r="B468" t="s">
        <v>36</v>
      </c>
      <c r="C468">
        <v>292500</v>
      </c>
      <c r="D468" t="s">
        <v>44</v>
      </c>
      <c r="E468" t="s">
        <v>20</v>
      </c>
      <c r="F468" t="s">
        <v>32</v>
      </c>
      <c r="G468" t="s">
        <v>22</v>
      </c>
      <c r="H468" t="s">
        <v>89</v>
      </c>
      <c r="I468" t="s">
        <v>24</v>
      </c>
      <c r="J468">
        <v>309240</v>
      </c>
      <c r="K468">
        <v>0</v>
      </c>
      <c r="L468" t="s">
        <v>42</v>
      </c>
      <c r="M468" t="s">
        <v>26</v>
      </c>
      <c r="N468" t="s">
        <v>27</v>
      </c>
      <c r="O468" t="s">
        <v>35</v>
      </c>
      <c r="P468" t="s">
        <v>26</v>
      </c>
      <c r="Q468">
        <v>0</v>
      </c>
    </row>
    <row r="469" spans="1:17" x14ac:dyDescent="0.25">
      <c r="A469" t="s">
        <v>17</v>
      </c>
      <c r="B469" t="s">
        <v>36</v>
      </c>
      <c r="C469">
        <v>292500</v>
      </c>
      <c r="D469" t="s">
        <v>44</v>
      </c>
      <c r="E469" t="s">
        <v>20</v>
      </c>
      <c r="F469" t="s">
        <v>32</v>
      </c>
      <c r="G469" t="s">
        <v>22</v>
      </c>
      <c r="H469" t="s">
        <v>89</v>
      </c>
      <c r="I469" t="s">
        <v>24</v>
      </c>
      <c r="J469">
        <v>286245</v>
      </c>
      <c r="K469">
        <v>0</v>
      </c>
      <c r="L469" t="s">
        <v>42</v>
      </c>
      <c r="M469" t="s">
        <v>26</v>
      </c>
      <c r="N469" t="s">
        <v>27</v>
      </c>
      <c r="O469" t="s">
        <v>35</v>
      </c>
      <c r="P469" t="s">
        <v>26</v>
      </c>
      <c r="Q469">
        <v>0</v>
      </c>
    </row>
    <row r="470" spans="1:17" x14ac:dyDescent="0.25">
      <c r="A470" t="s">
        <v>29</v>
      </c>
      <c r="B470" t="s">
        <v>18</v>
      </c>
      <c r="C470">
        <v>99000</v>
      </c>
      <c r="D470" t="s">
        <v>19</v>
      </c>
      <c r="E470" t="s">
        <v>20</v>
      </c>
      <c r="F470" t="s">
        <v>69</v>
      </c>
      <c r="G470" t="s">
        <v>22</v>
      </c>
      <c r="H470" t="s">
        <v>55</v>
      </c>
      <c r="I470" t="s">
        <v>24</v>
      </c>
      <c r="J470">
        <v>53955</v>
      </c>
      <c r="K470">
        <v>5395.5</v>
      </c>
      <c r="L470" t="s">
        <v>34</v>
      </c>
      <c r="M470" t="s">
        <v>26</v>
      </c>
      <c r="N470" t="s">
        <v>27</v>
      </c>
      <c r="O470" t="s">
        <v>35</v>
      </c>
      <c r="P470" t="s">
        <v>26</v>
      </c>
      <c r="Q470">
        <v>0</v>
      </c>
    </row>
    <row r="471" spans="1:17" x14ac:dyDescent="0.25">
      <c r="A471" t="s">
        <v>29</v>
      </c>
      <c r="B471" t="s">
        <v>18</v>
      </c>
      <c r="C471">
        <v>99000</v>
      </c>
      <c r="D471" t="s">
        <v>19</v>
      </c>
      <c r="E471" t="s">
        <v>20</v>
      </c>
      <c r="F471" t="s">
        <v>69</v>
      </c>
      <c r="G471" t="s">
        <v>22</v>
      </c>
      <c r="H471" t="s">
        <v>55</v>
      </c>
      <c r="I471" t="s">
        <v>24</v>
      </c>
      <c r="J471">
        <v>24705</v>
      </c>
      <c r="K471">
        <v>2470.5</v>
      </c>
      <c r="L471" t="s">
        <v>38</v>
      </c>
      <c r="M471" t="s">
        <v>26</v>
      </c>
      <c r="N471" t="s">
        <v>27</v>
      </c>
      <c r="O471" t="s">
        <v>35</v>
      </c>
      <c r="P471" t="s">
        <v>26</v>
      </c>
      <c r="Q471">
        <v>0</v>
      </c>
    </row>
    <row r="472" spans="1:17" x14ac:dyDescent="0.25">
      <c r="A472" t="s">
        <v>17</v>
      </c>
      <c r="B472" t="s">
        <v>36</v>
      </c>
      <c r="C472">
        <v>247500</v>
      </c>
      <c r="D472" t="s">
        <v>19</v>
      </c>
      <c r="E472" t="s">
        <v>31</v>
      </c>
      <c r="F472" t="s">
        <v>32</v>
      </c>
      <c r="G472" t="s">
        <v>22</v>
      </c>
      <c r="H472" t="s">
        <v>49</v>
      </c>
      <c r="I472" t="s">
        <v>24</v>
      </c>
      <c r="J472">
        <v>136750.5</v>
      </c>
      <c r="K472">
        <v>13675.5</v>
      </c>
      <c r="L472" t="s">
        <v>42</v>
      </c>
      <c r="M472" t="s">
        <v>26</v>
      </c>
      <c r="N472" t="s">
        <v>27</v>
      </c>
      <c r="O472" t="s">
        <v>35</v>
      </c>
      <c r="P472" t="s">
        <v>26</v>
      </c>
      <c r="Q472">
        <v>0</v>
      </c>
    </row>
    <row r="473" spans="1:17" x14ac:dyDescent="0.25">
      <c r="A473" t="s">
        <v>17</v>
      </c>
      <c r="B473" t="s">
        <v>36</v>
      </c>
      <c r="C473">
        <v>247500</v>
      </c>
      <c r="D473" t="s">
        <v>19</v>
      </c>
      <c r="E473" t="s">
        <v>31</v>
      </c>
      <c r="F473" t="s">
        <v>32</v>
      </c>
      <c r="G473" t="s">
        <v>22</v>
      </c>
      <c r="H473" t="s">
        <v>49</v>
      </c>
      <c r="I473" t="s">
        <v>24</v>
      </c>
      <c r="J473">
        <v>53356.5</v>
      </c>
      <c r="K473">
        <v>5337</v>
      </c>
      <c r="L473" t="s">
        <v>42</v>
      </c>
      <c r="M473" t="s">
        <v>26</v>
      </c>
      <c r="N473" t="s">
        <v>27</v>
      </c>
      <c r="O473" t="s">
        <v>35</v>
      </c>
      <c r="P473" t="s">
        <v>26</v>
      </c>
      <c r="Q473">
        <v>0</v>
      </c>
    </row>
    <row r="474" spans="1:17" x14ac:dyDescent="0.25">
      <c r="A474" t="s">
        <v>29</v>
      </c>
      <c r="B474" t="s">
        <v>18</v>
      </c>
      <c r="C474">
        <v>153000</v>
      </c>
      <c r="D474" t="s">
        <v>19</v>
      </c>
      <c r="E474" t="s">
        <v>20</v>
      </c>
      <c r="F474" t="s">
        <v>21</v>
      </c>
      <c r="G474" t="s">
        <v>22</v>
      </c>
      <c r="H474" t="s">
        <v>41</v>
      </c>
      <c r="I474" t="s">
        <v>24</v>
      </c>
      <c r="J474">
        <v>21465</v>
      </c>
      <c r="K474">
        <v>2578.5</v>
      </c>
      <c r="L474" t="s">
        <v>42</v>
      </c>
      <c r="M474" t="s">
        <v>26</v>
      </c>
      <c r="N474" t="s">
        <v>27</v>
      </c>
      <c r="O474" t="s">
        <v>35</v>
      </c>
      <c r="P474" t="s">
        <v>26</v>
      </c>
      <c r="Q474">
        <v>0</v>
      </c>
    </row>
    <row r="475" spans="1:17" x14ac:dyDescent="0.25">
      <c r="A475" t="s">
        <v>29</v>
      </c>
      <c r="B475" t="s">
        <v>18</v>
      </c>
      <c r="C475">
        <v>153000</v>
      </c>
      <c r="D475" t="s">
        <v>19</v>
      </c>
      <c r="E475" t="s">
        <v>20</v>
      </c>
      <c r="F475" t="s">
        <v>21</v>
      </c>
      <c r="G475" t="s">
        <v>22</v>
      </c>
      <c r="H475" t="s">
        <v>41</v>
      </c>
      <c r="I475" t="s">
        <v>24</v>
      </c>
      <c r="J475">
        <v>39015</v>
      </c>
      <c r="K475">
        <v>3901.5</v>
      </c>
      <c r="L475" t="s">
        <v>38</v>
      </c>
      <c r="M475" t="s">
        <v>26</v>
      </c>
      <c r="N475" t="s">
        <v>27</v>
      </c>
      <c r="O475" t="s">
        <v>35</v>
      </c>
      <c r="P475" t="s">
        <v>26</v>
      </c>
      <c r="Q475">
        <v>0</v>
      </c>
    </row>
    <row r="476" spans="1:17" x14ac:dyDescent="0.25">
      <c r="A476" t="s">
        <v>17</v>
      </c>
      <c r="B476" t="s">
        <v>36</v>
      </c>
      <c r="C476">
        <v>180000</v>
      </c>
      <c r="D476" t="s">
        <v>19</v>
      </c>
      <c r="E476" t="s">
        <v>20</v>
      </c>
      <c r="F476" t="s">
        <v>39</v>
      </c>
      <c r="G476" t="s">
        <v>62</v>
      </c>
      <c r="H476" t="s">
        <v>23</v>
      </c>
      <c r="I476" t="s">
        <v>24</v>
      </c>
      <c r="J476">
        <v>49275</v>
      </c>
      <c r="K476">
        <v>0</v>
      </c>
      <c r="L476" t="s">
        <v>34</v>
      </c>
      <c r="M476" t="s">
        <v>26</v>
      </c>
      <c r="N476" t="s">
        <v>27</v>
      </c>
      <c r="O476" t="s">
        <v>35</v>
      </c>
      <c r="P476" t="s">
        <v>26</v>
      </c>
      <c r="Q476">
        <v>0</v>
      </c>
    </row>
    <row r="477" spans="1:17" x14ac:dyDescent="0.25">
      <c r="A477" t="s">
        <v>17</v>
      </c>
      <c r="B477" t="s">
        <v>18</v>
      </c>
      <c r="C477">
        <v>112500</v>
      </c>
      <c r="D477" t="s">
        <v>46</v>
      </c>
      <c r="E477" t="s">
        <v>20</v>
      </c>
      <c r="F477" t="s">
        <v>32</v>
      </c>
      <c r="G477" t="s">
        <v>22</v>
      </c>
      <c r="H477" t="s">
        <v>28</v>
      </c>
      <c r="I477" t="s">
        <v>24</v>
      </c>
      <c r="J477">
        <v>59130</v>
      </c>
      <c r="K477">
        <v>5913</v>
      </c>
      <c r="L477" t="s">
        <v>51</v>
      </c>
      <c r="M477" t="s">
        <v>26</v>
      </c>
      <c r="N477" t="s">
        <v>27</v>
      </c>
      <c r="O477" t="s">
        <v>35</v>
      </c>
      <c r="P477" t="s">
        <v>26</v>
      </c>
      <c r="Q477">
        <v>0</v>
      </c>
    </row>
    <row r="478" spans="1:17" x14ac:dyDescent="0.25">
      <c r="A478" t="s">
        <v>17</v>
      </c>
      <c r="B478" t="s">
        <v>36</v>
      </c>
      <c r="C478">
        <v>225000</v>
      </c>
      <c r="D478" t="s">
        <v>44</v>
      </c>
      <c r="E478" t="s">
        <v>20</v>
      </c>
      <c r="F478" t="s">
        <v>32</v>
      </c>
      <c r="G478" t="s">
        <v>73</v>
      </c>
      <c r="H478" t="s">
        <v>48</v>
      </c>
      <c r="I478" t="s">
        <v>24</v>
      </c>
      <c r="J478">
        <v>56484</v>
      </c>
      <c r="K478">
        <v>5652</v>
      </c>
      <c r="L478" t="s">
        <v>42</v>
      </c>
      <c r="M478" t="s">
        <v>26</v>
      </c>
      <c r="N478" t="s">
        <v>27</v>
      </c>
      <c r="O478" t="s">
        <v>35</v>
      </c>
      <c r="P478" t="s">
        <v>26</v>
      </c>
      <c r="Q478">
        <v>0</v>
      </c>
    </row>
    <row r="479" spans="1:17" x14ac:dyDescent="0.25">
      <c r="A479" t="s">
        <v>17</v>
      </c>
      <c r="B479" t="s">
        <v>18</v>
      </c>
      <c r="C479">
        <v>112500</v>
      </c>
      <c r="D479" t="s">
        <v>46</v>
      </c>
      <c r="E479" t="s">
        <v>20</v>
      </c>
      <c r="F479" t="s">
        <v>21</v>
      </c>
      <c r="G479" t="s">
        <v>22</v>
      </c>
      <c r="H479" t="s">
        <v>28</v>
      </c>
      <c r="I479" t="s">
        <v>24</v>
      </c>
      <c r="J479">
        <v>17055</v>
      </c>
      <c r="K479">
        <v>2565</v>
      </c>
      <c r="L479" t="s">
        <v>43</v>
      </c>
      <c r="M479" t="s">
        <v>26</v>
      </c>
      <c r="N479" t="s">
        <v>27</v>
      </c>
      <c r="O479" t="s">
        <v>35</v>
      </c>
      <c r="P479" t="s">
        <v>26</v>
      </c>
      <c r="Q479">
        <v>0</v>
      </c>
    </row>
    <row r="480" spans="1:17" x14ac:dyDescent="0.25">
      <c r="A480" t="s">
        <v>29</v>
      </c>
      <c r="B480" t="s">
        <v>18</v>
      </c>
      <c r="C480">
        <v>81000</v>
      </c>
      <c r="D480" t="s">
        <v>19</v>
      </c>
      <c r="E480" t="s">
        <v>20</v>
      </c>
      <c r="F480" t="s">
        <v>39</v>
      </c>
      <c r="G480" t="s">
        <v>22</v>
      </c>
      <c r="H480" t="s">
        <v>99</v>
      </c>
      <c r="I480" t="s">
        <v>24</v>
      </c>
      <c r="J480">
        <v>19741.5</v>
      </c>
      <c r="K480">
        <v>0</v>
      </c>
      <c r="L480" t="s">
        <v>38</v>
      </c>
      <c r="M480" t="s">
        <v>26</v>
      </c>
      <c r="N480" t="s">
        <v>76</v>
      </c>
      <c r="O480" t="s">
        <v>35</v>
      </c>
      <c r="P480" t="s">
        <v>77</v>
      </c>
      <c r="Q480">
        <v>0</v>
      </c>
    </row>
    <row r="481" spans="1:17" x14ac:dyDescent="0.25">
      <c r="A481" t="s">
        <v>29</v>
      </c>
      <c r="B481" t="s">
        <v>18</v>
      </c>
      <c r="C481">
        <v>81000</v>
      </c>
      <c r="D481" t="s">
        <v>19</v>
      </c>
      <c r="E481" t="s">
        <v>20</v>
      </c>
      <c r="F481" t="s">
        <v>39</v>
      </c>
      <c r="G481" t="s">
        <v>22</v>
      </c>
      <c r="H481" t="s">
        <v>99</v>
      </c>
      <c r="I481" t="s">
        <v>24</v>
      </c>
      <c r="J481">
        <v>29830.5</v>
      </c>
      <c r="K481">
        <v>0</v>
      </c>
      <c r="L481" t="s">
        <v>34</v>
      </c>
      <c r="M481" t="s">
        <v>26</v>
      </c>
      <c r="N481" t="s">
        <v>27</v>
      </c>
      <c r="O481" t="s">
        <v>35</v>
      </c>
      <c r="P481" t="s">
        <v>26</v>
      </c>
      <c r="Q481">
        <v>0</v>
      </c>
    </row>
    <row r="482" spans="1:17" x14ac:dyDescent="0.25">
      <c r="A482" t="s">
        <v>29</v>
      </c>
      <c r="B482" t="s">
        <v>18</v>
      </c>
      <c r="C482">
        <v>81000</v>
      </c>
      <c r="D482" t="s">
        <v>19</v>
      </c>
      <c r="E482" t="s">
        <v>20</v>
      </c>
      <c r="F482" t="s">
        <v>39</v>
      </c>
      <c r="G482" t="s">
        <v>22</v>
      </c>
      <c r="H482" t="s">
        <v>99</v>
      </c>
      <c r="I482" t="s">
        <v>24</v>
      </c>
      <c r="J482">
        <v>21505.5</v>
      </c>
      <c r="K482">
        <v>0</v>
      </c>
      <c r="L482" t="s">
        <v>43</v>
      </c>
      <c r="M482" t="s">
        <v>26</v>
      </c>
      <c r="N482" t="s">
        <v>76</v>
      </c>
      <c r="O482" t="s">
        <v>35</v>
      </c>
      <c r="P482" t="s">
        <v>77</v>
      </c>
      <c r="Q482">
        <v>0</v>
      </c>
    </row>
    <row r="483" spans="1:17" x14ac:dyDescent="0.25">
      <c r="A483" t="s">
        <v>29</v>
      </c>
      <c r="B483" t="s">
        <v>18</v>
      </c>
      <c r="C483">
        <v>81000</v>
      </c>
      <c r="D483" t="s">
        <v>19</v>
      </c>
      <c r="E483" t="s">
        <v>20</v>
      </c>
      <c r="F483" t="s">
        <v>39</v>
      </c>
      <c r="G483" t="s">
        <v>22</v>
      </c>
      <c r="H483" t="s">
        <v>99</v>
      </c>
      <c r="I483" t="s">
        <v>24</v>
      </c>
      <c r="J483">
        <v>21600</v>
      </c>
      <c r="K483">
        <v>0</v>
      </c>
      <c r="L483" t="s">
        <v>51</v>
      </c>
      <c r="M483" t="s">
        <v>26</v>
      </c>
      <c r="N483" t="s">
        <v>27</v>
      </c>
      <c r="O483" t="s">
        <v>35</v>
      </c>
      <c r="P483" t="s">
        <v>26</v>
      </c>
      <c r="Q483">
        <v>0</v>
      </c>
    </row>
    <row r="484" spans="1:17" x14ac:dyDescent="0.25">
      <c r="A484" t="s">
        <v>29</v>
      </c>
      <c r="B484" t="s">
        <v>18</v>
      </c>
      <c r="C484">
        <v>81000</v>
      </c>
      <c r="D484" t="s">
        <v>19</v>
      </c>
      <c r="E484" t="s">
        <v>20</v>
      </c>
      <c r="F484" t="s">
        <v>39</v>
      </c>
      <c r="G484" t="s">
        <v>22</v>
      </c>
      <c r="H484" t="s">
        <v>99</v>
      </c>
      <c r="I484" t="s">
        <v>24</v>
      </c>
      <c r="J484">
        <v>38250</v>
      </c>
      <c r="K484">
        <v>3825</v>
      </c>
      <c r="L484" t="s">
        <v>51</v>
      </c>
      <c r="M484" t="s">
        <v>26</v>
      </c>
      <c r="N484" t="s">
        <v>27</v>
      </c>
      <c r="O484" t="s">
        <v>35</v>
      </c>
      <c r="P484" t="s">
        <v>26</v>
      </c>
      <c r="Q484">
        <v>0</v>
      </c>
    </row>
    <row r="485" spans="1:17" x14ac:dyDescent="0.25">
      <c r="A485" t="s">
        <v>29</v>
      </c>
      <c r="B485" t="s">
        <v>18</v>
      </c>
      <c r="C485">
        <v>270000</v>
      </c>
      <c r="D485" t="s">
        <v>46</v>
      </c>
      <c r="E485" t="s">
        <v>20</v>
      </c>
      <c r="F485" t="s">
        <v>32</v>
      </c>
      <c r="G485" t="s">
        <v>22</v>
      </c>
      <c r="H485" t="s">
        <v>28</v>
      </c>
      <c r="I485" t="s">
        <v>24</v>
      </c>
      <c r="J485">
        <v>104949</v>
      </c>
      <c r="K485">
        <v>0</v>
      </c>
      <c r="L485" t="s">
        <v>45</v>
      </c>
      <c r="M485" t="s">
        <v>26</v>
      </c>
      <c r="N485" t="s">
        <v>27</v>
      </c>
      <c r="O485" t="s">
        <v>35</v>
      </c>
      <c r="P485" t="s">
        <v>26</v>
      </c>
      <c r="Q485">
        <v>0</v>
      </c>
    </row>
    <row r="486" spans="1:17" x14ac:dyDescent="0.25">
      <c r="A486" t="s">
        <v>29</v>
      </c>
      <c r="B486" t="s">
        <v>18</v>
      </c>
      <c r="C486">
        <v>270000</v>
      </c>
      <c r="D486" t="s">
        <v>46</v>
      </c>
      <c r="E486" t="s">
        <v>20</v>
      </c>
      <c r="F486" t="s">
        <v>32</v>
      </c>
      <c r="G486" t="s">
        <v>22</v>
      </c>
      <c r="H486" t="s">
        <v>28</v>
      </c>
      <c r="I486" t="s">
        <v>24</v>
      </c>
      <c r="J486">
        <v>88020</v>
      </c>
      <c r="K486">
        <v>8802</v>
      </c>
      <c r="L486" t="s">
        <v>38</v>
      </c>
      <c r="M486" t="s">
        <v>26</v>
      </c>
      <c r="N486" t="s">
        <v>27</v>
      </c>
      <c r="O486" t="s">
        <v>35</v>
      </c>
      <c r="P486" t="s">
        <v>26</v>
      </c>
      <c r="Q486">
        <v>0</v>
      </c>
    </row>
    <row r="487" spans="1:17" x14ac:dyDescent="0.25">
      <c r="A487" t="s">
        <v>29</v>
      </c>
      <c r="B487" t="s">
        <v>18</v>
      </c>
      <c r="C487">
        <v>202500</v>
      </c>
      <c r="D487" t="s">
        <v>46</v>
      </c>
      <c r="E487" t="s">
        <v>20</v>
      </c>
      <c r="F487" t="s">
        <v>69</v>
      </c>
      <c r="G487" t="s">
        <v>22</v>
      </c>
      <c r="H487" t="s">
        <v>28</v>
      </c>
      <c r="I487" t="s">
        <v>24</v>
      </c>
      <c r="J487">
        <v>15178.5</v>
      </c>
      <c r="K487">
        <v>1521</v>
      </c>
      <c r="L487" t="s">
        <v>25</v>
      </c>
      <c r="M487" t="s">
        <v>26</v>
      </c>
      <c r="N487" t="s">
        <v>27</v>
      </c>
      <c r="O487" t="s">
        <v>28</v>
      </c>
      <c r="P487" t="s">
        <v>26</v>
      </c>
      <c r="Q487">
        <v>0</v>
      </c>
    </row>
    <row r="488" spans="1:17" x14ac:dyDescent="0.25">
      <c r="A488" t="s">
        <v>17</v>
      </c>
      <c r="B488" t="s">
        <v>36</v>
      </c>
      <c r="C488">
        <v>315000</v>
      </c>
      <c r="D488" t="s">
        <v>19</v>
      </c>
      <c r="E488" t="s">
        <v>31</v>
      </c>
      <c r="F488" t="s">
        <v>32</v>
      </c>
      <c r="G488" t="s">
        <v>22</v>
      </c>
      <c r="H488" t="s">
        <v>23</v>
      </c>
      <c r="I488" t="s">
        <v>24</v>
      </c>
      <c r="J488">
        <v>137529</v>
      </c>
      <c r="K488">
        <v>0</v>
      </c>
      <c r="L488" t="s">
        <v>34</v>
      </c>
      <c r="M488" t="s">
        <v>26</v>
      </c>
      <c r="N488" t="s">
        <v>27</v>
      </c>
      <c r="O488" t="s">
        <v>35</v>
      </c>
      <c r="P488" t="s">
        <v>26</v>
      </c>
      <c r="Q488">
        <v>0</v>
      </c>
    </row>
    <row r="489" spans="1:17" x14ac:dyDescent="0.25">
      <c r="A489" t="s">
        <v>17</v>
      </c>
      <c r="B489" t="s">
        <v>36</v>
      </c>
      <c r="C489">
        <v>180000</v>
      </c>
      <c r="D489" t="s">
        <v>19</v>
      </c>
      <c r="E489" t="s">
        <v>20</v>
      </c>
      <c r="F489" t="s">
        <v>21</v>
      </c>
      <c r="G489" t="s">
        <v>22</v>
      </c>
      <c r="H489" t="s">
        <v>99</v>
      </c>
      <c r="I489" t="s">
        <v>24</v>
      </c>
      <c r="J489">
        <v>89230.5</v>
      </c>
      <c r="K489">
        <v>0</v>
      </c>
      <c r="L489" t="s">
        <v>34</v>
      </c>
      <c r="M489" t="s">
        <v>26</v>
      </c>
      <c r="N489" t="s">
        <v>58</v>
      </c>
      <c r="O489" t="s">
        <v>35</v>
      </c>
      <c r="P489" t="s">
        <v>64</v>
      </c>
      <c r="Q489">
        <v>1</v>
      </c>
    </row>
    <row r="490" spans="1:17" x14ac:dyDescent="0.25">
      <c r="A490" t="s">
        <v>17</v>
      </c>
      <c r="B490" t="s">
        <v>36</v>
      </c>
      <c r="C490">
        <v>180000</v>
      </c>
      <c r="D490" t="s">
        <v>19</v>
      </c>
      <c r="E490" t="s">
        <v>20</v>
      </c>
      <c r="F490" t="s">
        <v>21</v>
      </c>
      <c r="G490" t="s">
        <v>22</v>
      </c>
      <c r="H490" t="s">
        <v>99</v>
      </c>
      <c r="I490" t="s">
        <v>24</v>
      </c>
      <c r="J490">
        <v>88555.5</v>
      </c>
      <c r="K490">
        <v>0</v>
      </c>
      <c r="L490" t="s">
        <v>34</v>
      </c>
      <c r="M490" t="s">
        <v>26</v>
      </c>
      <c r="N490" t="s">
        <v>58</v>
      </c>
      <c r="O490" t="s">
        <v>35</v>
      </c>
      <c r="P490" t="s">
        <v>28</v>
      </c>
      <c r="Q490">
        <v>1</v>
      </c>
    </row>
    <row r="491" spans="1:17" x14ac:dyDescent="0.25">
      <c r="A491" t="s">
        <v>17</v>
      </c>
      <c r="B491" t="s">
        <v>36</v>
      </c>
      <c r="C491">
        <v>180000</v>
      </c>
      <c r="D491" t="s">
        <v>19</v>
      </c>
      <c r="E491" t="s">
        <v>20</v>
      </c>
      <c r="F491" t="s">
        <v>21</v>
      </c>
      <c r="G491" t="s">
        <v>22</v>
      </c>
      <c r="H491" t="s">
        <v>99</v>
      </c>
      <c r="I491" t="s">
        <v>24</v>
      </c>
      <c r="J491">
        <v>97555.5</v>
      </c>
      <c r="K491">
        <v>0</v>
      </c>
      <c r="L491" t="s">
        <v>25</v>
      </c>
      <c r="M491" t="s">
        <v>26</v>
      </c>
      <c r="N491" t="s">
        <v>76</v>
      </c>
      <c r="O491" t="s">
        <v>35</v>
      </c>
      <c r="P491" t="s">
        <v>77</v>
      </c>
      <c r="Q491">
        <v>0</v>
      </c>
    </row>
    <row r="492" spans="1:17" x14ac:dyDescent="0.25">
      <c r="A492" t="s">
        <v>29</v>
      </c>
      <c r="B492" t="s">
        <v>18</v>
      </c>
      <c r="C492">
        <v>135000</v>
      </c>
      <c r="D492" t="s">
        <v>46</v>
      </c>
      <c r="E492" t="s">
        <v>20</v>
      </c>
      <c r="F492" t="s">
        <v>32</v>
      </c>
      <c r="G492" t="s">
        <v>22</v>
      </c>
      <c r="H492" t="s">
        <v>28</v>
      </c>
      <c r="I492" t="s">
        <v>24</v>
      </c>
      <c r="J492">
        <v>158310</v>
      </c>
      <c r="K492">
        <v>0</v>
      </c>
      <c r="L492" t="s">
        <v>38</v>
      </c>
      <c r="M492" t="s">
        <v>26</v>
      </c>
      <c r="N492" t="s">
        <v>58</v>
      </c>
      <c r="O492" t="s">
        <v>35</v>
      </c>
      <c r="P492" t="s">
        <v>60</v>
      </c>
      <c r="Q492">
        <v>1</v>
      </c>
    </row>
    <row r="493" spans="1:17" x14ac:dyDescent="0.25">
      <c r="A493" t="s">
        <v>29</v>
      </c>
      <c r="B493" t="s">
        <v>18</v>
      </c>
      <c r="C493">
        <v>135000</v>
      </c>
      <c r="D493" t="s">
        <v>46</v>
      </c>
      <c r="E493" t="s">
        <v>20</v>
      </c>
      <c r="F493" t="s">
        <v>32</v>
      </c>
      <c r="G493" t="s">
        <v>22</v>
      </c>
      <c r="H493" t="s">
        <v>28</v>
      </c>
      <c r="I493" t="s">
        <v>24</v>
      </c>
      <c r="J493">
        <v>88542</v>
      </c>
      <c r="K493">
        <v>0</v>
      </c>
      <c r="L493" t="s">
        <v>38</v>
      </c>
      <c r="M493" t="s">
        <v>26</v>
      </c>
      <c r="N493" t="s">
        <v>58</v>
      </c>
      <c r="O493" t="s">
        <v>35</v>
      </c>
      <c r="P493" t="s">
        <v>60</v>
      </c>
      <c r="Q493">
        <v>1</v>
      </c>
    </row>
    <row r="494" spans="1:17" x14ac:dyDescent="0.25">
      <c r="A494" t="s">
        <v>29</v>
      </c>
      <c r="B494" t="s">
        <v>18</v>
      </c>
      <c r="C494">
        <v>135000</v>
      </c>
      <c r="D494" t="s">
        <v>46</v>
      </c>
      <c r="E494" t="s">
        <v>20</v>
      </c>
      <c r="F494" t="s">
        <v>32</v>
      </c>
      <c r="G494" t="s">
        <v>22</v>
      </c>
      <c r="H494" t="s">
        <v>28</v>
      </c>
      <c r="I494" t="s">
        <v>24</v>
      </c>
      <c r="J494">
        <v>158283</v>
      </c>
      <c r="K494">
        <v>0</v>
      </c>
      <c r="L494" t="s">
        <v>38</v>
      </c>
      <c r="M494" t="s">
        <v>26</v>
      </c>
      <c r="N494" t="s">
        <v>58</v>
      </c>
      <c r="O494" t="s">
        <v>35</v>
      </c>
      <c r="P494" t="s">
        <v>60</v>
      </c>
      <c r="Q494">
        <v>1</v>
      </c>
    </row>
    <row r="495" spans="1:17" x14ac:dyDescent="0.25">
      <c r="A495" t="s">
        <v>29</v>
      </c>
      <c r="B495" t="s">
        <v>18</v>
      </c>
      <c r="C495">
        <v>81000</v>
      </c>
      <c r="D495" t="s">
        <v>44</v>
      </c>
      <c r="E495" t="s">
        <v>70</v>
      </c>
      <c r="F495" t="s">
        <v>69</v>
      </c>
      <c r="G495" t="s">
        <v>22</v>
      </c>
      <c r="H495" t="s">
        <v>23</v>
      </c>
      <c r="I495" t="s">
        <v>24</v>
      </c>
      <c r="J495">
        <v>37062</v>
      </c>
      <c r="K495">
        <v>3708</v>
      </c>
      <c r="L495" t="s">
        <v>45</v>
      </c>
      <c r="M495" t="s">
        <v>26</v>
      </c>
      <c r="N495" t="s">
        <v>27</v>
      </c>
      <c r="O495" t="s">
        <v>35</v>
      </c>
      <c r="P495" t="s">
        <v>26</v>
      </c>
      <c r="Q495">
        <v>0</v>
      </c>
    </row>
    <row r="496" spans="1:17" x14ac:dyDescent="0.25">
      <c r="A496" t="s">
        <v>29</v>
      </c>
      <c r="B496" t="s">
        <v>18</v>
      </c>
      <c r="C496">
        <v>81000</v>
      </c>
      <c r="D496" t="s">
        <v>44</v>
      </c>
      <c r="E496" t="s">
        <v>70</v>
      </c>
      <c r="F496" t="s">
        <v>69</v>
      </c>
      <c r="G496" t="s">
        <v>22</v>
      </c>
      <c r="H496" t="s">
        <v>23</v>
      </c>
      <c r="I496" t="s">
        <v>24</v>
      </c>
      <c r="J496">
        <v>131719.5</v>
      </c>
      <c r="K496">
        <v>0</v>
      </c>
      <c r="L496" t="s">
        <v>45</v>
      </c>
      <c r="M496" t="s">
        <v>26</v>
      </c>
      <c r="N496" t="s">
        <v>27</v>
      </c>
      <c r="O496" t="s">
        <v>35</v>
      </c>
      <c r="P496" t="s">
        <v>26</v>
      </c>
      <c r="Q496">
        <v>0</v>
      </c>
    </row>
    <row r="497" spans="1:17" x14ac:dyDescent="0.25">
      <c r="A497" t="s">
        <v>17</v>
      </c>
      <c r="B497" t="s">
        <v>18</v>
      </c>
      <c r="C497">
        <v>112500</v>
      </c>
      <c r="D497" t="s">
        <v>44</v>
      </c>
      <c r="E497" t="s">
        <v>70</v>
      </c>
      <c r="F497" t="s">
        <v>21</v>
      </c>
      <c r="G497" t="s">
        <v>22</v>
      </c>
      <c r="H497" t="s">
        <v>89</v>
      </c>
      <c r="I497" t="s">
        <v>24</v>
      </c>
      <c r="J497">
        <v>88875</v>
      </c>
      <c r="K497">
        <v>17775</v>
      </c>
      <c r="L497" t="s">
        <v>25</v>
      </c>
      <c r="M497" t="s">
        <v>26</v>
      </c>
      <c r="N497" t="s">
        <v>27</v>
      </c>
      <c r="O497" t="s">
        <v>35</v>
      </c>
      <c r="P497" t="s">
        <v>26</v>
      </c>
      <c r="Q497">
        <v>0</v>
      </c>
    </row>
    <row r="498" spans="1:17" x14ac:dyDescent="0.25">
      <c r="A498" t="s">
        <v>29</v>
      </c>
      <c r="B498" t="s">
        <v>36</v>
      </c>
      <c r="C498">
        <v>180000</v>
      </c>
      <c r="D498" t="s">
        <v>19</v>
      </c>
      <c r="E498" t="s">
        <v>20</v>
      </c>
      <c r="F498" t="s">
        <v>32</v>
      </c>
      <c r="G498" t="s">
        <v>22</v>
      </c>
      <c r="H498" t="s">
        <v>23</v>
      </c>
      <c r="I498" t="s">
        <v>66</v>
      </c>
      <c r="J498">
        <v>135000</v>
      </c>
      <c r="K498">
        <v>0</v>
      </c>
      <c r="L498" t="s">
        <v>51</v>
      </c>
      <c r="M498" t="s">
        <v>28</v>
      </c>
      <c r="N498" t="s">
        <v>27</v>
      </c>
      <c r="O498" t="s">
        <v>35</v>
      </c>
      <c r="P498" t="s">
        <v>26</v>
      </c>
      <c r="Q498">
        <v>0</v>
      </c>
    </row>
    <row r="499" spans="1:17" x14ac:dyDescent="0.25">
      <c r="A499" t="s">
        <v>29</v>
      </c>
      <c r="B499" t="s">
        <v>36</v>
      </c>
      <c r="C499">
        <v>180000</v>
      </c>
      <c r="D499" t="s">
        <v>19</v>
      </c>
      <c r="E499" t="s">
        <v>20</v>
      </c>
      <c r="F499" t="s">
        <v>32</v>
      </c>
      <c r="G499" t="s">
        <v>22</v>
      </c>
      <c r="H499" t="s">
        <v>23</v>
      </c>
      <c r="I499" t="s">
        <v>24</v>
      </c>
      <c r="J499">
        <v>31455</v>
      </c>
      <c r="K499">
        <v>0</v>
      </c>
      <c r="L499" t="s">
        <v>34</v>
      </c>
      <c r="M499" t="s">
        <v>26</v>
      </c>
      <c r="N499" t="s">
        <v>76</v>
      </c>
      <c r="O499" t="s">
        <v>35</v>
      </c>
      <c r="P499" t="s">
        <v>77</v>
      </c>
      <c r="Q499">
        <v>0</v>
      </c>
    </row>
    <row r="500" spans="1:17" x14ac:dyDescent="0.25">
      <c r="A500" t="s">
        <v>29</v>
      </c>
      <c r="B500" t="s">
        <v>36</v>
      </c>
      <c r="C500">
        <v>180000</v>
      </c>
      <c r="D500" t="s">
        <v>19</v>
      </c>
      <c r="E500" t="s">
        <v>20</v>
      </c>
      <c r="F500" t="s">
        <v>32</v>
      </c>
      <c r="G500" t="s">
        <v>22</v>
      </c>
      <c r="H500" t="s">
        <v>23</v>
      </c>
      <c r="I500" t="s">
        <v>66</v>
      </c>
      <c r="J500">
        <v>45000</v>
      </c>
      <c r="K500">
        <v>0</v>
      </c>
      <c r="L500" t="s">
        <v>43</v>
      </c>
      <c r="M500" t="s">
        <v>28</v>
      </c>
      <c r="N500" t="s">
        <v>58</v>
      </c>
      <c r="O500" t="s">
        <v>35</v>
      </c>
      <c r="P500" t="s">
        <v>59</v>
      </c>
      <c r="Q500">
        <v>1</v>
      </c>
    </row>
    <row r="501" spans="1:17" x14ac:dyDescent="0.25">
      <c r="A501" t="s">
        <v>17</v>
      </c>
      <c r="B501" t="s">
        <v>36</v>
      </c>
      <c r="C501">
        <v>450000</v>
      </c>
      <c r="D501" t="s">
        <v>19</v>
      </c>
      <c r="E501" t="s">
        <v>31</v>
      </c>
      <c r="F501" t="s">
        <v>32</v>
      </c>
      <c r="G501" t="s">
        <v>22</v>
      </c>
      <c r="H501" t="s">
        <v>49</v>
      </c>
      <c r="I501" t="s">
        <v>24</v>
      </c>
      <c r="J501">
        <v>98766</v>
      </c>
      <c r="K501">
        <v>9877.5</v>
      </c>
      <c r="L501" t="s">
        <v>45</v>
      </c>
      <c r="M501" t="s">
        <v>26</v>
      </c>
      <c r="N501" t="s">
        <v>27</v>
      </c>
      <c r="O501" t="s">
        <v>35</v>
      </c>
      <c r="P501" t="s">
        <v>26</v>
      </c>
      <c r="Q501">
        <v>0</v>
      </c>
    </row>
    <row r="502" spans="1:17" x14ac:dyDescent="0.25">
      <c r="A502" t="s">
        <v>29</v>
      </c>
      <c r="B502" t="s">
        <v>36</v>
      </c>
      <c r="C502">
        <v>135000</v>
      </c>
      <c r="D502" t="s">
        <v>19</v>
      </c>
      <c r="E502" t="s">
        <v>20</v>
      </c>
      <c r="F502" t="s">
        <v>32</v>
      </c>
      <c r="G502" t="s">
        <v>22</v>
      </c>
      <c r="H502" t="s">
        <v>68</v>
      </c>
      <c r="I502" t="s">
        <v>24</v>
      </c>
      <c r="J502">
        <v>90504</v>
      </c>
      <c r="K502">
        <v>0</v>
      </c>
      <c r="L502" t="s">
        <v>25</v>
      </c>
      <c r="M502" t="s">
        <v>26</v>
      </c>
      <c r="N502" t="s">
        <v>27</v>
      </c>
      <c r="O502" t="s">
        <v>35</v>
      </c>
      <c r="P502" t="s">
        <v>26</v>
      </c>
      <c r="Q502">
        <v>0</v>
      </c>
    </row>
    <row r="503" spans="1:17" x14ac:dyDescent="0.25">
      <c r="A503" t="s">
        <v>29</v>
      </c>
      <c r="B503" t="s">
        <v>36</v>
      </c>
      <c r="C503">
        <v>135000</v>
      </c>
      <c r="D503" t="s">
        <v>19</v>
      </c>
      <c r="E503" t="s">
        <v>20</v>
      </c>
      <c r="F503" t="s">
        <v>32</v>
      </c>
      <c r="G503" t="s">
        <v>22</v>
      </c>
      <c r="H503" t="s">
        <v>68</v>
      </c>
      <c r="I503" t="s">
        <v>24</v>
      </c>
      <c r="J503">
        <v>106020</v>
      </c>
      <c r="K503">
        <v>0</v>
      </c>
      <c r="L503" t="s">
        <v>51</v>
      </c>
      <c r="M503" t="s">
        <v>26</v>
      </c>
      <c r="N503" t="s">
        <v>27</v>
      </c>
      <c r="O503" t="s">
        <v>35</v>
      </c>
      <c r="P503" t="s">
        <v>26</v>
      </c>
      <c r="Q503">
        <v>0</v>
      </c>
    </row>
    <row r="504" spans="1:17" x14ac:dyDescent="0.25">
      <c r="A504" t="s">
        <v>17</v>
      </c>
      <c r="B504" t="s">
        <v>18</v>
      </c>
      <c r="C504">
        <v>90000</v>
      </c>
      <c r="D504" t="s">
        <v>46</v>
      </c>
      <c r="E504" t="s">
        <v>20</v>
      </c>
      <c r="F504" t="s">
        <v>32</v>
      </c>
      <c r="G504" t="s">
        <v>22</v>
      </c>
      <c r="H504" t="s">
        <v>28</v>
      </c>
      <c r="I504" t="s">
        <v>24</v>
      </c>
      <c r="J504">
        <v>46800</v>
      </c>
      <c r="K504">
        <v>0</v>
      </c>
      <c r="L504" t="s">
        <v>38</v>
      </c>
      <c r="M504" t="s">
        <v>26</v>
      </c>
      <c r="N504" t="s">
        <v>27</v>
      </c>
      <c r="O504" t="s">
        <v>35</v>
      </c>
      <c r="P504" t="s">
        <v>26</v>
      </c>
      <c r="Q504">
        <v>0</v>
      </c>
    </row>
    <row r="505" spans="1:17" x14ac:dyDescent="0.25">
      <c r="A505" t="s">
        <v>17</v>
      </c>
      <c r="B505" t="s">
        <v>18</v>
      </c>
      <c r="C505">
        <v>90000</v>
      </c>
      <c r="D505" t="s">
        <v>46</v>
      </c>
      <c r="E505" t="s">
        <v>20</v>
      </c>
      <c r="F505" t="s">
        <v>32</v>
      </c>
      <c r="G505" t="s">
        <v>22</v>
      </c>
      <c r="H505" t="s">
        <v>28</v>
      </c>
      <c r="I505" t="s">
        <v>24</v>
      </c>
      <c r="J505">
        <v>134505</v>
      </c>
      <c r="K505">
        <v>13450.5</v>
      </c>
      <c r="L505" t="s">
        <v>43</v>
      </c>
      <c r="M505" t="s">
        <v>26</v>
      </c>
      <c r="N505" t="s">
        <v>27</v>
      </c>
      <c r="O505" t="s">
        <v>35</v>
      </c>
      <c r="P505" t="s">
        <v>26</v>
      </c>
      <c r="Q505">
        <v>0</v>
      </c>
    </row>
    <row r="506" spans="1:17" x14ac:dyDescent="0.25">
      <c r="A506" t="s">
        <v>29</v>
      </c>
      <c r="B506" t="s">
        <v>18</v>
      </c>
      <c r="C506">
        <v>112500</v>
      </c>
      <c r="D506" t="s">
        <v>19</v>
      </c>
      <c r="E506" t="s">
        <v>20</v>
      </c>
      <c r="F506" t="s">
        <v>21</v>
      </c>
      <c r="G506" t="s">
        <v>22</v>
      </c>
      <c r="H506" t="s">
        <v>49</v>
      </c>
      <c r="I506" t="s">
        <v>24</v>
      </c>
      <c r="J506">
        <v>18801</v>
      </c>
      <c r="K506">
        <v>1890</v>
      </c>
      <c r="L506" t="s">
        <v>34</v>
      </c>
      <c r="M506" t="s">
        <v>26</v>
      </c>
      <c r="N506" t="s">
        <v>27</v>
      </c>
      <c r="O506" t="s">
        <v>35</v>
      </c>
      <c r="P506" t="s">
        <v>26</v>
      </c>
      <c r="Q506">
        <v>0</v>
      </c>
    </row>
    <row r="507" spans="1:17" x14ac:dyDescent="0.25">
      <c r="A507" t="s">
        <v>29</v>
      </c>
      <c r="B507" t="s">
        <v>18</v>
      </c>
      <c r="C507">
        <v>112500</v>
      </c>
      <c r="D507" t="s">
        <v>19</v>
      </c>
      <c r="E507" t="s">
        <v>20</v>
      </c>
      <c r="F507" t="s">
        <v>39</v>
      </c>
      <c r="G507" t="s">
        <v>22</v>
      </c>
      <c r="H507" t="s">
        <v>49</v>
      </c>
      <c r="I507" t="s">
        <v>24</v>
      </c>
      <c r="J507">
        <v>127993.5</v>
      </c>
      <c r="K507">
        <v>45000</v>
      </c>
      <c r="L507" t="s">
        <v>43</v>
      </c>
      <c r="M507" t="s">
        <v>26</v>
      </c>
      <c r="N507" t="s">
        <v>27</v>
      </c>
      <c r="O507" t="s">
        <v>28</v>
      </c>
      <c r="P507" t="s">
        <v>26</v>
      </c>
      <c r="Q507">
        <v>0</v>
      </c>
    </row>
    <row r="508" spans="1:17" x14ac:dyDescent="0.25">
      <c r="A508" t="s">
        <v>29</v>
      </c>
      <c r="B508" t="s">
        <v>18</v>
      </c>
      <c r="C508">
        <v>180000</v>
      </c>
      <c r="D508" t="s">
        <v>19</v>
      </c>
      <c r="E508" t="s">
        <v>20</v>
      </c>
      <c r="F508" t="s">
        <v>54</v>
      </c>
      <c r="G508" t="s">
        <v>22</v>
      </c>
      <c r="H508" t="s">
        <v>85</v>
      </c>
      <c r="I508" t="s">
        <v>24</v>
      </c>
      <c r="J508">
        <v>40455</v>
      </c>
      <c r="K508">
        <v>4500</v>
      </c>
      <c r="L508" t="s">
        <v>34</v>
      </c>
      <c r="M508" t="s">
        <v>26</v>
      </c>
      <c r="N508" t="s">
        <v>27</v>
      </c>
      <c r="O508" t="s">
        <v>35</v>
      </c>
      <c r="P508" t="s">
        <v>26</v>
      </c>
      <c r="Q508">
        <v>0</v>
      </c>
    </row>
    <row r="509" spans="1:17" x14ac:dyDescent="0.25">
      <c r="A509" t="s">
        <v>29</v>
      </c>
      <c r="B509" t="s">
        <v>18</v>
      </c>
      <c r="C509">
        <v>180000</v>
      </c>
      <c r="D509" t="s">
        <v>19</v>
      </c>
      <c r="E509" t="s">
        <v>20</v>
      </c>
      <c r="F509" t="s">
        <v>54</v>
      </c>
      <c r="G509" t="s">
        <v>22</v>
      </c>
      <c r="H509" t="s">
        <v>85</v>
      </c>
      <c r="I509" t="s">
        <v>24</v>
      </c>
      <c r="J509">
        <v>29160</v>
      </c>
      <c r="K509">
        <v>4500</v>
      </c>
      <c r="L509" t="s">
        <v>45</v>
      </c>
      <c r="M509" t="s">
        <v>26</v>
      </c>
      <c r="N509" t="s">
        <v>27</v>
      </c>
      <c r="O509" t="s">
        <v>35</v>
      </c>
      <c r="P509" t="s">
        <v>26</v>
      </c>
      <c r="Q509">
        <v>0</v>
      </c>
    </row>
    <row r="510" spans="1:17" x14ac:dyDescent="0.25">
      <c r="A510" t="s">
        <v>29</v>
      </c>
      <c r="B510" t="s">
        <v>18</v>
      </c>
      <c r="C510">
        <v>135000</v>
      </c>
      <c r="D510" t="s">
        <v>19</v>
      </c>
      <c r="E510" t="s">
        <v>20</v>
      </c>
      <c r="F510" t="s">
        <v>39</v>
      </c>
      <c r="G510" t="s">
        <v>22</v>
      </c>
      <c r="H510" t="s">
        <v>37</v>
      </c>
      <c r="I510" t="s">
        <v>24</v>
      </c>
      <c r="J510">
        <v>94500</v>
      </c>
      <c r="K510">
        <v>0</v>
      </c>
      <c r="L510" t="s">
        <v>43</v>
      </c>
      <c r="M510" t="s">
        <v>26</v>
      </c>
      <c r="N510" t="s">
        <v>27</v>
      </c>
      <c r="O510" t="s">
        <v>35</v>
      </c>
      <c r="P510" t="s">
        <v>26</v>
      </c>
      <c r="Q510">
        <v>0</v>
      </c>
    </row>
    <row r="511" spans="1:17" x14ac:dyDescent="0.25">
      <c r="A511" t="s">
        <v>29</v>
      </c>
      <c r="B511" t="s">
        <v>18</v>
      </c>
      <c r="C511">
        <v>135000</v>
      </c>
      <c r="D511" t="s">
        <v>19</v>
      </c>
      <c r="E511" t="s">
        <v>20</v>
      </c>
      <c r="F511" t="s">
        <v>39</v>
      </c>
      <c r="G511" t="s">
        <v>22</v>
      </c>
      <c r="H511" t="s">
        <v>37</v>
      </c>
      <c r="I511" t="s">
        <v>24</v>
      </c>
      <c r="J511">
        <v>33322.5</v>
      </c>
      <c r="K511">
        <v>3334.5</v>
      </c>
      <c r="L511" t="s">
        <v>45</v>
      </c>
      <c r="M511" t="s">
        <v>26</v>
      </c>
      <c r="N511" t="s">
        <v>27</v>
      </c>
      <c r="O511" t="s">
        <v>35</v>
      </c>
      <c r="P511" t="s">
        <v>26</v>
      </c>
      <c r="Q511">
        <v>0</v>
      </c>
    </row>
    <row r="512" spans="1:17" x14ac:dyDescent="0.25">
      <c r="A512" t="s">
        <v>29</v>
      </c>
      <c r="B512" t="s">
        <v>18</v>
      </c>
      <c r="C512">
        <v>112500</v>
      </c>
      <c r="D512" t="s">
        <v>46</v>
      </c>
      <c r="E512" t="s">
        <v>20</v>
      </c>
      <c r="F512" t="s">
        <v>69</v>
      </c>
      <c r="G512" t="s">
        <v>22</v>
      </c>
      <c r="H512" t="s">
        <v>28</v>
      </c>
      <c r="I512" t="s">
        <v>24</v>
      </c>
      <c r="J512">
        <v>37566</v>
      </c>
      <c r="K512">
        <v>3757.5</v>
      </c>
      <c r="L512" t="s">
        <v>51</v>
      </c>
      <c r="M512" t="s">
        <v>26</v>
      </c>
      <c r="N512" t="s">
        <v>27</v>
      </c>
      <c r="O512" t="s">
        <v>35</v>
      </c>
      <c r="P512" t="s">
        <v>26</v>
      </c>
      <c r="Q512">
        <v>0</v>
      </c>
    </row>
    <row r="513" spans="1:17" x14ac:dyDescent="0.25">
      <c r="A513" t="s">
        <v>17</v>
      </c>
      <c r="B513" t="s">
        <v>36</v>
      </c>
      <c r="C513">
        <v>450000</v>
      </c>
      <c r="D513" t="s">
        <v>44</v>
      </c>
      <c r="E513" t="s">
        <v>31</v>
      </c>
      <c r="F513" t="s">
        <v>21</v>
      </c>
      <c r="G513" t="s">
        <v>73</v>
      </c>
      <c r="H513" t="s">
        <v>23</v>
      </c>
      <c r="I513" t="s">
        <v>24</v>
      </c>
      <c r="J513">
        <v>77796.404999999999</v>
      </c>
      <c r="K513">
        <v>0.40500000000000003</v>
      </c>
      <c r="L513" t="s">
        <v>25</v>
      </c>
      <c r="M513" t="s">
        <v>26</v>
      </c>
      <c r="N513" t="s">
        <v>27</v>
      </c>
      <c r="O513" t="s">
        <v>35</v>
      </c>
      <c r="P513" t="s">
        <v>26</v>
      </c>
      <c r="Q513">
        <v>0</v>
      </c>
    </row>
    <row r="514" spans="1:17" x14ac:dyDescent="0.25">
      <c r="A514" t="s">
        <v>17</v>
      </c>
      <c r="B514" t="s">
        <v>18</v>
      </c>
      <c r="C514">
        <v>112500</v>
      </c>
      <c r="D514" t="s">
        <v>19</v>
      </c>
      <c r="E514" t="s">
        <v>20</v>
      </c>
      <c r="F514" t="s">
        <v>69</v>
      </c>
      <c r="G514" t="s">
        <v>22</v>
      </c>
      <c r="H514" t="s">
        <v>41</v>
      </c>
      <c r="I514" t="s">
        <v>24</v>
      </c>
      <c r="J514">
        <v>61362</v>
      </c>
      <c r="K514">
        <v>0</v>
      </c>
      <c r="L514" t="s">
        <v>43</v>
      </c>
      <c r="M514" t="s">
        <v>26</v>
      </c>
      <c r="N514" t="s">
        <v>27</v>
      </c>
      <c r="O514" t="s">
        <v>35</v>
      </c>
      <c r="P514" t="s">
        <v>26</v>
      </c>
      <c r="Q514">
        <v>0</v>
      </c>
    </row>
    <row r="515" spans="1:17" x14ac:dyDescent="0.25">
      <c r="A515" t="s">
        <v>29</v>
      </c>
      <c r="B515" t="s">
        <v>36</v>
      </c>
      <c r="C515">
        <v>90000</v>
      </c>
      <c r="D515" t="s">
        <v>19</v>
      </c>
      <c r="E515" t="s">
        <v>31</v>
      </c>
      <c r="F515" t="s">
        <v>32</v>
      </c>
      <c r="G515" t="s">
        <v>22</v>
      </c>
      <c r="H515" t="s">
        <v>56</v>
      </c>
      <c r="I515" t="s">
        <v>24</v>
      </c>
      <c r="J515">
        <v>120357</v>
      </c>
      <c r="K515">
        <v>0</v>
      </c>
      <c r="L515" t="s">
        <v>38</v>
      </c>
      <c r="M515" t="s">
        <v>26</v>
      </c>
      <c r="N515" t="s">
        <v>27</v>
      </c>
      <c r="O515" t="s">
        <v>35</v>
      </c>
      <c r="P515" t="s">
        <v>26</v>
      </c>
      <c r="Q515">
        <v>0</v>
      </c>
    </row>
    <row r="516" spans="1:17" x14ac:dyDescent="0.25">
      <c r="A516" t="s">
        <v>29</v>
      </c>
      <c r="B516" t="s">
        <v>36</v>
      </c>
      <c r="C516">
        <v>90000</v>
      </c>
      <c r="D516" t="s">
        <v>19</v>
      </c>
      <c r="E516" t="s">
        <v>31</v>
      </c>
      <c r="F516" t="s">
        <v>32</v>
      </c>
      <c r="G516" t="s">
        <v>22</v>
      </c>
      <c r="H516" t="s">
        <v>56</v>
      </c>
      <c r="I516" t="s">
        <v>24</v>
      </c>
      <c r="J516">
        <v>55300.5</v>
      </c>
      <c r="K516">
        <v>0</v>
      </c>
      <c r="L516" t="s">
        <v>34</v>
      </c>
      <c r="M516" t="s">
        <v>26</v>
      </c>
      <c r="N516" t="s">
        <v>27</v>
      </c>
      <c r="O516" t="s">
        <v>35</v>
      </c>
      <c r="P516" t="s">
        <v>26</v>
      </c>
      <c r="Q516">
        <v>0</v>
      </c>
    </row>
    <row r="517" spans="1:17" x14ac:dyDescent="0.25">
      <c r="A517" t="s">
        <v>29</v>
      </c>
      <c r="B517" t="s">
        <v>36</v>
      </c>
      <c r="C517">
        <v>90000</v>
      </c>
      <c r="D517" t="s">
        <v>19</v>
      </c>
      <c r="E517" t="s">
        <v>31</v>
      </c>
      <c r="F517" t="s">
        <v>32</v>
      </c>
      <c r="G517" t="s">
        <v>22</v>
      </c>
      <c r="H517" t="s">
        <v>56</v>
      </c>
      <c r="I517" t="s">
        <v>24</v>
      </c>
      <c r="J517">
        <v>30465</v>
      </c>
      <c r="K517">
        <v>0</v>
      </c>
      <c r="L517" t="s">
        <v>34</v>
      </c>
      <c r="M517" t="s">
        <v>26</v>
      </c>
      <c r="N517" t="s">
        <v>76</v>
      </c>
      <c r="O517" t="s">
        <v>35</v>
      </c>
      <c r="P517" t="s">
        <v>77</v>
      </c>
      <c r="Q517">
        <v>0</v>
      </c>
    </row>
    <row r="518" spans="1:17" x14ac:dyDescent="0.25">
      <c r="A518" t="s">
        <v>29</v>
      </c>
      <c r="B518" t="s">
        <v>36</v>
      </c>
      <c r="C518">
        <v>90000</v>
      </c>
      <c r="D518" t="s">
        <v>19</v>
      </c>
      <c r="E518" t="s">
        <v>31</v>
      </c>
      <c r="F518" t="s">
        <v>32</v>
      </c>
      <c r="G518" t="s">
        <v>22</v>
      </c>
      <c r="H518" t="s">
        <v>56</v>
      </c>
      <c r="I518" t="s">
        <v>24</v>
      </c>
      <c r="J518">
        <v>41917.5</v>
      </c>
      <c r="K518">
        <v>4500</v>
      </c>
      <c r="L518" t="s">
        <v>34</v>
      </c>
      <c r="M518" t="s">
        <v>26</v>
      </c>
      <c r="N518" t="s">
        <v>27</v>
      </c>
      <c r="O518" t="s">
        <v>35</v>
      </c>
      <c r="P518" t="s">
        <v>26</v>
      </c>
      <c r="Q518">
        <v>0</v>
      </c>
    </row>
    <row r="519" spans="1:17" x14ac:dyDescent="0.25">
      <c r="A519" t="s">
        <v>29</v>
      </c>
      <c r="B519" t="s">
        <v>18</v>
      </c>
      <c r="C519">
        <v>67500</v>
      </c>
      <c r="D519" t="s">
        <v>19</v>
      </c>
      <c r="E519" t="s">
        <v>31</v>
      </c>
      <c r="F519" t="s">
        <v>32</v>
      </c>
      <c r="G519" t="s">
        <v>22</v>
      </c>
      <c r="H519" t="s">
        <v>78</v>
      </c>
      <c r="I519" t="s">
        <v>24</v>
      </c>
      <c r="J519">
        <v>20205</v>
      </c>
      <c r="K519">
        <v>0</v>
      </c>
      <c r="L519" t="s">
        <v>34</v>
      </c>
      <c r="M519" t="s">
        <v>26</v>
      </c>
      <c r="N519" t="s">
        <v>27</v>
      </c>
      <c r="O519" t="s">
        <v>35</v>
      </c>
      <c r="P519" t="s">
        <v>26</v>
      </c>
      <c r="Q519">
        <v>0</v>
      </c>
    </row>
    <row r="520" spans="1:17" x14ac:dyDescent="0.25">
      <c r="A520" t="s">
        <v>17</v>
      </c>
      <c r="B520" t="s">
        <v>18</v>
      </c>
      <c r="C520">
        <v>180000</v>
      </c>
      <c r="D520" t="s">
        <v>19</v>
      </c>
      <c r="E520" t="s">
        <v>20</v>
      </c>
      <c r="F520" t="s">
        <v>32</v>
      </c>
      <c r="G520" t="s">
        <v>22</v>
      </c>
      <c r="H520" t="s">
        <v>37</v>
      </c>
      <c r="I520" t="s">
        <v>24</v>
      </c>
      <c r="J520">
        <v>27405</v>
      </c>
      <c r="K520">
        <v>2740.5</v>
      </c>
      <c r="L520" t="s">
        <v>45</v>
      </c>
      <c r="M520" t="s">
        <v>26</v>
      </c>
      <c r="N520" t="s">
        <v>27</v>
      </c>
      <c r="O520" t="s">
        <v>35</v>
      </c>
      <c r="P520" t="s">
        <v>26</v>
      </c>
      <c r="Q520">
        <v>0</v>
      </c>
    </row>
    <row r="521" spans="1:17" x14ac:dyDescent="0.25">
      <c r="A521" t="s">
        <v>17</v>
      </c>
      <c r="B521" t="s">
        <v>18</v>
      </c>
      <c r="C521">
        <v>180000</v>
      </c>
      <c r="D521" t="s">
        <v>19</v>
      </c>
      <c r="E521" t="s">
        <v>20</v>
      </c>
      <c r="F521" t="s">
        <v>32</v>
      </c>
      <c r="G521" t="s">
        <v>22</v>
      </c>
      <c r="H521" t="s">
        <v>37</v>
      </c>
      <c r="I521" t="s">
        <v>24</v>
      </c>
      <c r="J521">
        <v>102015</v>
      </c>
      <c r="K521">
        <v>0</v>
      </c>
      <c r="L521" t="s">
        <v>45</v>
      </c>
      <c r="M521" t="s">
        <v>26</v>
      </c>
      <c r="N521" t="s">
        <v>76</v>
      </c>
      <c r="O521" t="s">
        <v>35</v>
      </c>
      <c r="P521" t="s">
        <v>77</v>
      </c>
      <c r="Q521">
        <v>0</v>
      </c>
    </row>
    <row r="522" spans="1:17" x14ac:dyDescent="0.25">
      <c r="A522" t="s">
        <v>17</v>
      </c>
      <c r="B522" t="s">
        <v>18</v>
      </c>
      <c r="C522">
        <v>180000</v>
      </c>
      <c r="D522" t="s">
        <v>19</v>
      </c>
      <c r="E522" t="s">
        <v>20</v>
      </c>
      <c r="F522" t="s">
        <v>32</v>
      </c>
      <c r="G522" t="s">
        <v>22</v>
      </c>
      <c r="H522" t="s">
        <v>37</v>
      </c>
      <c r="I522" t="s">
        <v>24</v>
      </c>
      <c r="J522">
        <v>37710</v>
      </c>
      <c r="K522">
        <v>0</v>
      </c>
      <c r="L522" t="s">
        <v>34</v>
      </c>
      <c r="M522" t="s">
        <v>26</v>
      </c>
      <c r="N522" t="s">
        <v>76</v>
      </c>
      <c r="O522" t="s">
        <v>35</v>
      </c>
      <c r="P522" t="s">
        <v>77</v>
      </c>
      <c r="Q522">
        <v>0</v>
      </c>
    </row>
    <row r="523" spans="1:17" x14ac:dyDescent="0.25">
      <c r="A523" t="s">
        <v>29</v>
      </c>
      <c r="B523" t="s">
        <v>18</v>
      </c>
      <c r="C523">
        <v>90000</v>
      </c>
      <c r="D523" t="s">
        <v>19</v>
      </c>
      <c r="E523" t="s">
        <v>20</v>
      </c>
      <c r="F523" t="s">
        <v>32</v>
      </c>
      <c r="G523" t="s">
        <v>22</v>
      </c>
      <c r="H523" t="s">
        <v>41</v>
      </c>
      <c r="I523" t="s">
        <v>24</v>
      </c>
      <c r="J523">
        <v>38286</v>
      </c>
      <c r="K523">
        <v>0</v>
      </c>
      <c r="L523" t="s">
        <v>51</v>
      </c>
      <c r="M523" t="s">
        <v>26</v>
      </c>
      <c r="N523" t="s">
        <v>27</v>
      </c>
      <c r="O523" t="s">
        <v>35</v>
      </c>
      <c r="P523" t="s">
        <v>26</v>
      </c>
      <c r="Q523">
        <v>0</v>
      </c>
    </row>
    <row r="524" spans="1:17" x14ac:dyDescent="0.25">
      <c r="A524" t="s">
        <v>29</v>
      </c>
      <c r="B524" t="s">
        <v>18</v>
      </c>
      <c r="C524">
        <v>90000</v>
      </c>
      <c r="D524" t="s">
        <v>19</v>
      </c>
      <c r="E524" t="s">
        <v>20</v>
      </c>
      <c r="F524" t="s">
        <v>32</v>
      </c>
      <c r="G524" t="s">
        <v>22</v>
      </c>
      <c r="H524" t="s">
        <v>41</v>
      </c>
      <c r="I524" t="s">
        <v>24</v>
      </c>
      <c r="J524">
        <v>48010.5</v>
      </c>
      <c r="K524">
        <v>0</v>
      </c>
      <c r="L524" t="s">
        <v>51</v>
      </c>
      <c r="M524" t="s">
        <v>26</v>
      </c>
      <c r="N524" t="s">
        <v>27</v>
      </c>
      <c r="O524" t="s">
        <v>35</v>
      </c>
      <c r="P524" t="s">
        <v>26</v>
      </c>
      <c r="Q524">
        <v>0</v>
      </c>
    </row>
    <row r="525" spans="1:17" x14ac:dyDescent="0.25">
      <c r="A525" t="s">
        <v>29</v>
      </c>
      <c r="B525" t="s">
        <v>18</v>
      </c>
      <c r="C525">
        <v>90000</v>
      </c>
      <c r="D525" t="s">
        <v>19</v>
      </c>
      <c r="E525" t="s">
        <v>20</v>
      </c>
      <c r="F525" t="s">
        <v>32</v>
      </c>
      <c r="G525" t="s">
        <v>22</v>
      </c>
      <c r="H525" t="s">
        <v>41</v>
      </c>
      <c r="I525" t="s">
        <v>24</v>
      </c>
      <c r="J525">
        <v>20034</v>
      </c>
      <c r="K525">
        <v>2007</v>
      </c>
      <c r="L525" t="s">
        <v>43</v>
      </c>
      <c r="M525" t="s">
        <v>26</v>
      </c>
      <c r="N525" t="s">
        <v>27</v>
      </c>
      <c r="O525" t="s">
        <v>35</v>
      </c>
      <c r="P525" t="s">
        <v>26</v>
      </c>
      <c r="Q525">
        <v>0</v>
      </c>
    </row>
    <row r="526" spans="1:17" x14ac:dyDescent="0.25">
      <c r="A526" t="s">
        <v>29</v>
      </c>
      <c r="B526" t="s">
        <v>18</v>
      </c>
      <c r="C526">
        <v>157500</v>
      </c>
      <c r="D526" t="s">
        <v>19</v>
      </c>
      <c r="E526" t="s">
        <v>20</v>
      </c>
      <c r="F526" t="s">
        <v>39</v>
      </c>
      <c r="G526" t="s">
        <v>22</v>
      </c>
      <c r="H526" t="s">
        <v>23</v>
      </c>
      <c r="I526" t="s">
        <v>24</v>
      </c>
      <c r="J526">
        <v>16560</v>
      </c>
      <c r="K526">
        <v>1327.5</v>
      </c>
      <c r="L526" t="s">
        <v>38</v>
      </c>
      <c r="M526" t="s">
        <v>26</v>
      </c>
      <c r="N526" t="s">
        <v>27</v>
      </c>
      <c r="O526" t="s">
        <v>28</v>
      </c>
      <c r="P526" t="s">
        <v>26</v>
      </c>
      <c r="Q526">
        <v>0</v>
      </c>
    </row>
    <row r="527" spans="1:17" x14ac:dyDescent="0.25">
      <c r="A527" t="s">
        <v>29</v>
      </c>
      <c r="B527" t="s">
        <v>18</v>
      </c>
      <c r="C527">
        <v>90000</v>
      </c>
      <c r="D527" t="s">
        <v>19</v>
      </c>
      <c r="E527" t="s">
        <v>20</v>
      </c>
      <c r="F527" t="s">
        <v>32</v>
      </c>
      <c r="G527" t="s">
        <v>22</v>
      </c>
      <c r="H527" t="s">
        <v>37</v>
      </c>
      <c r="I527" t="s">
        <v>24</v>
      </c>
      <c r="J527">
        <v>35910</v>
      </c>
      <c r="K527">
        <v>0</v>
      </c>
      <c r="L527" t="s">
        <v>51</v>
      </c>
      <c r="M527" t="s">
        <v>26</v>
      </c>
      <c r="N527" t="s">
        <v>27</v>
      </c>
      <c r="O527" t="s">
        <v>28</v>
      </c>
      <c r="P527" t="s">
        <v>26</v>
      </c>
      <c r="Q527">
        <v>0</v>
      </c>
    </row>
    <row r="528" spans="1:17" x14ac:dyDescent="0.25">
      <c r="A528" t="s">
        <v>29</v>
      </c>
      <c r="B528" t="s">
        <v>18</v>
      </c>
      <c r="C528">
        <v>157500</v>
      </c>
      <c r="D528" t="s">
        <v>19</v>
      </c>
      <c r="E528" t="s">
        <v>20</v>
      </c>
      <c r="F528" t="s">
        <v>39</v>
      </c>
      <c r="G528" t="s">
        <v>22</v>
      </c>
      <c r="H528" t="s">
        <v>49</v>
      </c>
      <c r="I528" t="s">
        <v>24</v>
      </c>
      <c r="J528">
        <v>44806.5</v>
      </c>
      <c r="K528">
        <v>18000</v>
      </c>
      <c r="L528" t="s">
        <v>51</v>
      </c>
      <c r="M528" t="s">
        <v>26</v>
      </c>
      <c r="N528" t="s">
        <v>27</v>
      </c>
      <c r="O528" t="s">
        <v>35</v>
      </c>
      <c r="P528" t="s">
        <v>26</v>
      </c>
      <c r="Q528">
        <v>0</v>
      </c>
    </row>
    <row r="529" spans="1:17" x14ac:dyDescent="0.25">
      <c r="A529" t="s">
        <v>29</v>
      </c>
      <c r="B529" t="s">
        <v>18</v>
      </c>
      <c r="C529">
        <v>157500</v>
      </c>
      <c r="D529" t="s">
        <v>19</v>
      </c>
      <c r="E529" t="s">
        <v>20</v>
      </c>
      <c r="F529" t="s">
        <v>39</v>
      </c>
      <c r="G529" t="s">
        <v>22</v>
      </c>
      <c r="H529" t="s">
        <v>49</v>
      </c>
      <c r="I529" t="s">
        <v>66</v>
      </c>
      <c r="J529">
        <v>225000</v>
      </c>
      <c r="K529">
        <v>0</v>
      </c>
      <c r="L529" t="s">
        <v>45</v>
      </c>
      <c r="M529" t="s">
        <v>28</v>
      </c>
      <c r="N529" t="s">
        <v>27</v>
      </c>
      <c r="O529" t="s">
        <v>35</v>
      </c>
      <c r="P529" t="s">
        <v>26</v>
      </c>
      <c r="Q529">
        <v>0</v>
      </c>
    </row>
    <row r="530" spans="1:17" x14ac:dyDescent="0.25">
      <c r="A530" t="s">
        <v>29</v>
      </c>
      <c r="B530" t="s">
        <v>18</v>
      </c>
      <c r="C530">
        <v>157500</v>
      </c>
      <c r="D530" t="s">
        <v>19</v>
      </c>
      <c r="E530" t="s">
        <v>20</v>
      </c>
      <c r="F530" t="s">
        <v>39</v>
      </c>
      <c r="G530" t="s">
        <v>22</v>
      </c>
      <c r="H530" t="s">
        <v>49</v>
      </c>
      <c r="I530" t="s">
        <v>66</v>
      </c>
      <c r="J530">
        <v>135000</v>
      </c>
      <c r="K530">
        <v>0</v>
      </c>
      <c r="L530" t="s">
        <v>38</v>
      </c>
      <c r="M530" t="s">
        <v>28</v>
      </c>
      <c r="N530" t="s">
        <v>27</v>
      </c>
      <c r="O530" t="s">
        <v>35</v>
      </c>
      <c r="P530" t="s">
        <v>26</v>
      </c>
      <c r="Q530">
        <v>0</v>
      </c>
    </row>
    <row r="531" spans="1:17" x14ac:dyDescent="0.25">
      <c r="A531" t="s">
        <v>29</v>
      </c>
      <c r="B531" t="s">
        <v>18</v>
      </c>
      <c r="C531">
        <v>202500</v>
      </c>
      <c r="D531" t="s">
        <v>30</v>
      </c>
      <c r="E531" t="s">
        <v>20</v>
      </c>
      <c r="F531" t="s">
        <v>69</v>
      </c>
      <c r="G531" t="s">
        <v>73</v>
      </c>
      <c r="H531" t="s">
        <v>41</v>
      </c>
      <c r="I531" t="s">
        <v>24</v>
      </c>
      <c r="J531">
        <v>115110</v>
      </c>
      <c r="K531">
        <v>23022</v>
      </c>
      <c r="L531" t="s">
        <v>42</v>
      </c>
      <c r="M531" t="s">
        <v>26</v>
      </c>
      <c r="N531" t="s">
        <v>27</v>
      </c>
      <c r="O531" t="s">
        <v>35</v>
      </c>
      <c r="P531" t="s">
        <v>26</v>
      </c>
      <c r="Q531">
        <v>0</v>
      </c>
    </row>
    <row r="532" spans="1:17" x14ac:dyDescent="0.25">
      <c r="A532" t="s">
        <v>29</v>
      </c>
      <c r="B532" t="s">
        <v>18</v>
      </c>
      <c r="C532">
        <v>112500</v>
      </c>
      <c r="D532" t="s">
        <v>44</v>
      </c>
      <c r="E532" t="s">
        <v>20</v>
      </c>
      <c r="F532" t="s">
        <v>69</v>
      </c>
      <c r="G532" t="s">
        <v>22</v>
      </c>
      <c r="H532" t="s">
        <v>93</v>
      </c>
      <c r="I532" t="s">
        <v>24</v>
      </c>
      <c r="J532">
        <v>122958</v>
      </c>
      <c r="K532">
        <v>0</v>
      </c>
      <c r="L532" t="s">
        <v>45</v>
      </c>
      <c r="M532" t="s">
        <v>26</v>
      </c>
      <c r="N532" t="s">
        <v>27</v>
      </c>
      <c r="O532" t="s">
        <v>35</v>
      </c>
      <c r="P532" t="s">
        <v>26</v>
      </c>
      <c r="Q532">
        <v>0</v>
      </c>
    </row>
    <row r="533" spans="1:17" x14ac:dyDescent="0.25">
      <c r="A533" t="s">
        <v>29</v>
      </c>
      <c r="B533" t="s">
        <v>18</v>
      </c>
      <c r="C533">
        <v>112500</v>
      </c>
      <c r="D533" t="s">
        <v>44</v>
      </c>
      <c r="E533" t="s">
        <v>20</v>
      </c>
      <c r="F533" t="s">
        <v>69</v>
      </c>
      <c r="G533" t="s">
        <v>22</v>
      </c>
      <c r="H533" t="s">
        <v>93</v>
      </c>
      <c r="I533" t="s">
        <v>24</v>
      </c>
      <c r="J533">
        <v>69876</v>
      </c>
      <c r="K533">
        <v>6750</v>
      </c>
      <c r="L533" t="s">
        <v>45</v>
      </c>
      <c r="M533" t="s">
        <v>26</v>
      </c>
      <c r="N533" t="s">
        <v>27</v>
      </c>
      <c r="O533" t="s">
        <v>35</v>
      </c>
      <c r="P533" t="s">
        <v>26</v>
      </c>
      <c r="Q533">
        <v>0</v>
      </c>
    </row>
    <row r="534" spans="1:17" x14ac:dyDescent="0.25">
      <c r="A534" t="s">
        <v>29</v>
      </c>
      <c r="B534" t="s">
        <v>18</v>
      </c>
      <c r="C534">
        <v>112500</v>
      </c>
      <c r="D534" t="s">
        <v>44</v>
      </c>
      <c r="E534" t="s">
        <v>20</v>
      </c>
      <c r="F534" t="s">
        <v>69</v>
      </c>
      <c r="G534" t="s">
        <v>22</v>
      </c>
      <c r="H534" t="s">
        <v>93</v>
      </c>
      <c r="I534" t="s">
        <v>24</v>
      </c>
      <c r="J534">
        <v>81625.5</v>
      </c>
      <c r="K534">
        <v>9000</v>
      </c>
      <c r="L534" t="s">
        <v>34</v>
      </c>
      <c r="M534" t="s">
        <v>26</v>
      </c>
      <c r="N534" t="s">
        <v>27</v>
      </c>
      <c r="O534" t="s">
        <v>35</v>
      </c>
      <c r="P534" t="s">
        <v>26</v>
      </c>
      <c r="Q534">
        <v>0</v>
      </c>
    </row>
    <row r="535" spans="1:17" x14ac:dyDescent="0.25">
      <c r="A535" t="s">
        <v>29</v>
      </c>
      <c r="B535" t="s">
        <v>18</v>
      </c>
      <c r="C535">
        <v>112500</v>
      </c>
      <c r="D535" t="s">
        <v>44</v>
      </c>
      <c r="E535" t="s">
        <v>20</v>
      </c>
      <c r="F535" t="s">
        <v>32</v>
      </c>
      <c r="G535" t="s">
        <v>22</v>
      </c>
      <c r="H535" t="s">
        <v>23</v>
      </c>
      <c r="I535" t="s">
        <v>24</v>
      </c>
      <c r="J535">
        <v>74245.5</v>
      </c>
      <c r="K535">
        <v>0</v>
      </c>
      <c r="L535" t="s">
        <v>51</v>
      </c>
      <c r="M535" t="s">
        <v>26</v>
      </c>
      <c r="N535" t="s">
        <v>27</v>
      </c>
      <c r="O535" t="s">
        <v>35</v>
      </c>
      <c r="P535" t="s">
        <v>26</v>
      </c>
      <c r="Q535">
        <v>0</v>
      </c>
    </row>
    <row r="536" spans="1:17" x14ac:dyDescent="0.25">
      <c r="A536" t="s">
        <v>29</v>
      </c>
      <c r="B536" t="s">
        <v>18</v>
      </c>
      <c r="C536">
        <v>67500</v>
      </c>
      <c r="D536" t="s">
        <v>46</v>
      </c>
      <c r="E536" t="s">
        <v>20</v>
      </c>
      <c r="F536" t="s">
        <v>32</v>
      </c>
      <c r="G536" t="s">
        <v>22</v>
      </c>
      <c r="H536" t="s">
        <v>28</v>
      </c>
      <c r="I536" t="s">
        <v>24</v>
      </c>
      <c r="J536">
        <v>59256</v>
      </c>
      <c r="K536">
        <v>5926.5</v>
      </c>
      <c r="L536" t="s">
        <v>43</v>
      </c>
      <c r="M536" t="s">
        <v>26</v>
      </c>
      <c r="N536" t="s">
        <v>27</v>
      </c>
      <c r="O536" t="s">
        <v>35</v>
      </c>
      <c r="P536" t="s">
        <v>26</v>
      </c>
      <c r="Q536">
        <v>0</v>
      </c>
    </row>
    <row r="537" spans="1:17" x14ac:dyDescent="0.25">
      <c r="A537" t="s">
        <v>17</v>
      </c>
      <c r="B537" t="s">
        <v>18</v>
      </c>
      <c r="C537">
        <v>81000</v>
      </c>
      <c r="D537" t="s">
        <v>19</v>
      </c>
      <c r="E537" t="s">
        <v>20</v>
      </c>
      <c r="F537" t="s">
        <v>32</v>
      </c>
      <c r="G537" t="s">
        <v>22</v>
      </c>
      <c r="H537" t="s">
        <v>93</v>
      </c>
      <c r="I537" t="s">
        <v>24</v>
      </c>
      <c r="J537">
        <v>44622</v>
      </c>
      <c r="K537">
        <v>4464</v>
      </c>
      <c r="L537" t="s">
        <v>38</v>
      </c>
      <c r="M537" t="s">
        <v>26</v>
      </c>
      <c r="N537" t="s">
        <v>27</v>
      </c>
      <c r="O537" t="s">
        <v>35</v>
      </c>
      <c r="P537" t="s">
        <v>26</v>
      </c>
      <c r="Q537">
        <v>0</v>
      </c>
    </row>
    <row r="538" spans="1:17" x14ac:dyDescent="0.25">
      <c r="A538" t="s">
        <v>29</v>
      </c>
      <c r="B538" t="s">
        <v>18</v>
      </c>
      <c r="C538">
        <v>40500</v>
      </c>
      <c r="D538" t="s">
        <v>46</v>
      </c>
      <c r="E538" t="s">
        <v>20</v>
      </c>
      <c r="F538" t="s">
        <v>32</v>
      </c>
      <c r="G538" t="s">
        <v>22</v>
      </c>
      <c r="H538" t="s">
        <v>28</v>
      </c>
      <c r="I538" t="s">
        <v>24</v>
      </c>
      <c r="J538">
        <v>135360</v>
      </c>
      <c r="K538">
        <v>9000</v>
      </c>
      <c r="L538" t="s">
        <v>25</v>
      </c>
      <c r="M538" t="s">
        <v>26</v>
      </c>
      <c r="N538" t="s">
        <v>27</v>
      </c>
      <c r="O538" t="s">
        <v>35</v>
      </c>
      <c r="P538" t="s">
        <v>26</v>
      </c>
      <c r="Q538">
        <v>0</v>
      </c>
    </row>
    <row r="539" spans="1:17" x14ac:dyDescent="0.25">
      <c r="A539" t="s">
        <v>29</v>
      </c>
      <c r="B539" t="s">
        <v>18</v>
      </c>
      <c r="C539">
        <v>135000</v>
      </c>
      <c r="D539" t="s">
        <v>46</v>
      </c>
      <c r="E539" t="s">
        <v>20</v>
      </c>
      <c r="F539" t="s">
        <v>39</v>
      </c>
      <c r="G539" t="s">
        <v>22</v>
      </c>
      <c r="H539" t="s">
        <v>28</v>
      </c>
      <c r="I539" t="s">
        <v>24</v>
      </c>
      <c r="J539">
        <v>364500</v>
      </c>
      <c r="K539">
        <v>47250</v>
      </c>
      <c r="L539" t="s">
        <v>34</v>
      </c>
      <c r="M539" t="s">
        <v>26</v>
      </c>
      <c r="N539" t="s">
        <v>27</v>
      </c>
      <c r="O539" t="s">
        <v>35</v>
      </c>
      <c r="P539" t="s">
        <v>26</v>
      </c>
      <c r="Q539">
        <v>0</v>
      </c>
    </row>
    <row r="540" spans="1:17" x14ac:dyDescent="0.25">
      <c r="A540" t="s">
        <v>29</v>
      </c>
      <c r="B540" t="s">
        <v>18</v>
      </c>
      <c r="C540">
        <v>148500</v>
      </c>
      <c r="D540" t="s">
        <v>30</v>
      </c>
      <c r="E540" t="s">
        <v>20</v>
      </c>
      <c r="F540" t="s">
        <v>32</v>
      </c>
      <c r="G540" t="s">
        <v>22</v>
      </c>
      <c r="H540" t="s">
        <v>68</v>
      </c>
      <c r="I540" t="s">
        <v>24</v>
      </c>
      <c r="J540">
        <v>166455</v>
      </c>
      <c r="K540">
        <v>0</v>
      </c>
      <c r="L540" t="s">
        <v>25</v>
      </c>
      <c r="M540" t="s">
        <v>26</v>
      </c>
      <c r="N540" t="s">
        <v>27</v>
      </c>
      <c r="O540" t="s">
        <v>35</v>
      </c>
      <c r="P540" t="s">
        <v>26</v>
      </c>
      <c r="Q540">
        <v>0</v>
      </c>
    </row>
    <row r="541" spans="1:17" x14ac:dyDescent="0.25">
      <c r="A541" t="s">
        <v>29</v>
      </c>
      <c r="B541" t="s">
        <v>18</v>
      </c>
      <c r="C541">
        <v>148500</v>
      </c>
      <c r="D541" t="s">
        <v>30</v>
      </c>
      <c r="E541" t="s">
        <v>20</v>
      </c>
      <c r="F541" t="s">
        <v>32</v>
      </c>
      <c r="G541" t="s">
        <v>22</v>
      </c>
      <c r="H541" t="s">
        <v>68</v>
      </c>
      <c r="I541" t="s">
        <v>24</v>
      </c>
      <c r="J541">
        <v>176755.5</v>
      </c>
      <c r="K541">
        <v>0</v>
      </c>
      <c r="L541" t="s">
        <v>25</v>
      </c>
      <c r="M541" t="s">
        <v>26</v>
      </c>
      <c r="N541" t="s">
        <v>27</v>
      </c>
      <c r="O541" t="s">
        <v>35</v>
      </c>
      <c r="P541" t="s">
        <v>26</v>
      </c>
      <c r="Q541">
        <v>0</v>
      </c>
    </row>
    <row r="542" spans="1:17" x14ac:dyDescent="0.25">
      <c r="A542" t="s">
        <v>29</v>
      </c>
      <c r="B542" t="s">
        <v>18</v>
      </c>
      <c r="C542">
        <v>144000</v>
      </c>
      <c r="D542" t="s">
        <v>46</v>
      </c>
      <c r="E542" t="s">
        <v>20</v>
      </c>
      <c r="F542" t="s">
        <v>54</v>
      </c>
      <c r="G542" t="s">
        <v>22</v>
      </c>
      <c r="H542" t="s">
        <v>28</v>
      </c>
      <c r="I542" t="s">
        <v>24</v>
      </c>
      <c r="J542">
        <v>47250</v>
      </c>
      <c r="K542">
        <v>9450</v>
      </c>
      <c r="L542" t="s">
        <v>42</v>
      </c>
      <c r="M542" t="s">
        <v>26</v>
      </c>
      <c r="N542" t="s">
        <v>27</v>
      </c>
      <c r="O542" t="s">
        <v>35</v>
      </c>
      <c r="P542" t="s">
        <v>26</v>
      </c>
      <c r="Q542">
        <v>0</v>
      </c>
    </row>
    <row r="543" spans="1:17" x14ac:dyDescent="0.25">
      <c r="A543" t="s">
        <v>29</v>
      </c>
      <c r="B543" t="s">
        <v>18</v>
      </c>
      <c r="C543">
        <v>202500</v>
      </c>
      <c r="D543" t="s">
        <v>19</v>
      </c>
      <c r="E543" t="s">
        <v>20</v>
      </c>
      <c r="F543" t="s">
        <v>32</v>
      </c>
      <c r="G543" t="s">
        <v>22</v>
      </c>
      <c r="H543" t="s">
        <v>23</v>
      </c>
      <c r="I543" t="s">
        <v>24</v>
      </c>
      <c r="J543">
        <v>26950.5</v>
      </c>
      <c r="K543">
        <v>2695.5</v>
      </c>
      <c r="L543" t="s">
        <v>51</v>
      </c>
      <c r="M543" t="s">
        <v>26</v>
      </c>
      <c r="N543" t="s">
        <v>27</v>
      </c>
      <c r="O543" t="s">
        <v>35</v>
      </c>
      <c r="P543" t="s">
        <v>26</v>
      </c>
      <c r="Q543">
        <v>0</v>
      </c>
    </row>
    <row r="544" spans="1:17" x14ac:dyDescent="0.25">
      <c r="A544" t="s">
        <v>29</v>
      </c>
      <c r="B544" t="s">
        <v>18</v>
      </c>
      <c r="C544">
        <v>157500</v>
      </c>
      <c r="D544" t="s">
        <v>19</v>
      </c>
      <c r="E544" t="s">
        <v>31</v>
      </c>
      <c r="F544" t="s">
        <v>69</v>
      </c>
      <c r="G544" t="s">
        <v>22</v>
      </c>
      <c r="H544" t="s">
        <v>75</v>
      </c>
      <c r="I544" t="s">
        <v>24</v>
      </c>
      <c r="J544">
        <v>104400</v>
      </c>
      <c r="K544">
        <v>10440</v>
      </c>
      <c r="L544" t="s">
        <v>45</v>
      </c>
      <c r="M544" t="s">
        <v>26</v>
      </c>
      <c r="N544" t="s">
        <v>27</v>
      </c>
      <c r="O544" t="s">
        <v>35</v>
      </c>
      <c r="P544" t="s">
        <v>26</v>
      </c>
      <c r="Q544">
        <v>0</v>
      </c>
    </row>
    <row r="545" spans="1:17" x14ac:dyDescent="0.25">
      <c r="A545" t="s">
        <v>29</v>
      </c>
      <c r="B545" t="s">
        <v>18</v>
      </c>
      <c r="C545">
        <v>144000</v>
      </c>
      <c r="D545" t="s">
        <v>44</v>
      </c>
      <c r="E545" t="s">
        <v>20</v>
      </c>
      <c r="F545" t="s">
        <v>32</v>
      </c>
      <c r="G545" t="s">
        <v>22</v>
      </c>
      <c r="H545" t="s">
        <v>48</v>
      </c>
      <c r="I545" t="s">
        <v>66</v>
      </c>
      <c r="J545">
        <v>202500</v>
      </c>
      <c r="K545">
        <v>0</v>
      </c>
      <c r="L545" t="s">
        <v>51</v>
      </c>
      <c r="M545" t="s">
        <v>28</v>
      </c>
      <c r="N545" t="s">
        <v>27</v>
      </c>
      <c r="O545" t="s">
        <v>35</v>
      </c>
      <c r="P545" t="s">
        <v>26</v>
      </c>
      <c r="Q545">
        <v>0</v>
      </c>
    </row>
    <row r="546" spans="1:17" x14ac:dyDescent="0.25">
      <c r="A546" t="s">
        <v>29</v>
      </c>
      <c r="B546" t="s">
        <v>18</v>
      </c>
      <c r="C546">
        <v>144000</v>
      </c>
      <c r="D546" t="s">
        <v>44</v>
      </c>
      <c r="E546" t="s">
        <v>20</v>
      </c>
      <c r="F546" t="s">
        <v>32</v>
      </c>
      <c r="G546" t="s">
        <v>22</v>
      </c>
      <c r="H546" t="s">
        <v>48</v>
      </c>
      <c r="I546" t="s">
        <v>24</v>
      </c>
      <c r="J546">
        <v>41265</v>
      </c>
      <c r="K546">
        <v>9000</v>
      </c>
      <c r="L546" t="s">
        <v>43</v>
      </c>
      <c r="M546" t="s">
        <v>26</v>
      </c>
      <c r="N546" t="s">
        <v>27</v>
      </c>
      <c r="O546" t="s">
        <v>35</v>
      </c>
      <c r="P546" t="s">
        <v>26</v>
      </c>
      <c r="Q546">
        <v>0</v>
      </c>
    </row>
    <row r="547" spans="1:17" x14ac:dyDescent="0.25">
      <c r="A547" t="s">
        <v>17</v>
      </c>
      <c r="B547" t="s">
        <v>18</v>
      </c>
      <c r="C547">
        <v>171000</v>
      </c>
      <c r="D547" t="s">
        <v>19</v>
      </c>
      <c r="E547" t="s">
        <v>20</v>
      </c>
      <c r="F547" t="s">
        <v>32</v>
      </c>
      <c r="G547" t="s">
        <v>22</v>
      </c>
      <c r="H547" t="s">
        <v>23</v>
      </c>
      <c r="I547" t="s">
        <v>24</v>
      </c>
      <c r="J547">
        <v>13950</v>
      </c>
      <c r="K547">
        <v>0</v>
      </c>
      <c r="L547" t="s">
        <v>42</v>
      </c>
      <c r="M547" t="s">
        <v>26</v>
      </c>
      <c r="N547" t="s">
        <v>58</v>
      </c>
      <c r="O547" t="s">
        <v>28</v>
      </c>
      <c r="P547" t="s">
        <v>60</v>
      </c>
      <c r="Q547">
        <v>1</v>
      </c>
    </row>
    <row r="548" spans="1:17" x14ac:dyDescent="0.25">
      <c r="A548" t="s">
        <v>17</v>
      </c>
      <c r="B548" t="s">
        <v>18</v>
      </c>
      <c r="C548">
        <v>171000</v>
      </c>
      <c r="D548" t="s">
        <v>19</v>
      </c>
      <c r="E548" t="s">
        <v>20</v>
      </c>
      <c r="F548" t="s">
        <v>32</v>
      </c>
      <c r="G548" t="s">
        <v>22</v>
      </c>
      <c r="H548" t="s">
        <v>23</v>
      </c>
      <c r="I548" t="s">
        <v>24</v>
      </c>
      <c r="J548">
        <v>157725</v>
      </c>
      <c r="K548">
        <v>27000</v>
      </c>
      <c r="L548" t="s">
        <v>51</v>
      </c>
      <c r="M548" t="s">
        <v>26</v>
      </c>
      <c r="N548" t="s">
        <v>27</v>
      </c>
      <c r="O548" t="s">
        <v>28</v>
      </c>
      <c r="P548" t="s">
        <v>26</v>
      </c>
      <c r="Q548">
        <v>0</v>
      </c>
    </row>
    <row r="549" spans="1:17" x14ac:dyDescent="0.25">
      <c r="A549" t="s">
        <v>17</v>
      </c>
      <c r="B549" t="s">
        <v>36</v>
      </c>
      <c r="C549">
        <v>247500</v>
      </c>
      <c r="D549" t="s">
        <v>19</v>
      </c>
      <c r="E549" t="s">
        <v>31</v>
      </c>
      <c r="F549" t="s">
        <v>32</v>
      </c>
      <c r="G549" t="s">
        <v>22</v>
      </c>
      <c r="H549" t="s">
        <v>23</v>
      </c>
      <c r="I549" t="s">
        <v>24</v>
      </c>
      <c r="J549">
        <v>29610</v>
      </c>
      <c r="K549">
        <v>0</v>
      </c>
      <c r="L549" t="s">
        <v>45</v>
      </c>
      <c r="M549" t="s">
        <v>26</v>
      </c>
      <c r="N549" t="s">
        <v>76</v>
      </c>
      <c r="O549" t="s">
        <v>28</v>
      </c>
      <c r="P549" t="s">
        <v>77</v>
      </c>
      <c r="Q549">
        <v>0</v>
      </c>
    </row>
    <row r="550" spans="1:17" x14ac:dyDescent="0.25">
      <c r="A550" t="s">
        <v>17</v>
      </c>
      <c r="B550" t="s">
        <v>36</v>
      </c>
      <c r="C550">
        <v>247500</v>
      </c>
      <c r="D550" t="s">
        <v>19</v>
      </c>
      <c r="E550" t="s">
        <v>31</v>
      </c>
      <c r="F550" t="s">
        <v>32</v>
      </c>
      <c r="G550" t="s">
        <v>22</v>
      </c>
      <c r="H550" t="s">
        <v>23</v>
      </c>
      <c r="I550" t="s">
        <v>24</v>
      </c>
      <c r="J550">
        <v>29610</v>
      </c>
      <c r="K550">
        <v>4500</v>
      </c>
      <c r="L550" t="s">
        <v>45</v>
      </c>
      <c r="M550" t="s">
        <v>26</v>
      </c>
      <c r="N550" t="s">
        <v>27</v>
      </c>
      <c r="O550" t="s">
        <v>35</v>
      </c>
      <c r="P550" t="s">
        <v>26</v>
      </c>
      <c r="Q550">
        <v>0</v>
      </c>
    </row>
    <row r="551" spans="1:17" x14ac:dyDescent="0.25">
      <c r="A551" t="s">
        <v>29</v>
      </c>
      <c r="B551" t="s">
        <v>36</v>
      </c>
      <c r="C551">
        <v>135000</v>
      </c>
      <c r="D551" t="s">
        <v>19</v>
      </c>
      <c r="E551" t="s">
        <v>31</v>
      </c>
      <c r="F551" t="s">
        <v>32</v>
      </c>
      <c r="G551" t="s">
        <v>22</v>
      </c>
      <c r="H551" t="s">
        <v>50</v>
      </c>
      <c r="I551" t="s">
        <v>24</v>
      </c>
      <c r="J551">
        <v>175144.5</v>
      </c>
      <c r="K551">
        <v>0</v>
      </c>
      <c r="L551" t="s">
        <v>51</v>
      </c>
      <c r="M551" t="s">
        <v>26</v>
      </c>
      <c r="N551" t="s">
        <v>27</v>
      </c>
      <c r="O551" t="s">
        <v>35</v>
      </c>
      <c r="P551" t="s">
        <v>26</v>
      </c>
      <c r="Q551">
        <v>0</v>
      </c>
    </row>
    <row r="552" spans="1:17" x14ac:dyDescent="0.25">
      <c r="A552" t="s">
        <v>17</v>
      </c>
      <c r="B552" t="s">
        <v>36</v>
      </c>
      <c r="C552">
        <v>211500</v>
      </c>
      <c r="D552" t="s">
        <v>19</v>
      </c>
      <c r="E552" t="s">
        <v>20</v>
      </c>
      <c r="F552" t="s">
        <v>32</v>
      </c>
      <c r="G552" t="s">
        <v>22</v>
      </c>
      <c r="H552" t="s">
        <v>41</v>
      </c>
      <c r="I552" t="s">
        <v>24</v>
      </c>
      <c r="J552">
        <v>128470.5</v>
      </c>
      <c r="K552">
        <v>25695</v>
      </c>
      <c r="L552" t="s">
        <v>45</v>
      </c>
      <c r="M552" t="s">
        <v>26</v>
      </c>
      <c r="N552" t="s">
        <v>27</v>
      </c>
      <c r="O552" t="s">
        <v>35</v>
      </c>
      <c r="P552" t="s">
        <v>26</v>
      </c>
      <c r="Q552">
        <v>0</v>
      </c>
    </row>
    <row r="553" spans="1:17" x14ac:dyDescent="0.25">
      <c r="A553" t="s">
        <v>29</v>
      </c>
      <c r="B553" t="s">
        <v>36</v>
      </c>
      <c r="C553">
        <v>211500</v>
      </c>
      <c r="D553" t="s">
        <v>19</v>
      </c>
      <c r="E553" t="s">
        <v>31</v>
      </c>
      <c r="F553" t="s">
        <v>21</v>
      </c>
      <c r="G553" t="s">
        <v>22</v>
      </c>
      <c r="H553" t="s">
        <v>71</v>
      </c>
      <c r="I553" t="s">
        <v>24</v>
      </c>
      <c r="J553">
        <v>37755</v>
      </c>
      <c r="K553">
        <v>0</v>
      </c>
      <c r="L553" t="s">
        <v>42</v>
      </c>
      <c r="M553" t="s">
        <v>26</v>
      </c>
      <c r="N553" t="s">
        <v>58</v>
      </c>
      <c r="O553" t="s">
        <v>35</v>
      </c>
      <c r="P553" t="s">
        <v>60</v>
      </c>
      <c r="Q553">
        <v>1</v>
      </c>
    </row>
    <row r="554" spans="1:17" x14ac:dyDescent="0.25">
      <c r="A554" t="s">
        <v>29</v>
      </c>
      <c r="B554" t="s">
        <v>36</v>
      </c>
      <c r="C554">
        <v>211500</v>
      </c>
      <c r="D554" t="s">
        <v>19</v>
      </c>
      <c r="E554" t="s">
        <v>31</v>
      </c>
      <c r="F554" t="s">
        <v>21</v>
      </c>
      <c r="G554" t="s">
        <v>22</v>
      </c>
      <c r="H554" t="s">
        <v>71</v>
      </c>
      <c r="I554" t="s">
        <v>24</v>
      </c>
      <c r="J554">
        <v>122913</v>
      </c>
      <c r="K554">
        <v>0</v>
      </c>
      <c r="L554" t="s">
        <v>51</v>
      </c>
      <c r="M554" t="s">
        <v>26</v>
      </c>
      <c r="N554" t="s">
        <v>27</v>
      </c>
      <c r="O554" t="s">
        <v>35</v>
      </c>
      <c r="P554" t="s">
        <v>26</v>
      </c>
      <c r="Q554">
        <v>0</v>
      </c>
    </row>
    <row r="555" spans="1:17" x14ac:dyDescent="0.25">
      <c r="A555" t="s">
        <v>29</v>
      </c>
      <c r="B555" t="s">
        <v>18</v>
      </c>
      <c r="C555">
        <v>90000</v>
      </c>
      <c r="D555" t="s">
        <v>46</v>
      </c>
      <c r="E555" t="s">
        <v>20</v>
      </c>
      <c r="F555" t="s">
        <v>32</v>
      </c>
      <c r="G555" t="s">
        <v>22</v>
      </c>
      <c r="H555" t="s">
        <v>28</v>
      </c>
      <c r="I555" t="s">
        <v>24</v>
      </c>
      <c r="J555">
        <v>32962.5</v>
      </c>
      <c r="K555">
        <v>0</v>
      </c>
      <c r="L555" t="s">
        <v>34</v>
      </c>
      <c r="M555" t="s">
        <v>26</v>
      </c>
      <c r="N555" t="s">
        <v>27</v>
      </c>
      <c r="O555" t="s">
        <v>35</v>
      </c>
      <c r="P555" t="s">
        <v>26</v>
      </c>
      <c r="Q555">
        <v>0</v>
      </c>
    </row>
    <row r="556" spans="1:17" x14ac:dyDescent="0.25">
      <c r="A556" t="s">
        <v>17</v>
      </c>
      <c r="B556" t="s">
        <v>36</v>
      </c>
      <c r="C556">
        <v>270000</v>
      </c>
      <c r="D556" t="s">
        <v>44</v>
      </c>
      <c r="E556" t="s">
        <v>20</v>
      </c>
      <c r="F556" t="s">
        <v>21</v>
      </c>
      <c r="G556" t="s">
        <v>22</v>
      </c>
      <c r="H556" t="s">
        <v>23</v>
      </c>
      <c r="I556" t="s">
        <v>24</v>
      </c>
      <c r="J556">
        <v>99895.5</v>
      </c>
      <c r="K556">
        <v>0</v>
      </c>
      <c r="L556" t="s">
        <v>51</v>
      </c>
      <c r="M556" t="s">
        <v>26</v>
      </c>
      <c r="N556" t="s">
        <v>27</v>
      </c>
      <c r="O556" t="s">
        <v>35</v>
      </c>
      <c r="P556" t="s">
        <v>26</v>
      </c>
      <c r="Q556">
        <v>0</v>
      </c>
    </row>
    <row r="557" spans="1:17" x14ac:dyDescent="0.25">
      <c r="A557" t="s">
        <v>29</v>
      </c>
      <c r="B557" t="s">
        <v>36</v>
      </c>
      <c r="C557">
        <v>252000</v>
      </c>
      <c r="D557" t="s">
        <v>19</v>
      </c>
      <c r="E557" t="s">
        <v>20</v>
      </c>
      <c r="F557" t="s">
        <v>32</v>
      </c>
      <c r="G557" t="s">
        <v>22</v>
      </c>
      <c r="H557" t="s">
        <v>33</v>
      </c>
      <c r="I557" t="s">
        <v>66</v>
      </c>
      <c r="J557">
        <v>202500</v>
      </c>
      <c r="K557">
        <v>0</v>
      </c>
      <c r="L557" t="s">
        <v>51</v>
      </c>
      <c r="M557" t="s">
        <v>28</v>
      </c>
      <c r="N557" t="s">
        <v>27</v>
      </c>
      <c r="O557" t="s">
        <v>35</v>
      </c>
      <c r="P557" t="s">
        <v>26</v>
      </c>
      <c r="Q557">
        <v>0</v>
      </c>
    </row>
    <row r="558" spans="1:17" x14ac:dyDescent="0.25">
      <c r="A558" t="s">
        <v>17</v>
      </c>
      <c r="B558" t="s">
        <v>18</v>
      </c>
      <c r="C558">
        <v>111919.5</v>
      </c>
      <c r="D558" t="s">
        <v>44</v>
      </c>
      <c r="E558" t="s">
        <v>20</v>
      </c>
      <c r="F558" t="s">
        <v>39</v>
      </c>
      <c r="G558" t="s">
        <v>22</v>
      </c>
      <c r="H558" t="s">
        <v>48</v>
      </c>
      <c r="I558" t="s">
        <v>24</v>
      </c>
      <c r="J558">
        <v>40455</v>
      </c>
      <c r="K558">
        <v>0</v>
      </c>
      <c r="L558" t="s">
        <v>45</v>
      </c>
      <c r="M558" t="s">
        <v>26</v>
      </c>
      <c r="N558" t="s">
        <v>76</v>
      </c>
      <c r="O558" t="s">
        <v>35</v>
      </c>
      <c r="P558" t="s">
        <v>77</v>
      </c>
      <c r="Q558">
        <v>0</v>
      </c>
    </row>
    <row r="559" spans="1:17" x14ac:dyDescent="0.25">
      <c r="A559" t="s">
        <v>29</v>
      </c>
      <c r="B559" t="s">
        <v>18</v>
      </c>
      <c r="C559">
        <v>112500</v>
      </c>
      <c r="D559" t="s">
        <v>46</v>
      </c>
      <c r="E559" t="s">
        <v>20</v>
      </c>
      <c r="F559" t="s">
        <v>32</v>
      </c>
      <c r="G559" t="s">
        <v>22</v>
      </c>
      <c r="H559" t="s">
        <v>28</v>
      </c>
      <c r="I559" t="s">
        <v>24</v>
      </c>
      <c r="J559">
        <v>110610</v>
      </c>
      <c r="K559">
        <v>0</v>
      </c>
      <c r="L559" t="s">
        <v>25</v>
      </c>
      <c r="M559" t="s">
        <v>26</v>
      </c>
      <c r="N559" t="s">
        <v>27</v>
      </c>
      <c r="O559" t="s">
        <v>35</v>
      </c>
      <c r="P559" t="s">
        <v>26</v>
      </c>
      <c r="Q559">
        <v>0</v>
      </c>
    </row>
    <row r="560" spans="1:17" x14ac:dyDescent="0.25">
      <c r="A560" t="s">
        <v>17</v>
      </c>
      <c r="B560" t="s">
        <v>18</v>
      </c>
      <c r="C560">
        <v>112500</v>
      </c>
      <c r="D560" t="s">
        <v>19</v>
      </c>
      <c r="E560" t="s">
        <v>20</v>
      </c>
      <c r="F560" t="s">
        <v>21</v>
      </c>
      <c r="G560" t="s">
        <v>22</v>
      </c>
      <c r="H560" t="s">
        <v>49</v>
      </c>
      <c r="I560" t="s">
        <v>24</v>
      </c>
      <c r="J560">
        <v>106965</v>
      </c>
      <c r="K560">
        <v>0</v>
      </c>
      <c r="L560" t="s">
        <v>25</v>
      </c>
      <c r="M560" t="s">
        <v>26</v>
      </c>
      <c r="N560" t="s">
        <v>27</v>
      </c>
      <c r="O560" t="s">
        <v>35</v>
      </c>
      <c r="P560" t="s">
        <v>26</v>
      </c>
      <c r="Q560">
        <v>0</v>
      </c>
    </row>
    <row r="561" spans="1:17" x14ac:dyDescent="0.25">
      <c r="A561" t="s">
        <v>17</v>
      </c>
      <c r="B561" t="s">
        <v>18</v>
      </c>
      <c r="C561">
        <v>112500</v>
      </c>
      <c r="D561" t="s">
        <v>19</v>
      </c>
      <c r="E561" t="s">
        <v>20</v>
      </c>
      <c r="F561" t="s">
        <v>21</v>
      </c>
      <c r="G561" t="s">
        <v>22</v>
      </c>
      <c r="H561" t="s">
        <v>49</v>
      </c>
      <c r="I561" t="s">
        <v>24</v>
      </c>
      <c r="J561">
        <v>59130</v>
      </c>
      <c r="K561">
        <v>31500</v>
      </c>
      <c r="L561" t="s">
        <v>34</v>
      </c>
      <c r="M561" t="s">
        <v>26</v>
      </c>
      <c r="N561" t="s">
        <v>27</v>
      </c>
      <c r="O561" t="s">
        <v>35</v>
      </c>
      <c r="P561" t="s">
        <v>26</v>
      </c>
      <c r="Q561">
        <v>0</v>
      </c>
    </row>
    <row r="562" spans="1:17" x14ac:dyDescent="0.25">
      <c r="A562" t="s">
        <v>17</v>
      </c>
      <c r="B562" t="s">
        <v>18</v>
      </c>
      <c r="C562">
        <v>135000</v>
      </c>
      <c r="D562" t="s">
        <v>19</v>
      </c>
      <c r="E562" t="s">
        <v>20</v>
      </c>
      <c r="F562" t="s">
        <v>32</v>
      </c>
      <c r="G562" t="s">
        <v>22</v>
      </c>
      <c r="H562" t="s">
        <v>48</v>
      </c>
      <c r="I562" t="s">
        <v>24</v>
      </c>
      <c r="J562">
        <v>86940</v>
      </c>
      <c r="K562">
        <v>0</v>
      </c>
      <c r="L562" t="s">
        <v>42</v>
      </c>
      <c r="M562" t="s">
        <v>26</v>
      </c>
      <c r="N562" t="s">
        <v>27</v>
      </c>
      <c r="O562" t="s">
        <v>35</v>
      </c>
      <c r="P562" t="s">
        <v>26</v>
      </c>
      <c r="Q562">
        <v>0</v>
      </c>
    </row>
    <row r="563" spans="1:17" x14ac:dyDescent="0.25">
      <c r="A563" t="s">
        <v>29</v>
      </c>
      <c r="B563" t="s">
        <v>36</v>
      </c>
      <c r="C563">
        <v>112500</v>
      </c>
      <c r="D563" t="s">
        <v>46</v>
      </c>
      <c r="E563" t="s">
        <v>20</v>
      </c>
      <c r="F563" t="s">
        <v>32</v>
      </c>
      <c r="G563" t="s">
        <v>22</v>
      </c>
      <c r="H563" t="s">
        <v>28</v>
      </c>
      <c r="I563" t="s">
        <v>24</v>
      </c>
      <c r="J563">
        <v>116955</v>
      </c>
      <c r="K563">
        <v>28350</v>
      </c>
      <c r="L563" t="s">
        <v>34</v>
      </c>
      <c r="M563" t="s">
        <v>26</v>
      </c>
      <c r="N563" t="s">
        <v>27</v>
      </c>
      <c r="O563" t="s">
        <v>35</v>
      </c>
      <c r="P563" t="s">
        <v>26</v>
      </c>
      <c r="Q563">
        <v>0</v>
      </c>
    </row>
    <row r="564" spans="1:17" x14ac:dyDescent="0.25">
      <c r="A564" t="s">
        <v>29</v>
      </c>
      <c r="B564" t="s">
        <v>36</v>
      </c>
      <c r="C564">
        <v>225000</v>
      </c>
      <c r="D564" t="s">
        <v>44</v>
      </c>
      <c r="E564" t="s">
        <v>31</v>
      </c>
      <c r="F564" t="s">
        <v>32</v>
      </c>
      <c r="G564" t="s">
        <v>22</v>
      </c>
      <c r="H564" t="s">
        <v>48</v>
      </c>
      <c r="I564" t="s">
        <v>24</v>
      </c>
      <c r="J564">
        <v>22045.5</v>
      </c>
      <c r="K564">
        <v>0</v>
      </c>
      <c r="L564" t="s">
        <v>34</v>
      </c>
      <c r="M564" t="s">
        <v>26</v>
      </c>
      <c r="N564" t="s">
        <v>76</v>
      </c>
      <c r="O564" t="s">
        <v>35</v>
      </c>
      <c r="P564" t="s">
        <v>77</v>
      </c>
      <c r="Q564">
        <v>0</v>
      </c>
    </row>
    <row r="565" spans="1:17" x14ac:dyDescent="0.25">
      <c r="A565" t="s">
        <v>29</v>
      </c>
      <c r="B565" t="s">
        <v>36</v>
      </c>
      <c r="C565">
        <v>225000</v>
      </c>
      <c r="D565" t="s">
        <v>44</v>
      </c>
      <c r="E565" t="s">
        <v>31</v>
      </c>
      <c r="F565" t="s">
        <v>32</v>
      </c>
      <c r="G565" t="s">
        <v>22</v>
      </c>
      <c r="H565" t="s">
        <v>48</v>
      </c>
      <c r="I565" t="s">
        <v>24</v>
      </c>
      <c r="J565">
        <v>194409</v>
      </c>
      <c r="K565">
        <v>0</v>
      </c>
      <c r="L565" t="s">
        <v>42</v>
      </c>
      <c r="M565" t="s">
        <v>26</v>
      </c>
      <c r="N565" t="s">
        <v>27</v>
      </c>
      <c r="O565" t="s">
        <v>35</v>
      </c>
      <c r="P565" t="s">
        <v>26</v>
      </c>
      <c r="Q565">
        <v>0</v>
      </c>
    </row>
    <row r="566" spans="1:17" x14ac:dyDescent="0.25">
      <c r="A566" t="s">
        <v>29</v>
      </c>
      <c r="B566" t="s">
        <v>36</v>
      </c>
      <c r="C566">
        <v>225000</v>
      </c>
      <c r="D566" t="s">
        <v>44</v>
      </c>
      <c r="E566" t="s">
        <v>31</v>
      </c>
      <c r="F566" t="s">
        <v>32</v>
      </c>
      <c r="G566" t="s">
        <v>22</v>
      </c>
      <c r="H566" t="s">
        <v>48</v>
      </c>
      <c r="I566" t="s">
        <v>24</v>
      </c>
      <c r="J566">
        <v>110911.5</v>
      </c>
      <c r="K566">
        <v>0</v>
      </c>
      <c r="L566" t="s">
        <v>51</v>
      </c>
      <c r="M566" t="s">
        <v>26</v>
      </c>
      <c r="N566" t="s">
        <v>58</v>
      </c>
      <c r="O566" t="s">
        <v>35</v>
      </c>
      <c r="P566" t="s">
        <v>64</v>
      </c>
      <c r="Q566">
        <v>1</v>
      </c>
    </row>
    <row r="567" spans="1:17" x14ac:dyDescent="0.25">
      <c r="A567" t="s">
        <v>29</v>
      </c>
      <c r="B567" t="s">
        <v>36</v>
      </c>
      <c r="C567">
        <v>225000</v>
      </c>
      <c r="D567" t="s">
        <v>44</v>
      </c>
      <c r="E567" t="s">
        <v>31</v>
      </c>
      <c r="F567" t="s">
        <v>32</v>
      </c>
      <c r="G567" t="s">
        <v>22</v>
      </c>
      <c r="H567" t="s">
        <v>48</v>
      </c>
      <c r="I567" t="s">
        <v>24</v>
      </c>
      <c r="J567">
        <v>110911.5</v>
      </c>
      <c r="K567">
        <v>0</v>
      </c>
      <c r="L567" t="s">
        <v>51</v>
      </c>
      <c r="M567" t="s">
        <v>26</v>
      </c>
      <c r="N567" t="s">
        <v>58</v>
      </c>
      <c r="O567" t="s">
        <v>35</v>
      </c>
      <c r="P567" t="s">
        <v>64</v>
      </c>
      <c r="Q567">
        <v>1</v>
      </c>
    </row>
    <row r="568" spans="1:17" x14ac:dyDescent="0.25">
      <c r="A568" t="s">
        <v>29</v>
      </c>
      <c r="B568" t="s">
        <v>36</v>
      </c>
      <c r="C568">
        <v>112500</v>
      </c>
      <c r="D568" t="s">
        <v>19</v>
      </c>
      <c r="E568" t="s">
        <v>20</v>
      </c>
      <c r="F568" t="s">
        <v>32</v>
      </c>
      <c r="G568" t="s">
        <v>22</v>
      </c>
      <c r="H568" t="s">
        <v>63</v>
      </c>
      <c r="I568" t="s">
        <v>24</v>
      </c>
      <c r="J568">
        <v>202455</v>
      </c>
      <c r="K568">
        <v>0</v>
      </c>
      <c r="L568" t="s">
        <v>45</v>
      </c>
      <c r="M568" t="s">
        <v>26</v>
      </c>
      <c r="N568" t="s">
        <v>27</v>
      </c>
      <c r="O568" t="s">
        <v>28</v>
      </c>
      <c r="P568" t="s">
        <v>26</v>
      </c>
      <c r="Q568">
        <v>0</v>
      </c>
    </row>
    <row r="569" spans="1:17" x14ac:dyDescent="0.25">
      <c r="A569" t="s">
        <v>17</v>
      </c>
      <c r="B569" t="s">
        <v>36</v>
      </c>
      <c r="C569">
        <v>135000</v>
      </c>
      <c r="D569" t="s">
        <v>19</v>
      </c>
      <c r="E569" t="s">
        <v>20</v>
      </c>
      <c r="F569" t="s">
        <v>32</v>
      </c>
      <c r="G569" t="s">
        <v>22</v>
      </c>
      <c r="H569" t="s">
        <v>49</v>
      </c>
      <c r="I569" t="s">
        <v>24</v>
      </c>
      <c r="J569">
        <v>80955</v>
      </c>
      <c r="K569">
        <v>8095.5</v>
      </c>
      <c r="L569" t="s">
        <v>42</v>
      </c>
      <c r="M569" t="s">
        <v>26</v>
      </c>
      <c r="N569" t="s">
        <v>27</v>
      </c>
      <c r="O569" t="s">
        <v>35</v>
      </c>
      <c r="P569" t="s">
        <v>26</v>
      </c>
      <c r="Q569">
        <v>0</v>
      </c>
    </row>
    <row r="570" spans="1:17" x14ac:dyDescent="0.25">
      <c r="A570" t="s">
        <v>17</v>
      </c>
      <c r="B570" t="s">
        <v>36</v>
      </c>
      <c r="C570">
        <v>405000</v>
      </c>
      <c r="D570" t="s">
        <v>44</v>
      </c>
      <c r="E570" t="s">
        <v>31</v>
      </c>
      <c r="F570" t="s">
        <v>32</v>
      </c>
      <c r="G570" t="s">
        <v>22</v>
      </c>
      <c r="H570" t="s">
        <v>23</v>
      </c>
      <c r="I570" t="s">
        <v>24</v>
      </c>
      <c r="J570">
        <v>81360</v>
      </c>
      <c r="K570">
        <v>16272</v>
      </c>
      <c r="L570" t="s">
        <v>38</v>
      </c>
      <c r="M570" t="s">
        <v>26</v>
      </c>
      <c r="N570" t="s">
        <v>27</v>
      </c>
      <c r="O570" t="s">
        <v>35</v>
      </c>
      <c r="P570" t="s">
        <v>26</v>
      </c>
      <c r="Q570">
        <v>0</v>
      </c>
    </row>
    <row r="571" spans="1:17" x14ac:dyDescent="0.25">
      <c r="A571" t="s">
        <v>29</v>
      </c>
      <c r="B571" t="s">
        <v>36</v>
      </c>
      <c r="C571">
        <v>405000</v>
      </c>
      <c r="D571" t="s">
        <v>44</v>
      </c>
      <c r="E571" t="s">
        <v>31</v>
      </c>
      <c r="F571" t="s">
        <v>69</v>
      </c>
      <c r="G571" t="s">
        <v>22</v>
      </c>
      <c r="H571" t="s">
        <v>49</v>
      </c>
      <c r="I571" t="s">
        <v>24</v>
      </c>
      <c r="J571">
        <v>88609.5</v>
      </c>
      <c r="K571">
        <v>0</v>
      </c>
      <c r="L571" t="s">
        <v>25</v>
      </c>
      <c r="M571" t="s">
        <v>26</v>
      </c>
      <c r="N571" t="s">
        <v>27</v>
      </c>
      <c r="O571" t="s">
        <v>35</v>
      </c>
      <c r="P571" t="s">
        <v>26</v>
      </c>
      <c r="Q571">
        <v>0</v>
      </c>
    </row>
    <row r="572" spans="1:17" x14ac:dyDescent="0.25">
      <c r="A572" t="s">
        <v>17</v>
      </c>
      <c r="B572" t="s">
        <v>36</v>
      </c>
      <c r="C572">
        <v>225000</v>
      </c>
      <c r="D572" t="s">
        <v>19</v>
      </c>
      <c r="E572" t="s">
        <v>20</v>
      </c>
      <c r="F572" t="s">
        <v>32</v>
      </c>
      <c r="G572" t="s">
        <v>22</v>
      </c>
      <c r="H572" t="s">
        <v>41</v>
      </c>
      <c r="I572" t="s">
        <v>24</v>
      </c>
      <c r="J572">
        <v>20205</v>
      </c>
      <c r="K572">
        <v>2250</v>
      </c>
      <c r="L572" t="s">
        <v>42</v>
      </c>
      <c r="M572" t="s">
        <v>26</v>
      </c>
      <c r="N572" t="s">
        <v>27</v>
      </c>
      <c r="O572" t="s">
        <v>35</v>
      </c>
      <c r="P572" t="s">
        <v>26</v>
      </c>
      <c r="Q572">
        <v>0</v>
      </c>
    </row>
    <row r="573" spans="1:17" x14ac:dyDescent="0.25">
      <c r="A573" t="s">
        <v>29</v>
      </c>
      <c r="B573" t="s">
        <v>18</v>
      </c>
      <c r="C573">
        <v>90000</v>
      </c>
      <c r="D573" t="s">
        <v>19</v>
      </c>
      <c r="E573" t="s">
        <v>20</v>
      </c>
      <c r="F573" t="s">
        <v>32</v>
      </c>
      <c r="G573" t="s">
        <v>62</v>
      </c>
      <c r="H573" t="s">
        <v>23</v>
      </c>
      <c r="I573" t="s">
        <v>24</v>
      </c>
      <c r="J573">
        <v>46530</v>
      </c>
      <c r="K573">
        <v>4653</v>
      </c>
      <c r="L573" t="s">
        <v>25</v>
      </c>
      <c r="M573" t="s">
        <v>26</v>
      </c>
      <c r="N573" t="s">
        <v>27</v>
      </c>
      <c r="O573" t="s">
        <v>35</v>
      </c>
      <c r="P573" t="s">
        <v>26</v>
      </c>
      <c r="Q573">
        <v>0</v>
      </c>
    </row>
    <row r="574" spans="1:17" x14ac:dyDescent="0.25">
      <c r="A574" t="s">
        <v>29</v>
      </c>
      <c r="B574" t="s">
        <v>18</v>
      </c>
      <c r="C574">
        <v>90000</v>
      </c>
      <c r="D574" t="s">
        <v>19</v>
      </c>
      <c r="E574" t="s">
        <v>20</v>
      </c>
      <c r="F574" t="s">
        <v>32</v>
      </c>
      <c r="G574" t="s">
        <v>62</v>
      </c>
      <c r="H574" t="s">
        <v>23</v>
      </c>
      <c r="I574" t="s">
        <v>24</v>
      </c>
      <c r="J574">
        <v>107995.5</v>
      </c>
      <c r="K574">
        <v>10800</v>
      </c>
      <c r="L574" t="s">
        <v>34</v>
      </c>
      <c r="M574" t="s">
        <v>26</v>
      </c>
      <c r="N574" t="s">
        <v>27</v>
      </c>
      <c r="O574" t="s">
        <v>35</v>
      </c>
      <c r="P574" t="s">
        <v>26</v>
      </c>
      <c r="Q574">
        <v>0</v>
      </c>
    </row>
    <row r="575" spans="1:17" x14ac:dyDescent="0.25">
      <c r="A575" t="s">
        <v>29</v>
      </c>
      <c r="B575" t="s">
        <v>18</v>
      </c>
      <c r="C575">
        <v>90000</v>
      </c>
      <c r="D575" t="s">
        <v>19</v>
      </c>
      <c r="E575" t="s">
        <v>20</v>
      </c>
      <c r="F575" t="s">
        <v>32</v>
      </c>
      <c r="G575" t="s">
        <v>62</v>
      </c>
      <c r="H575" t="s">
        <v>23</v>
      </c>
      <c r="I575" t="s">
        <v>24</v>
      </c>
      <c r="J575">
        <v>46710</v>
      </c>
      <c r="K575">
        <v>4671</v>
      </c>
      <c r="L575" t="s">
        <v>51</v>
      </c>
      <c r="M575" t="s">
        <v>26</v>
      </c>
      <c r="N575" t="s">
        <v>27</v>
      </c>
      <c r="O575" t="s">
        <v>35</v>
      </c>
      <c r="P575" t="s">
        <v>26</v>
      </c>
      <c r="Q575">
        <v>0</v>
      </c>
    </row>
    <row r="576" spans="1:17" x14ac:dyDescent="0.25">
      <c r="A576" t="s">
        <v>29</v>
      </c>
      <c r="B576" t="s">
        <v>18</v>
      </c>
      <c r="C576">
        <v>90000</v>
      </c>
      <c r="D576" t="s">
        <v>19</v>
      </c>
      <c r="E576" t="s">
        <v>20</v>
      </c>
      <c r="F576" t="s">
        <v>32</v>
      </c>
      <c r="G576" t="s">
        <v>62</v>
      </c>
      <c r="H576" t="s">
        <v>23</v>
      </c>
      <c r="I576" t="s">
        <v>24</v>
      </c>
      <c r="J576">
        <v>121455</v>
      </c>
      <c r="K576">
        <v>0</v>
      </c>
      <c r="L576" t="s">
        <v>42</v>
      </c>
      <c r="M576" t="s">
        <v>26</v>
      </c>
      <c r="N576" t="s">
        <v>27</v>
      </c>
      <c r="O576" t="s">
        <v>28</v>
      </c>
      <c r="P576" t="s">
        <v>26</v>
      </c>
      <c r="Q576">
        <v>0</v>
      </c>
    </row>
    <row r="577" spans="1:17" x14ac:dyDescent="0.25">
      <c r="A577" t="s">
        <v>17</v>
      </c>
      <c r="B577" t="s">
        <v>36</v>
      </c>
      <c r="C577">
        <v>90000</v>
      </c>
      <c r="D577" t="s">
        <v>19</v>
      </c>
      <c r="E577" t="s">
        <v>20</v>
      </c>
      <c r="F577" t="s">
        <v>21</v>
      </c>
      <c r="G577" t="s">
        <v>22</v>
      </c>
      <c r="H577" t="s">
        <v>23</v>
      </c>
      <c r="I577" t="s">
        <v>24</v>
      </c>
      <c r="J577">
        <v>193455</v>
      </c>
      <c r="K577">
        <v>0</v>
      </c>
      <c r="L577" t="s">
        <v>42</v>
      </c>
      <c r="M577" t="s">
        <v>26</v>
      </c>
      <c r="N577" t="s">
        <v>27</v>
      </c>
      <c r="O577" t="s">
        <v>28</v>
      </c>
      <c r="P577" t="s">
        <v>26</v>
      </c>
      <c r="Q577">
        <v>0</v>
      </c>
    </row>
    <row r="578" spans="1:17" x14ac:dyDescent="0.25">
      <c r="A578" t="s">
        <v>17</v>
      </c>
      <c r="B578" t="s">
        <v>36</v>
      </c>
      <c r="C578">
        <v>90000</v>
      </c>
      <c r="D578" t="s">
        <v>19</v>
      </c>
      <c r="E578" t="s">
        <v>20</v>
      </c>
      <c r="F578" t="s">
        <v>21</v>
      </c>
      <c r="G578" t="s">
        <v>22</v>
      </c>
      <c r="H578" t="s">
        <v>23</v>
      </c>
      <c r="I578" t="s">
        <v>24</v>
      </c>
      <c r="J578">
        <v>53633.25</v>
      </c>
      <c r="K578">
        <v>5352.75</v>
      </c>
      <c r="L578" t="s">
        <v>43</v>
      </c>
      <c r="M578" t="s">
        <v>26</v>
      </c>
      <c r="N578" t="s">
        <v>27</v>
      </c>
      <c r="O578" t="s">
        <v>35</v>
      </c>
      <c r="P578" t="s">
        <v>26</v>
      </c>
      <c r="Q578">
        <v>0</v>
      </c>
    </row>
    <row r="579" spans="1:17" x14ac:dyDescent="0.25">
      <c r="A579" t="s">
        <v>17</v>
      </c>
      <c r="B579" t="s">
        <v>18</v>
      </c>
      <c r="C579">
        <v>450000</v>
      </c>
      <c r="D579" t="s">
        <v>44</v>
      </c>
      <c r="E579" t="s">
        <v>20</v>
      </c>
      <c r="F579" t="s">
        <v>21</v>
      </c>
      <c r="G579" t="s">
        <v>22</v>
      </c>
      <c r="H579" t="s">
        <v>23</v>
      </c>
      <c r="I579" t="s">
        <v>24</v>
      </c>
      <c r="J579">
        <v>147537</v>
      </c>
      <c r="K579">
        <v>14755.5</v>
      </c>
      <c r="L579" t="s">
        <v>25</v>
      </c>
      <c r="M579" t="s">
        <v>26</v>
      </c>
      <c r="N579" t="s">
        <v>27</v>
      </c>
      <c r="O579" t="s">
        <v>35</v>
      </c>
      <c r="P579" t="s">
        <v>26</v>
      </c>
      <c r="Q579">
        <v>0</v>
      </c>
    </row>
    <row r="580" spans="1:17" x14ac:dyDescent="0.25">
      <c r="A580" t="s">
        <v>17</v>
      </c>
      <c r="B580" t="s">
        <v>36</v>
      </c>
      <c r="C580">
        <v>180000</v>
      </c>
      <c r="D580" t="s">
        <v>19</v>
      </c>
      <c r="E580" t="s">
        <v>20</v>
      </c>
      <c r="F580" t="s">
        <v>32</v>
      </c>
      <c r="G580" t="s">
        <v>22</v>
      </c>
      <c r="H580" t="s">
        <v>23</v>
      </c>
      <c r="I580" t="s">
        <v>24</v>
      </c>
      <c r="J580">
        <v>134770.5</v>
      </c>
      <c r="K580">
        <v>0</v>
      </c>
      <c r="L580" t="s">
        <v>38</v>
      </c>
      <c r="M580" t="s">
        <v>26</v>
      </c>
      <c r="N580" t="s">
        <v>27</v>
      </c>
      <c r="O580" t="s">
        <v>28</v>
      </c>
      <c r="P580" t="s">
        <v>26</v>
      </c>
      <c r="Q580">
        <v>0</v>
      </c>
    </row>
    <row r="581" spans="1:17" x14ac:dyDescent="0.25">
      <c r="A581" t="s">
        <v>17</v>
      </c>
      <c r="B581" t="s">
        <v>36</v>
      </c>
      <c r="C581">
        <v>180000</v>
      </c>
      <c r="D581" t="s">
        <v>19</v>
      </c>
      <c r="E581" t="s">
        <v>20</v>
      </c>
      <c r="F581" t="s">
        <v>32</v>
      </c>
      <c r="G581" t="s">
        <v>22</v>
      </c>
      <c r="H581" t="s">
        <v>23</v>
      </c>
      <c r="I581" t="s">
        <v>24</v>
      </c>
      <c r="J581">
        <v>44955</v>
      </c>
      <c r="K581">
        <v>4495.5</v>
      </c>
      <c r="L581" t="s">
        <v>38</v>
      </c>
      <c r="M581" t="s">
        <v>26</v>
      </c>
      <c r="N581" t="s">
        <v>27</v>
      </c>
      <c r="O581" t="s">
        <v>35</v>
      </c>
      <c r="P581" t="s">
        <v>26</v>
      </c>
      <c r="Q581">
        <v>0</v>
      </c>
    </row>
    <row r="582" spans="1:17" x14ac:dyDescent="0.25">
      <c r="A582" t="s">
        <v>17</v>
      </c>
      <c r="B582" t="s">
        <v>36</v>
      </c>
      <c r="C582">
        <v>180000</v>
      </c>
      <c r="D582" t="s">
        <v>19</v>
      </c>
      <c r="E582" t="s">
        <v>20</v>
      </c>
      <c r="F582" t="s">
        <v>32</v>
      </c>
      <c r="G582" t="s">
        <v>22</v>
      </c>
      <c r="H582" t="s">
        <v>23</v>
      </c>
      <c r="I582" t="s">
        <v>24</v>
      </c>
      <c r="J582">
        <v>62424</v>
      </c>
      <c r="K582">
        <v>0</v>
      </c>
      <c r="L582" t="s">
        <v>42</v>
      </c>
      <c r="M582" t="s">
        <v>26</v>
      </c>
      <c r="N582" t="s">
        <v>27</v>
      </c>
      <c r="O582" t="s">
        <v>35</v>
      </c>
      <c r="P582" t="s">
        <v>26</v>
      </c>
      <c r="Q582">
        <v>0</v>
      </c>
    </row>
    <row r="583" spans="1:17" x14ac:dyDescent="0.25">
      <c r="A583" t="s">
        <v>17</v>
      </c>
      <c r="B583" t="s">
        <v>36</v>
      </c>
      <c r="C583">
        <v>180000</v>
      </c>
      <c r="D583" t="s">
        <v>19</v>
      </c>
      <c r="E583" t="s">
        <v>20</v>
      </c>
      <c r="F583" t="s">
        <v>32</v>
      </c>
      <c r="G583" t="s">
        <v>22</v>
      </c>
      <c r="H583" t="s">
        <v>23</v>
      </c>
      <c r="I583" t="s">
        <v>24</v>
      </c>
      <c r="J583">
        <v>77665.5</v>
      </c>
      <c r="K583">
        <v>15534</v>
      </c>
      <c r="L583" t="s">
        <v>43</v>
      </c>
      <c r="M583" t="s">
        <v>26</v>
      </c>
      <c r="N583" t="s">
        <v>27</v>
      </c>
      <c r="O583" t="s">
        <v>35</v>
      </c>
      <c r="P583" t="s">
        <v>26</v>
      </c>
      <c r="Q583">
        <v>0</v>
      </c>
    </row>
    <row r="584" spans="1:17" x14ac:dyDescent="0.25">
      <c r="A584" t="s">
        <v>17</v>
      </c>
      <c r="B584" t="s">
        <v>36</v>
      </c>
      <c r="C584">
        <v>180000</v>
      </c>
      <c r="D584" t="s">
        <v>19</v>
      </c>
      <c r="E584" t="s">
        <v>20</v>
      </c>
      <c r="F584" t="s">
        <v>32</v>
      </c>
      <c r="G584" t="s">
        <v>22</v>
      </c>
      <c r="H584" t="s">
        <v>23</v>
      </c>
      <c r="I584" t="s">
        <v>24</v>
      </c>
      <c r="J584">
        <v>15453</v>
      </c>
      <c r="K584">
        <v>1548</v>
      </c>
      <c r="L584" t="s">
        <v>38</v>
      </c>
      <c r="M584" t="s">
        <v>26</v>
      </c>
      <c r="N584" t="s">
        <v>27</v>
      </c>
      <c r="O584" t="s">
        <v>83</v>
      </c>
      <c r="P584" t="s">
        <v>26</v>
      </c>
      <c r="Q584">
        <v>0</v>
      </c>
    </row>
    <row r="585" spans="1:17" x14ac:dyDescent="0.25">
      <c r="A585" t="s">
        <v>29</v>
      </c>
      <c r="B585" t="s">
        <v>36</v>
      </c>
      <c r="C585">
        <v>112500</v>
      </c>
      <c r="D585" t="s">
        <v>44</v>
      </c>
      <c r="E585" t="s">
        <v>20</v>
      </c>
      <c r="F585" t="s">
        <v>39</v>
      </c>
      <c r="G585" t="s">
        <v>87</v>
      </c>
      <c r="H585" t="s">
        <v>68</v>
      </c>
      <c r="I585" t="s">
        <v>24</v>
      </c>
      <c r="J585">
        <v>68382</v>
      </c>
      <c r="K585">
        <v>0</v>
      </c>
      <c r="L585" t="s">
        <v>51</v>
      </c>
      <c r="M585" t="s">
        <v>26</v>
      </c>
      <c r="N585" t="s">
        <v>27</v>
      </c>
      <c r="O585" t="s">
        <v>35</v>
      </c>
      <c r="P585" t="s">
        <v>26</v>
      </c>
      <c r="Q585">
        <v>0</v>
      </c>
    </row>
    <row r="586" spans="1:17" x14ac:dyDescent="0.25">
      <c r="A586" t="s">
        <v>17</v>
      </c>
      <c r="B586" t="s">
        <v>36</v>
      </c>
      <c r="C586">
        <v>270000</v>
      </c>
      <c r="D586" t="s">
        <v>19</v>
      </c>
      <c r="E586" t="s">
        <v>20</v>
      </c>
      <c r="F586" t="s">
        <v>32</v>
      </c>
      <c r="G586" t="s">
        <v>22</v>
      </c>
      <c r="H586" t="s">
        <v>100</v>
      </c>
      <c r="I586" t="s">
        <v>90</v>
      </c>
      <c r="J586">
        <v>157500</v>
      </c>
      <c r="K586">
        <v>0</v>
      </c>
      <c r="L586" t="s">
        <v>34</v>
      </c>
      <c r="M586" t="s">
        <v>26</v>
      </c>
      <c r="N586" t="s">
        <v>58</v>
      </c>
      <c r="O586" t="s">
        <v>28</v>
      </c>
      <c r="P586" t="s">
        <v>64</v>
      </c>
      <c r="Q586">
        <v>1</v>
      </c>
    </row>
    <row r="587" spans="1:17" x14ac:dyDescent="0.25">
      <c r="A587" t="s">
        <v>17</v>
      </c>
      <c r="B587" t="s">
        <v>36</v>
      </c>
      <c r="C587">
        <v>270000</v>
      </c>
      <c r="D587" t="s">
        <v>19</v>
      </c>
      <c r="E587" t="s">
        <v>20</v>
      </c>
      <c r="F587" t="s">
        <v>32</v>
      </c>
      <c r="G587" t="s">
        <v>22</v>
      </c>
      <c r="H587" t="s">
        <v>100</v>
      </c>
      <c r="I587" t="s">
        <v>24</v>
      </c>
      <c r="J587">
        <v>62910</v>
      </c>
      <c r="K587">
        <v>0</v>
      </c>
      <c r="L587" t="s">
        <v>42</v>
      </c>
      <c r="M587" t="s">
        <v>26</v>
      </c>
      <c r="N587" t="s">
        <v>27</v>
      </c>
      <c r="O587" t="s">
        <v>35</v>
      </c>
      <c r="P587" t="s">
        <v>26</v>
      </c>
      <c r="Q587">
        <v>0</v>
      </c>
    </row>
    <row r="588" spans="1:17" x14ac:dyDescent="0.25">
      <c r="A588" t="s">
        <v>29</v>
      </c>
      <c r="B588" t="s">
        <v>18</v>
      </c>
      <c r="C588">
        <v>58500</v>
      </c>
      <c r="D588" t="s">
        <v>46</v>
      </c>
      <c r="E588" t="s">
        <v>20</v>
      </c>
      <c r="F588" t="s">
        <v>54</v>
      </c>
      <c r="G588" t="s">
        <v>22</v>
      </c>
      <c r="H588" t="s">
        <v>28</v>
      </c>
      <c r="I588" t="s">
        <v>24</v>
      </c>
      <c r="J588">
        <v>22275</v>
      </c>
      <c r="K588">
        <v>2385</v>
      </c>
      <c r="L588" t="s">
        <v>42</v>
      </c>
      <c r="M588" t="s">
        <v>26</v>
      </c>
      <c r="N588" t="s">
        <v>27</v>
      </c>
      <c r="O588" t="s">
        <v>35</v>
      </c>
      <c r="P588" t="s">
        <v>26</v>
      </c>
      <c r="Q588">
        <v>0</v>
      </c>
    </row>
    <row r="589" spans="1:17" x14ac:dyDescent="0.25">
      <c r="A589" t="s">
        <v>17</v>
      </c>
      <c r="B589" t="s">
        <v>36</v>
      </c>
      <c r="C589">
        <v>121500</v>
      </c>
      <c r="D589" t="s">
        <v>46</v>
      </c>
      <c r="E589" t="s">
        <v>20</v>
      </c>
      <c r="F589" t="s">
        <v>32</v>
      </c>
      <c r="G589" t="s">
        <v>22</v>
      </c>
      <c r="H589" t="s">
        <v>28</v>
      </c>
      <c r="I589" t="s">
        <v>24</v>
      </c>
      <c r="J589">
        <v>24705</v>
      </c>
      <c r="K589">
        <v>11205</v>
      </c>
      <c r="L589" t="s">
        <v>51</v>
      </c>
      <c r="M589" t="s">
        <v>26</v>
      </c>
      <c r="N589" t="s">
        <v>27</v>
      </c>
      <c r="O589" t="s">
        <v>35</v>
      </c>
      <c r="P589" t="s">
        <v>26</v>
      </c>
      <c r="Q589">
        <v>0</v>
      </c>
    </row>
    <row r="590" spans="1:17" x14ac:dyDescent="0.25">
      <c r="A590" t="s">
        <v>17</v>
      </c>
      <c r="B590" t="s">
        <v>18</v>
      </c>
      <c r="C590">
        <v>90000</v>
      </c>
      <c r="D590" t="s">
        <v>19</v>
      </c>
      <c r="E590" t="s">
        <v>20</v>
      </c>
      <c r="F590" t="s">
        <v>32</v>
      </c>
      <c r="G590" t="s">
        <v>22</v>
      </c>
      <c r="H590" t="s">
        <v>48</v>
      </c>
      <c r="I590" t="s">
        <v>24</v>
      </c>
      <c r="J590">
        <v>185508</v>
      </c>
      <c r="K590">
        <v>18553.5</v>
      </c>
      <c r="L590" t="s">
        <v>45</v>
      </c>
      <c r="M590" t="s">
        <v>26</v>
      </c>
      <c r="N590" t="s">
        <v>27</v>
      </c>
      <c r="O590" t="s">
        <v>35</v>
      </c>
      <c r="P590" t="s">
        <v>26</v>
      </c>
      <c r="Q590">
        <v>0</v>
      </c>
    </row>
    <row r="591" spans="1:17" x14ac:dyDescent="0.25">
      <c r="A591" t="s">
        <v>29</v>
      </c>
      <c r="B591" t="s">
        <v>18</v>
      </c>
      <c r="C591">
        <v>450000</v>
      </c>
      <c r="D591" t="s">
        <v>30</v>
      </c>
      <c r="E591" t="s">
        <v>31</v>
      </c>
      <c r="F591" t="s">
        <v>69</v>
      </c>
      <c r="G591" t="s">
        <v>22</v>
      </c>
      <c r="H591" t="s">
        <v>72</v>
      </c>
      <c r="I591" t="s">
        <v>24</v>
      </c>
      <c r="J591">
        <v>77035.5</v>
      </c>
      <c r="K591">
        <v>11250</v>
      </c>
      <c r="L591" t="s">
        <v>45</v>
      </c>
      <c r="M591" t="s">
        <v>26</v>
      </c>
      <c r="N591" t="s">
        <v>27</v>
      </c>
      <c r="O591" t="s">
        <v>35</v>
      </c>
      <c r="P591" t="s">
        <v>26</v>
      </c>
      <c r="Q591">
        <v>0</v>
      </c>
    </row>
    <row r="592" spans="1:17" x14ac:dyDescent="0.25">
      <c r="A592" t="s">
        <v>29</v>
      </c>
      <c r="B592" t="s">
        <v>18</v>
      </c>
      <c r="C592">
        <v>450000</v>
      </c>
      <c r="D592" t="s">
        <v>30</v>
      </c>
      <c r="E592" t="s">
        <v>31</v>
      </c>
      <c r="F592" t="s">
        <v>69</v>
      </c>
      <c r="G592" t="s">
        <v>22</v>
      </c>
      <c r="H592" t="s">
        <v>72</v>
      </c>
      <c r="I592" t="s">
        <v>24</v>
      </c>
      <c r="J592">
        <v>169636.5</v>
      </c>
      <c r="K592">
        <v>16965</v>
      </c>
      <c r="L592" t="s">
        <v>45</v>
      </c>
      <c r="M592" t="s">
        <v>26</v>
      </c>
      <c r="N592" t="s">
        <v>27</v>
      </c>
      <c r="O592" t="s">
        <v>28</v>
      </c>
      <c r="P592" t="s">
        <v>26</v>
      </c>
      <c r="Q592">
        <v>0</v>
      </c>
    </row>
    <row r="593" spans="1:17" x14ac:dyDescent="0.25">
      <c r="A593" t="s">
        <v>29</v>
      </c>
      <c r="B593" t="s">
        <v>36</v>
      </c>
      <c r="C593">
        <v>270000</v>
      </c>
      <c r="D593" t="s">
        <v>19</v>
      </c>
      <c r="E593" t="s">
        <v>31</v>
      </c>
      <c r="F593" t="s">
        <v>32</v>
      </c>
      <c r="G593" t="s">
        <v>22</v>
      </c>
      <c r="H593" t="s">
        <v>49</v>
      </c>
      <c r="I593" t="s">
        <v>24</v>
      </c>
      <c r="J593">
        <v>26695.17</v>
      </c>
      <c r="K593">
        <v>2669.67</v>
      </c>
      <c r="L593" t="s">
        <v>42</v>
      </c>
      <c r="M593" t="s">
        <v>26</v>
      </c>
      <c r="N593" t="s">
        <v>27</v>
      </c>
      <c r="O593" t="s">
        <v>35</v>
      </c>
      <c r="P593" t="s">
        <v>26</v>
      </c>
      <c r="Q593">
        <v>0</v>
      </c>
    </row>
    <row r="594" spans="1:17" x14ac:dyDescent="0.25">
      <c r="A594" t="s">
        <v>29</v>
      </c>
      <c r="B594" t="s">
        <v>36</v>
      </c>
      <c r="C594">
        <v>270000</v>
      </c>
      <c r="D594" t="s">
        <v>19</v>
      </c>
      <c r="E594" t="s">
        <v>31</v>
      </c>
      <c r="F594" t="s">
        <v>32</v>
      </c>
      <c r="G594" t="s">
        <v>22</v>
      </c>
      <c r="H594" t="s">
        <v>49</v>
      </c>
      <c r="I594" t="s">
        <v>24</v>
      </c>
      <c r="J594">
        <v>70380</v>
      </c>
      <c r="K594">
        <v>0</v>
      </c>
      <c r="L594" t="s">
        <v>45</v>
      </c>
      <c r="M594" t="s">
        <v>26</v>
      </c>
      <c r="N594" t="s">
        <v>58</v>
      </c>
      <c r="O594" t="s">
        <v>35</v>
      </c>
      <c r="P594" t="s">
        <v>60</v>
      </c>
      <c r="Q594">
        <v>1</v>
      </c>
    </row>
    <row r="595" spans="1:17" x14ac:dyDescent="0.25">
      <c r="A595" t="s">
        <v>29</v>
      </c>
      <c r="B595" t="s">
        <v>18</v>
      </c>
      <c r="C595">
        <v>450000</v>
      </c>
      <c r="D595" t="s">
        <v>19</v>
      </c>
      <c r="E595" t="s">
        <v>20</v>
      </c>
      <c r="F595" t="s">
        <v>32</v>
      </c>
      <c r="G595" t="s">
        <v>22</v>
      </c>
      <c r="H595" t="s">
        <v>23</v>
      </c>
      <c r="I595" t="s">
        <v>24</v>
      </c>
      <c r="J595">
        <v>223920</v>
      </c>
      <c r="K595">
        <v>23737.5</v>
      </c>
      <c r="L595" t="s">
        <v>42</v>
      </c>
      <c r="M595" t="s">
        <v>26</v>
      </c>
      <c r="N595" t="s">
        <v>27</v>
      </c>
      <c r="O595" t="s">
        <v>28</v>
      </c>
      <c r="P595" t="s">
        <v>26</v>
      </c>
      <c r="Q595">
        <v>0</v>
      </c>
    </row>
    <row r="596" spans="1:17" x14ac:dyDescent="0.25">
      <c r="A596" t="s">
        <v>29</v>
      </c>
      <c r="B596" t="s">
        <v>18</v>
      </c>
      <c r="C596">
        <v>450000</v>
      </c>
      <c r="D596" t="s">
        <v>19</v>
      </c>
      <c r="E596" t="s">
        <v>20</v>
      </c>
      <c r="F596" t="s">
        <v>32</v>
      </c>
      <c r="G596" t="s">
        <v>22</v>
      </c>
      <c r="H596" t="s">
        <v>23</v>
      </c>
      <c r="I596" t="s">
        <v>24</v>
      </c>
      <c r="J596">
        <v>65250</v>
      </c>
      <c r="K596">
        <v>0</v>
      </c>
      <c r="L596" t="s">
        <v>51</v>
      </c>
      <c r="M596" t="s">
        <v>26</v>
      </c>
      <c r="N596" t="s">
        <v>27</v>
      </c>
      <c r="O596" t="s">
        <v>28</v>
      </c>
      <c r="P596" t="s">
        <v>26</v>
      </c>
      <c r="Q596">
        <v>0</v>
      </c>
    </row>
    <row r="597" spans="1:17" x14ac:dyDescent="0.25">
      <c r="A597" t="s">
        <v>17</v>
      </c>
      <c r="B597" t="s">
        <v>18</v>
      </c>
      <c r="C597">
        <v>135000</v>
      </c>
      <c r="D597" t="s">
        <v>44</v>
      </c>
      <c r="E597" t="s">
        <v>20</v>
      </c>
      <c r="F597" t="s">
        <v>21</v>
      </c>
      <c r="G597" t="s">
        <v>22</v>
      </c>
      <c r="H597" t="s">
        <v>48</v>
      </c>
      <c r="I597" t="s">
        <v>24</v>
      </c>
      <c r="J597">
        <v>111915</v>
      </c>
      <c r="K597">
        <v>0</v>
      </c>
      <c r="L597" t="s">
        <v>45</v>
      </c>
      <c r="M597" t="s">
        <v>26</v>
      </c>
      <c r="N597" t="s">
        <v>27</v>
      </c>
      <c r="O597" t="s">
        <v>35</v>
      </c>
      <c r="P597" t="s">
        <v>26</v>
      </c>
      <c r="Q597">
        <v>0</v>
      </c>
    </row>
    <row r="598" spans="1:17" x14ac:dyDescent="0.25">
      <c r="A598" t="s">
        <v>17</v>
      </c>
      <c r="B598" t="s">
        <v>18</v>
      </c>
      <c r="C598">
        <v>112500</v>
      </c>
      <c r="D598" t="s">
        <v>19</v>
      </c>
      <c r="E598" t="s">
        <v>20</v>
      </c>
      <c r="F598" t="s">
        <v>32</v>
      </c>
      <c r="G598" t="s">
        <v>22</v>
      </c>
      <c r="H598" t="s">
        <v>23</v>
      </c>
      <c r="I598" t="s">
        <v>24</v>
      </c>
      <c r="J598">
        <v>152325</v>
      </c>
      <c r="K598">
        <v>0</v>
      </c>
      <c r="L598" t="s">
        <v>38</v>
      </c>
      <c r="M598" t="s">
        <v>26</v>
      </c>
      <c r="N598" t="s">
        <v>27</v>
      </c>
      <c r="O598" t="s">
        <v>35</v>
      </c>
      <c r="P598" t="s">
        <v>26</v>
      </c>
      <c r="Q598">
        <v>0</v>
      </c>
    </row>
    <row r="599" spans="1:17" x14ac:dyDescent="0.25">
      <c r="A599" t="s">
        <v>17</v>
      </c>
      <c r="B599" t="s">
        <v>18</v>
      </c>
      <c r="C599">
        <v>112500</v>
      </c>
      <c r="D599" t="s">
        <v>19</v>
      </c>
      <c r="E599" t="s">
        <v>20</v>
      </c>
      <c r="F599" t="s">
        <v>32</v>
      </c>
      <c r="G599" t="s">
        <v>22</v>
      </c>
      <c r="H599" t="s">
        <v>23</v>
      </c>
      <c r="I599" t="s">
        <v>24</v>
      </c>
      <c r="J599">
        <v>77580</v>
      </c>
      <c r="K599">
        <v>0</v>
      </c>
      <c r="L599" t="s">
        <v>45</v>
      </c>
      <c r="M599" t="s">
        <v>26</v>
      </c>
      <c r="N599" t="s">
        <v>27</v>
      </c>
      <c r="O599" t="s">
        <v>35</v>
      </c>
      <c r="P599" t="s">
        <v>26</v>
      </c>
      <c r="Q599">
        <v>0</v>
      </c>
    </row>
    <row r="600" spans="1:17" x14ac:dyDescent="0.25">
      <c r="A600" t="s">
        <v>17</v>
      </c>
      <c r="B600" t="s">
        <v>18</v>
      </c>
      <c r="C600">
        <v>112500</v>
      </c>
      <c r="D600" t="s">
        <v>19</v>
      </c>
      <c r="E600" t="s">
        <v>20</v>
      </c>
      <c r="F600" t="s">
        <v>32</v>
      </c>
      <c r="G600" t="s">
        <v>22</v>
      </c>
      <c r="H600" t="s">
        <v>23</v>
      </c>
      <c r="I600" t="s">
        <v>24</v>
      </c>
      <c r="J600">
        <v>84555</v>
      </c>
      <c r="K600">
        <v>0</v>
      </c>
      <c r="L600" t="s">
        <v>43</v>
      </c>
      <c r="M600" t="s">
        <v>26</v>
      </c>
      <c r="N600" t="s">
        <v>27</v>
      </c>
      <c r="O600" t="s">
        <v>35</v>
      </c>
      <c r="P600" t="s">
        <v>26</v>
      </c>
      <c r="Q600">
        <v>0</v>
      </c>
    </row>
    <row r="601" spans="1:17" x14ac:dyDescent="0.25">
      <c r="A601" t="s">
        <v>17</v>
      </c>
      <c r="B601" t="s">
        <v>18</v>
      </c>
      <c r="C601">
        <v>112500</v>
      </c>
      <c r="D601" t="s">
        <v>19</v>
      </c>
      <c r="E601" t="s">
        <v>20</v>
      </c>
      <c r="F601" t="s">
        <v>32</v>
      </c>
      <c r="G601" t="s">
        <v>22</v>
      </c>
      <c r="H601" t="s">
        <v>23</v>
      </c>
      <c r="I601" t="s">
        <v>24</v>
      </c>
      <c r="J601">
        <v>76320</v>
      </c>
      <c r="K601">
        <v>7650</v>
      </c>
      <c r="L601" t="s">
        <v>38</v>
      </c>
      <c r="M601" t="s">
        <v>26</v>
      </c>
      <c r="N601" t="s">
        <v>27</v>
      </c>
      <c r="O601" t="s">
        <v>35</v>
      </c>
      <c r="P601" t="s">
        <v>26</v>
      </c>
      <c r="Q601">
        <v>0</v>
      </c>
    </row>
    <row r="602" spans="1:17" x14ac:dyDescent="0.25">
      <c r="A602" t="s">
        <v>17</v>
      </c>
      <c r="B602" t="s">
        <v>18</v>
      </c>
      <c r="C602">
        <v>112500</v>
      </c>
      <c r="D602" t="s">
        <v>19</v>
      </c>
      <c r="E602" t="s">
        <v>20</v>
      </c>
      <c r="F602" t="s">
        <v>32</v>
      </c>
      <c r="G602" t="s">
        <v>22</v>
      </c>
      <c r="H602" t="s">
        <v>23</v>
      </c>
      <c r="I602" t="s">
        <v>24</v>
      </c>
      <c r="J602">
        <v>78705</v>
      </c>
      <c r="K602">
        <v>0</v>
      </c>
      <c r="L602" t="s">
        <v>25</v>
      </c>
      <c r="M602" t="s">
        <v>26</v>
      </c>
      <c r="N602" t="s">
        <v>27</v>
      </c>
      <c r="O602" t="s">
        <v>35</v>
      </c>
      <c r="P602" t="s">
        <v>26</v>
      </c>
      <c r="Q602">
        <v>0</v>
      </c>
    </row>
    <row r="603" spans="1:17" x14ac:dyDescent="0.25">
      <c r="A603" t="s">
        <v>29</v>
      </c>
      <c r="B603" t="s">
        <v>36</v>
      </c>
      <c r="C603">
        <v>225000</v>
      </c>
      <c r="D603" t="s">
        <v>19</v>
      </c>
      <c r="E603" t="s">
        <v>20</v>
      </c>
      <c r="F603" t="s">
        <v>39</v>
      </c>
      <c r="G603" t="s">
        <v>22</v>
      </c>
      <c r="H603" t="s">
        <v>23</v>
      </c>
      <c r="I603" t="s">
        <v>24</v>
      </c>
      <c r="J603">
        <v>278329.5</v>
      </c>
      <c r="K603">
        <v>0</v>
      </c>
      <c r="L603" t="s">
        <v>38</v>
      </c>
      <c r="M603" t="s">
        <v>26</v>
      </c>
      <c r="N603" t="s">
        <v>27</v>
      </c>
      <c r="O603" t="s">
        <v>35</v>
      </c>
      <c r="P603" t="s">
        <v>26</v>
      </c>
      <c r="Q603">
        <v>0</v>
      </c>
    </row>
    <row r="604" spans="1:17" x14ac:dyDescent="0.25">
      <c r="A604" t="s">
        <v>29</v>
      </c>
      <c r="B604" t="s">
        <v>36</v>
      </c>
      <c r="C604">
        <v>225000</v>
      </c>
      <c r="D604" t="s">
        <v>19</v>
      </c>
      <c r="E604" t="s">
        <v>20</v>
      </c>
      <c r="F604" t="s">
        <v>39</v>
      </c>
      <c r="G604" t="s">
        <v>22</v>
      </c>
      <c r="H604" t="s">
        <v>23</v>
      </c>
      <c r="I604" t="s">
        <v>24</v>
      </c>
      <c r="J604">
        <v>167161.5</v>
      </c>
      <c r="K604">
        <v>112500</v>
      </c>
      <c r="L604" t="s">
        <v>45</v>
      </c>
      <c r="M604" t="s">
        <v>26</v>
      </c>
      <c r="N604" t="s">
        <v>27</v>
      </c>
      <c r="O604" t="s">
        <v>28</v>
      </c>
      <c r="P604" t="s">
        <v>26</v>
      </c>
      <c r="Q604">
        <v>0</v>
      </c>
    </row>
    <row r="605" spans="1:17" x14ac:dyDescent="0.25">
      <c r="A605" t="s">
        <v>29</v>
      </c>
      <c r="B605" t="s">
        <v>18</v>
      </c>
      <c r="C605">
        <v>202500</v>
      </c>
      <c r="D605" t="s">
        <v>44</v>
      </c>
      <c r="E605" t="s">
        <v>20</v>
      </c>
      <c r="F605" t="s">
        <v>21</v>
      </c>
      <c r="G605" t="s">
        <v>73</v>
      </c>
      <c r="H605" t="s">
        <v>23</v>
      </c>
      <c r="I605" t="s">
        <v>24</v>
      </c>
      <c r="J605">
        <v>66600</v>
      </c>
      <c r="K605">
        <v>0</v>
      </c>
      <c r="L605" t="s">
        <v>45</v>
      </c>
      <c r="M605" t="s">
        <v>26</v>
      </c>
      <c r="N605" t="s">
        <v>27</v>
      </c>
      <c r="O605" t="s">
        <v>35</v>
      </c>
      <c r="P605" t="s">
        <v>26</v>
      </c>
      <c r="Q605">
        <v>0</v>
      </c>
    </row>
    <row r="606" spans="1:17" x14ac:dyDescent="0.25">
      <c r="A606" t="s">
        <v>29</v>
      </c>
      <c r="B606" t="s">
        <v>18</v>
      </c>
      <c r="C606">
        <v>202500</v>
      </c>
      <c r="D606" t="s">
        <v>44</v>
      </c>
      <c r="E606" t="s">
        <v>20</v>
      </c>
      <c r="F606" t="s">
        <v>21</v>
      </c>
      <c r="G606" t="s">
        <v>73</v>
      </c>
      <c r="H606" t="s">
        <v>23</v>
      </c>
      <c r="I606" t="s">
        <v>24</v>
      </c>
      <c r="J606">
        <v>62050.5</v>
      </c>
      <c r="K606">
        <v>22500</v>
      </c>
      <c r="L606" t="s">
        <v>42</v>
      </c>
      <c r="M606" t="s">
        <v>26</v>
      </c>
      <c r="N606" t="s">
        <v>58</v>
      </c>
      <c r="O606" t="s">
        <v>35</v>
      </c>
      <c r="P606" t="s">
        <v>60</v>
      </c>
      <c r="Q606">
        <v>1</v>
      </c>
    </row>
    <row r="607" spans="1:17" x14ac:dyDescent="0.25">
      <c r="A607" t="s">
        <v>29</v>
      </c>
      <c r="B607" t="s">
        <v>18</v>
      </c>
      <c r="C607">
        <v>202500</v>
      </c>
      <c r="D607" t="s">
        <v>44</v>
      </c>
      <c r="E607" t="s">
        <v>20</v>
      </c>
      <c r="F607" t="s">
        <v>21</v>
      </c>
      <c r="G607" t="s">
        <v>73</v>
      </c>
      <c r="H607" t="s">
        <v>23</v>
      </c>
      <c r="I607" t="s">
        <v>24</v>
      </c>
      <c r="J607">
        <v>124330.5</v>
      </c>
      <c r="K607">
        <v>0</v>
      </c>
      <c r="L607" t="s">
        <v>34</v>
      </c>
      <c r="M607" t="s">
        <v>26</v>
      </c>
      <c r="N607" t="s">
        <v>27</v>
      </c>
      <c r="O607" t="s">
        <v>35</v>
      </c>
      <c r="P607" t="s">
        <v>26</v>
      </c>
      <c r="Q607">
        <v>0</v>
      </c>
    </row>
    <row r="608" spans="1:17" x14ac:dyDescent="0.25">
      <c r="A608" t="s">
        <v>29</v>
      </c>
      <c r="B608" t="s">
        <v>36</v>
      </c>
      <c r="C608">
        <v>202500</v>
      </c>
      <c r="D608" t="s">
        <v>44</v>
      </c>
      <c r="E608" t="s">
        <v>31</v>
      </c>
      <c r="F608" t="s">
        <v>32</v>
      </c>
      <c r="G608" t="s">
        <v>73</v>
      </c>
      <c r="H608" t="s">
        <v>56</v>
      </c>
      <c r="I608" t="s">
        <v>24</v>
      </c>
      <c r="J608">
        <v>206280</v>
      </c>
      <c r="K608">
        <v>20628</v>
      </c>
      <c r="L608" t="s">
        <v>38</v>
      </c>
      <c r="M608" t="s">
        <v>26</v>
      </c>
      <c r="N608" t="s">
        <v>27</v>
      </c>
      <c r="O608" t="s">
        <v>35</v>
      </c>
      <c r="P608" t="s">
        <v>26</v>
      </c>
      <c r="Q608">
        <v>0</v>
      </c>
    </row>
    <row r="609" spans="1:17" x14ac:dyDescent="0.25">
      <c r="A609" t="s">
        <v>29</v>
      </c>
      <c r="B609" t="s">
        <v>36</v>
      </c>
      <c r="C609">
        <v>202500</v>
      </c>
      <c r="D609" t="s">
        <v>44</v>
      </c>
      <c r="E609" t="s">
        <v>31</v>
      </c>
      <c r="F609" t="s">
        <v>32</v>
      </c>
      <c r="G609" t="s">
        <v>73</v>
      </c>
      <c r="H609" t="s">
        <v>56</v>
      </c>
      <c r="I609" t="s">
        <v>24</v>
      </c>
      <c r="J609">
        <v>40455</v>
      </c>
      <c r="K609">
        <v>9000</v>
      </c>
      <c r="L609" t="s">
        <v>45</v>
      </c>
      <c r="M609" t="s">
        <v>26</v>
      </c>
      <c r="N609" t="s">
        <v>27</v>
      </c>
      <c r="O609" t="s">
        <v>35</v>
      </c>
      <c r="P609" t="s">
        <v>26</v>
      </c>
      <c r="Q609">
        <v>0</v>
      </c>
    </row>
    <row r="610" spans="1:17" x14ac:dyDescent="0.25">
      <c r="A610" t="s">
        <v>29</v>
      </c>
      <c r="B610" t="s">
        <v>36</v>
      </c>
      <c r="C610">
        <v>202500</v>
      </c>
      <c r="D610" t="s">
        <v>44</v>
      </c>
      <c r="E610" t="s">
        <v>31</v>
      </c>
      <c r="F610" t="s">
        <v>32</v>
      </c>
      <c r="G610" t="s">
        <v>73</v>
      </c>
      <c r="H610" t="s">
        <v>56</v>
      </c>
      <c r="I610" t="s">
        <v>66</v>
      </c>
      <c r="J610">
        <v>301500</v>
      </c>
      <c r="K610">
        <v>0</v>
      </c>
      <c r="L610" t="s">
        <v>43</v>
      </c>
      <c r="M610" t="s">
        <v>28</v>
      </c>
      <c r="N610" t="s">
        <v>27</v>
      </c>
      <c r="O610" t="s">
        <v>35</v>
      </c>
      <c r="P610" t="s">
        <v>26</v>
      </c>
      <c r="Q610">
        <v>0</v>
      </c>
    </row>
    <row r="611" spans="1:17" x14ac:dyDescent="0.25">
      <c r="A611" t="s">
        <v>29</v>
      </c>
      <c r="B611" t="s">
        <v>18</v>
      </c>
      <c r="C611">
        <v>189000</v>
      </c>
      <c r="D611" t="s">
        <v>46</v>
      </c>
      <c r="E611" t="s">
        <v>20</v>
      </c>
      <c r="F611" t="s">
        <v>32</v>
      </c>
      <c r="G611" t="s">
        <v>22</v>
      </c>
      <c r="H611" t="s">
        <v>28</v>
      </c>
      <c r="I611" t="s">
        <v>24</v>
      </c>
      <c r="J611">
        <v>25605</v>
      </c>
      <c r="K611">
        <v>0</v>
      </c>
      <c r="L611" t="s">
        <v>42</v>
      </c>
      <c r="M611" t="s">
        <v>26</v>
      </c>
      <c r="N611" t="s">
        <v>76</v>
      </c>
      <c r="O611" t="s">
        <v>35</v>
      </c>
      <c r="P611" t="s">
        <v>77</v>
      </c>
      <c r="Q611">
        <v>0</v>
      </c>
    </row>
    <row r="612" spans="1:17" x14ac:dyDescent="0.25">
      <c r="A612" t="s">
        <v>17</v>
      </c>
      <c r="B612" t="s">
        <v>18</v>
      </c>
      <c r="C612">
        <v>202500</v>
      </c>
      <c r="D612" t="s">
        <v>44</v>
      </c>
      <c r="E612" t="s">
        <v>20</v>
      </c>
      <c r="F612" t="s">
        <v>39</v>
      </c>
      <c r="G612" t="s">
        <v>62</v>
      </c>
      <c r="H612" t="s">
        <v>71</v>
      </c>
      <c r="I612" t="s">
        <v>24</v>
      </c>
      <c r="J612">
        <v>102960</v>
      </c>
      <c r="K612">
        <v>0</v>
      </c>
      <c r="L612" t="s">
        <v>34</v>
      </c>
      <c r="M612" t="s">
        <v>26</v>
      </c>
      <c r="N612" t="s">
        <v>58</v>
      </c>
      <c r="O612" t="s">
        <v>35</v>
      </c>
      <c r="P612" t="s">
        <v>59</v>
      </c>
      <c r="Q612">
        <v>1</v>
      </c>
    </row>
    <row r="613" spans="1:17" x14ac:dyDescent="0.25">
      <c r="A613" t="s">
        <v>17</v>
      </c>
      <c r="B613" t="s">
        <v>18</v>
      </c>
      <c r="C613">
        <v>202500</v>
      </c>
      <c r="D613" t="s">
        <v>44</v>
      </c>
      <c r="E613" t="s">
        <v>20</v>
      </c>
      <c r="F613" t="s">
        <v>39</v>
      </c>
      <c r="G613" t="s">
        <v>62</v>
      </c>
      <c r="H613" t="s">
        <v>71</v>
      </c>
      <c r="I613" t="s">
        <v>24</v>
      </c>
      <c r="J613">
        <v>139491</v>
      </c>
      <c r="K613">
        <v>0</v>
      </c>
      <c r="L613" t="s">
        <v>45</v>
      </c>
      <c r="M613" t="s">
        <v>26</v>
      </c>
      <c r="N613" t="s">
        <v>27</v>
      </c>
      <c r="O613" t="s">
        <v>28</v>
      </c>
      <c r="P613" t="s">
        <v>26</v>
      </c>
      <c r="Q613">
        <v>0</v>
      </c>
    </row>
    <row r="614" spans="1:17" x14ac:dyDescent="0.25">
      <c r="A614" t="s">
        <v>17</v>
      </c>
      <c r="B614" t="s">
        <v>18</v>
      </c>
      <c r="C614">
        <v>202500</v>
      </c>
      <c r="D614" t="s">
        <v>44</v>
      </c>
      <c r="E614" t="s">
        <v>20</v>
      </c>
      <c r="F614" t="s">
        <v>39</v>
      </c>
      <c r="G614" t="s">
        <v>62</v>
      </c>
      <c r="H614" t="s">
        <v>71</v>
      </c>
      <c r="I614" t="s">
        <v>24</v>
      </c>
      <c r="J614">
        <v>98518.5</v>
      </c>
      <c r="K614">
        <v>0</v>
      </c>
      <c r="L614" t="s">
        <v>25</v>
      </c>
      <c r="M614" t="s">
        <v>26</v>
      </c>
      <c r="N614" t="s">
        <v>27</v>
      </c>
      <c r="O614" t="s">
        <v>28</v>
      </c>
      <c r="P614" t="s">
        <v>26</v>
      </c>
      <c r="Q614">
        <v>0</v>
      </c>
    </row>
    <row r="615" spans="1:17" x14ac:dyDescent="0.25">
      <c r="A615" t="s">
        <v>17</v>
      </c>
      <c r="B615" t="s">
        <v>18</v>
      </c>
      <c r="C615">
        <v>202500</v>
      </c>
      <c r="D615" t="s">
        <v>44</v>
      </c>
      <c r="E615" t="s">
        <v>20</v>
      </c>
      <c r="F615" t="s">
        <v>39</v>
      </c>
      <c r="G615" t="s">
        <v>62</v>
      </c>
      <c r="H615" t="s">
        <v>71</v>
      </c>
      <c r="I615" t="s">
        <v>24</v>
      </c>
      <c r="J615">
        <v>108517.5</v>
      </c>
      <c r="K615">
        <v>21703.5</v>
      </c>
      <c r="L615" t="s">
        <v>45</v>
      </c>
      <c r="M615" t="s">
        <v>26</v>
      </c>
      <c r="N615" t="s">
        <v>27</v>
      </c>
      <c r="O615" t="s">
        <v>28</v>
      </c>
      <c r="P615" t="s">
        <v>26</v>
      </c>
      <c r="Q615">
        <v>0</v>
      </c>
    </row>
    <row r="616" spans="1:17" x14ac:dyDescent="0.25">
      <c r="A616" t="s">
        <v>17</v>
      </c>
      <c r="B616" t="s">
        <v>18</v>
      </c>
      <c r="C616">
        <v>202500</v>
      </c>
      <c r="D616" t="s">
        <v>44</v>
      </c>
      <c r="E616" t="s">
        <v>20</v>
      </c>
      <c r="F616" t="s">
        <v>39</v>
      </c>
      <c r="G616" t="s">
        <v>62</v>
      </c>
      <c r="H616" t="s">
        <v>71</v>
      </c>
      <c r="I616" t="s">
        <v>24</v>
      </c>
      <c r="J616">
        <v>102960</v>
      </c>
      <c r="K616">
        <v>0</v>
      </c>
      <c r="L616" t="s">
        <v>43</v>
      </c>
      <c r="M616" t="s">
        <v>26</v>
      </c>
      <c r="N616" t="s">
        <v>58</v>
      </c>
      <c r="O616" t="s">
        <v>35</v>
      </c>
      <c r="P616" t="s">
        <v>59</v>
      </c>
      <c r="Q616">
        <v>1</v>
      </c>
    </row>
    <row r="617" spans="1:17" x14ac:dyDescent="0.25">
      <c r="A617" t="s">
        <v>17</v>
      </c>
      <c r="B617" t="s">
        <v>18</v>
      </c>
      <c r="C617">
        <v>202500</v>
      </c>
      <c r="D617" t="s">
        <v>44</v>
      </c>
      <c r="E617" t="s">
        <v>20</v>
      </c>
      <c r="F617" t="s">
        <v>39</v>
      </c>
      <c r="G617" t="s">
        <v>62</v>
      </c>
      <c r="H617" t="s">
        <v>71</v>
      </c>
      <c r="I617" t="s">
        <v>24</v>
      </c>
      <c r="J617">
        <v>32836.5</v>
      </c>
      <c r="K617">
        <v>3285</v>
      </c>
      <c r="L617" t="s">
        <v>42</v>
      </c>
      <c r="M617" t="s">
        <v>26</v>
      </c>
      <c r="N617" t="s">
        <v>27</v>
      </c>
      <c r="O617" t="s">
        <v>28</v>
      </c>
      <c r="P617" t="s">
        <v>26</v>
      </c>
      <c r="Q617">
        <v>0</v>
      </c>
    </row>
    <row r="618" spans="1:17" x14ac:dyDescent="0.25">
      <c r="A618" t="s">
        <v>17</v>
      </c>
      <c r="B618" t="s">
        <v>18</v>
      </c>
      <c r="C618">
        <v>202500</v>
      </c>
      <c r="D618" t="s">
        <v>44</v>
      </c>
      <c r="E618" t="s">
        <v>20</v>
      </c>
      <c r="F618" t="s">
        <v>39</v>
      </c>
      <c r="G618" t="s">
        <v>62</v>
      </c>
      <c r="H618" t="s">
        <v>71</v>
      </c>
      <c r="I618" t="s">
        <v>24</v>
      </c>
      <c r="J618">
        <v>120285</v>
      </c>
      <c r="K618">
        <v>0</v>
      </c>
      <c r="L618" t="s">
        <v>34</v>
      </c>
      <c r="M618" t="s">
        <v>26</v>
      </c>
      <c r="N618" t="s">
        <v>27</v>
      </c>
      <c r="O618" t="s">
        <v>35</v>
      </c>
      <c r="P618" t="s">
        <v>26</v>
      </c>
      <c r="Q618">
        <v>0</v>
      </c>
    </row>
    <row r="619" spans="1:17" x14ac:dyDescent="0.25">
      <c r="A619" t="s">
        <v>17</v>
      </c>
      <c r="B619" t="s">
        <v>18</v>
      </c>
      <c r="C619">
        <v>202500</v>
      </c>
      <c r="D619" t="s">
        <v>44</v>
      </c>
      <c r="E619" t="s">
        <v>20</v>
      </c>
      <c r="F619" t="s">
        <v>39</v>
      </c>
      <c r="G619" t="s">
        <v>62</v>
      </c>
      <c r="H619" t="s">
        <v>71</v>
      </c>
      <c r="I619" t="s">
        <v>24</v>
      </c>
      <c r="J619">
        <v>101700</v>
      </c>
      <c r="K619">
        <v>0</v>
      </c>
      <c r="L619" t="s">
        <v>25</v>
      </c>
      <c r="M619" t="s">
        <v>26</v>
      </c>
      <c r="N619" t="s">
        <v>76</v>
      </c>
      <c r="O619" t="s">
        <v>35</v>
      </c>
      <c r="P619" t="s">
        <v>77</v>
      </c>
      <c r="Q619">
        <v>0</v>
      </c>
    </row>
    <row r="620" spans="1:17" x14ac:dyDescent="0.25">
      <c r="A620" t="s">
        <v>29</v>
      </c>
      <c r="B620" t="s">
        <v>36</v>
      </c>
      <c r="C620">
        <v>450000</v>
      </c>
      <c r="D620" t="s">
        <v>44</v>
      </c>
      <c r="E620" t="s">
        <v>31</v>
      </c>
      <c r="F620" t="s">
        <v>32</v>
      </c>
      <c r="G620" t="s">
        <v>22</v>
      </c>
      <c r="H620" t="s">
        <v>92</v>
      </c>
      <c r="I620" t="s">
        <v>24</v>
      </c>
      <c r="J620">
        <v>116928</v>
      </c>
      <c r="K620">
        <v>0</v>
      </c>
      <c r="L620" t="s">
        <v>42</v>
      </c>
      <c r="M620" t="s">
        <v>26</v>
      </c>
      <c r="N620" t="s">
        <v>27</v>
      </c>
      <c r="O620" t="s">
        <v>35</v>
      </c>
      <c r="P620" t="s">
        <v>26</v>
      </c>
      <c r="Q620">
        <v>0</v>
      </c>
    </row>
    <row r="621" spans="1:17" x14ac:dyDescent="0.25">
      <c r="A621" t="s">
        <v>29</v>
      </c>
      <c r="B621" t="s">
        <v>36</v>
      </c>
      <c r="C621">
        <v>450000</v>
      </c>
      <c r="D621" t="s">
        <v>44</v>
      </c>
      <c r="E621" t="s">
        <v>31</v>
      </c>
      <c r="F621" t="s">
        <v>32</v>
      </c>
      <c r="G621" t="s">
        <v>22</v>
      </c>
      <c r="H621" t="s">
        <v>92</v>
      </c>
      <c r="I621" t="s">
        <v>24</v>
      </c>
      <c r="J621">
        <v>260955</v>
      </c>
      <c r="K621">
        <v>0</v>
      </c>
      <c r="L621" t="s">
        <v>43</v>
      </c>
      <c r="M621" t="s">
        <v>26</v>
      </c>
      <c r="N621" t="s">
        <v>58</v>
      </c>
      <c r="O621" t="s">
        <v>35</v>
      </c>
      <c r="P621" t="s">
        <v>67</v>
      </c>
      <c r="Q621">
        <v>1</v>
      </c>
    </row>
    <row r="622" spans="1:17" x14ac:dyDescent="0.25">
      <c r="A622" t="s">
        <v>29</v>
      </c>
      <c r="B622" t="s">
        <v>18</v>
      </c>
      <c r="C622">
        <v>85500</v>
      </c>
      <c r="D622" t="s">
        <v>19</v>
      </c>
      <c r="E622" t="s">
        <v>20</v>
      </c>
      <c r="F622" t="s">
        <v>32</v>
      </c>
      <c r="G622" t="s">
        <v>22</v>
      </c>
      <c r="H622" t="s">
        <v>49</v>
      </c>
      <c r="I622" t="s">
        <v>24</v>
      </c>
      <c r="J622">
        <v>82440</v>
      </c>
      <c r="K622">
        <v>0</v>
      </c>
      <c r="L622" t="s">
        <v>51</v>
      </c>
      <c r="M622" t="s">
        <v>26</v>
      </c>
      <c r="N622" t="s">
        <v>27</v>
      </c>
      <c r="O622" t="s">
        <v>35</v>
      </c>
      <c r="P622" t="s">
        <v>26</v>
      </c>
      <c r="Q622">
        <v>0</v>
      </c>
    </row>
    <row r="623" spans="1:17" x14ac:dyDescent="0.25">
      <c r="A623" t="s">
        <v>29</v>
      </c>
      <c r="B623" t="s">
        <v>18</v>
      </c>
      <c r="C623">
        <v>180000</v>
      </c>
      <c r="D623" t="s">
        <v>44</v>
      </c>
      <c r="E623" t="s">
        <v>20</v>
      </c>
      <c r="F623" t="s">
        <v>32</v>
      </c>
      <c r="G623" t="s">
        <v>22</v>
      </c>
      <c r="H623" t="s">
        <v>23</v>
      </c>
      <c r="I623" t="s">
        <v>24</v>
      </c>
      <c r="J623">
        <v>117058.5</v>
      </c>
      <c r="K623">
        <v>0</v>
      </c>
      <c r="L623" t="s">
        <v>38</v>
      </c>
      <c r="M623" t="s">
        <v>26</v>
      </c>
      <c r="N623" t="s">
        <v>27</v>
      </c>
      <c r="O623" t="s">
        <v>35</v>
      </c>
      <c r="P623" t="s">
        <v>26</v>
      </c>
      <c r="Q623">
        <v>0</v>
      </c>
    </row>
    <row r="624" spans="1:17" x14ac:dyDescent="0.25">
      <c r="A624" t="s">
        <v>29</v>
      </c>
      <c r="B624" t="s">
        <v>18</v>
      </c>
      <c r="C624">
        <v>157500</v>
      </c>
      <c r="D624" t="s">
        <v>44</v>
      </c>
      <c r="E624" t="s">
        <v>20</v>
      </c>
      <c r="F624" t="s">
        <v>32</v>
      </c>
      <c r="G624" t="s">
        <v>22</v>
      </c>
      <c r="H624" t="s">
        <v>23</v>
      </c>
      <c r="I624" t="s">
        <v>24</v>
      </c>
      <c r="J624">
        <v>143955</v>
      </c>
      <c r="K624">
        <v>14395.5</v>
      </c>
      <c r="L624" t="s">
        <v>25</v>
      </c>
      <c r="M624" t="s">
        <v>26</v>
      </c>
      <c r="N624" t="s">
        <v>27</v>
      </c>
      <c r="O624" t="s">
        <v>35</v>
      </c>
      <c r="P624" t="s">
        <v>26</v>
      </c>
      <c r="Q624">
        <v>0</v>
      </c>
    </row>
    <row r="625" spans="1:17" x14ac:dyDescent="0.25">
      <c r="A625" t="s">
        <v>29</v>
      </c>
      <c r="B625" t="s">
        <v>18</v>
      </c>
      <c r="C625">
        <v>157500</v>
      </c>
      <c r="D625" t="s">
        <v>46</v>
      </c>
      <c r="E625" t="s">
        <v>20</v>
      </c>
      <c r="F625" t="s">
        <v>21</v>
      </c>
      <c r="G625" t="s">
        <v>22</v>
      </c>
      <c r="H625" t="s">
        <v>28</v>
      </c>
      <c r="I625" t="s">
        <v>24</v>
      </c>
      <c r="J625">
        <v>17055</v>
      </c>
      <c r="K625">
        <v>1800</v>
      </c>
      <c r="L625" t="s">
        <v>38</v>
      </c>
      <c r="M625" t="s">
        <v>26</v>
      </c>
      <c r="N625" t="s">
        <v>27</v>
      </c>
      <c r="O625" t="s">
        <v>35</v>
      </c>
      <c r="P625" t="s">
        <v>26</v>
      </c>
      <c r="Q625">
        <v>0</v>
      </c>
    </row>
    <row r="626" spans="1:17" x14ac:dyDescent="0.25">
      <c r="A626" t="s">
        <v>29</v>
      </c>
      <c r="B626" t="s">
        <v>18</v>
      </c>
      <c r="C626">
        <v>117000</v>
      </c>
      <c r="D626" t="s">
        <v>46</v>
      </c>
      <c r="E626" t="s">
        <v>20</v>
      </c>
      <c r="F626" t="s">
        <v>54</v>
      </c>
      <c r="G626" t="s">
        <v>22</v>
      </c>
      <c r="H626" t="s">
        <v>28</v>
      </c>
      <c r="I626" t="s">
        <v>24</v>
      </c>
      <c r="J626">
        <v>126886.5</v>
      </c>
      <c r="K626">
        <v>0</v>
      </c>
      <c r="L626" t="s">
        <v>34</v>
      </c>
      <c r="M626" t="s">
        <v>26</v>
      </c>
      <c r="N626" t="s">
        <v>27</v>
      </c>
      <c r="O626" t="s">
        <v>35</v>
      </c>
      <c r="P626" t="s">
        <v>26</v>
      </c>
      <c r="Q626">
        <v>0</v>
      </c>
    </row>
    <row r="627" spans="1:17" x14ac:dyDescent="0.25">
      <c r="A627" t="s">
        <v>29</v>
      </c>
      <c r="B627" t="s">
        <v>18</v>
      </c>
      <c r="C627">
        <v>112500</v>
      </c>
      <c r="D627" t="s">
        <v>46</v>
      </c>
      <c r="E627" t="s">
        <v>20</v>
      </c>
      <c r="F627" t="s">
        <v>54</v>
      </c>
      <c r="G627" t="s">
        <v>73</v>
      </c>
      <c r="H627" t="s">
        <v>28</v>
      </c>
      <c r="I627" t="s">
        <v>24</v>
      </c>
      <c r="J627">
        <v>62955</v>
      </c>
      <c r="K627">
        <v>12600</v>
      </c>
      <c r="L627" t="s">
        <v>45</v>
      </c>
      <c r="M627" t="s">
        <v>26</v>
      </c>
      <c r="N627" t="s">
        <v>27</v>
      </c>
      <c r="O627" t="s">
        <v>35</v>
      </c>
      <c r="P627" t="s">
        <v>26</v>
      </c>
      <c r="Q627">
        <v>0</v>
      </c>
    </row>
    <row r="628" spans="1:17" x14ac:dyDescent="0.25">
      <c r="A628" t="s">
        <v>29</v>
      </c>
      <c r="B628" t="s">
        <v>18</v>
      </c>
      <c r="C628">
        <v>135000</v>
      </c>
      <c r="D628" t="s">
        <v>19</v>
      </c>
      <c r="E628" t="s">
        <v>20</v>
      </c>
      <c r="F628" t="s">
        <v>21</v>
      </c>
      <c r="G628" t="s">
        <v>22</v>
      </c>
      <c r="H628" t="s">
        <v>23</v>
      </c>
      <c r="I628" t="s">
        <v>24</v>
      </c>
      <c r="J628">
        <v>96772.5</v>
      </c>
      <c r="K628">
        <v>0</v>
      </c>
      <c r="L628" t="s">
        <v>51</v>
      </c>
      <c r="M628" t="s">
        <v>26</v>
      </c>
      <c r="N628" t="s">
        <v>27</v>
      </c>
      <c r="O628" t="s">
        <v>35</v>
      </c>
      <c r="P628" t="s">
        <v>26</v>
      </c>
      <c r="Q628">
        <v>0</v>
      </c>
    </row>
    <row r="629" spans="1:17" x14ac:dyDescent="0.25">
      <c r="A629" t="s">
        <v>29</v>
      </c>
      <c r="B629" t="s">
        <v>18</v>
      </c>
      <c r="C629">
        <v>157500</v>
      </c>
      <c r="D629" t="s">
        <v>46</v>
      </c>
      <c r="E629" t="s">
        <v>20</v>
      </c>
      <c r="F629" t="s">
        <v>32</v>
      </c>
      <c r="G629" t="s">
        <v>22</v>
      </c>
      <c r="H629" t="s">
        <v>28</v>
      </c>
      <c r="I629" t="s">
        <v>24</v>
      </c>
      <c r="J629">
        <v>19305</v>
      </c>
      <c r="K629">
        <v>1930.5</v>
      </c>
      <c r="L629" t="s">
        <v>45</v>
      </c>
      <c r="M629" t="s">
        <v>26</v>
      </c>
      <c r="N629" t="s">
        <v>27</v>
      </c>
      <c r="O629" t="s">
        <v>35</v>
      </c>
      <c r="P629" t="s">
        <v>26</v>
      </c>
      <c r="Q629">
        <v>0</v>
      </c>
    </row>
    <row r="630" spans="1:17" x14ac:dyDescent="0.25">
      <c r="A630" t="s">
        <v>29</v>
      </c>
      <c r="B630" t="s">
        <v>18</v>
      </c>
      <c r="C630">
        <v>157500</v>
      </c>
      <c r="D630" t="s">
        <v>46</v>
      </c>
      <c r="E630" t="s">
        <v>20</v>
      </c>
      <c r="F630" t="s">
        <v>32</v>
      </c>
      <c r="G630" t="s">
        <v>22</v>
      </c>
      <c r="H630" t="s">
        <v>28</v>
      </c>
      <c r="I630" t="s">
        <v>24</v>
      </c>
      <c r="J630">
        <v>21771</v>
      </c>
      <c r="K630">
        <v>0</v>
      </c>
      <c r="L630" t="s">
        <v>45</v>
      </c>
      <c r="M630" t="s">
        <v>26</v>
      </c>
      <c r="N630" t="s">
        <v>27</v>
      </c>
      <c r="O630" t="s">
        <v>35</v>
      </c>
      <c r="P630" t="s">
        <v>26</v>
      </c>
      <c r="Q630">
        <v>0</v>
      </c>
    </row>
    <row r="631" spans="1:17" x14ac:dyDescent="0.25">
      <c r="A631" t="s">
        <v>29</v>
      </c>
      <c r="B631" t="s">
        <v>36</v>
      </c>
      <c r="C631">
        <v>180000</v>
      </c>
      <c r="D631" t="s">
        <v>19</v>
      </c>
      <c r="E631" t="s">
        <v>20</v>
      </c>
      <c r="F631" t="s">
        <v>32</v>
      </c>
      <c r="G631" t="s">
        <v>22</v>
      </c>
      <c r="H631" t="s">
        <v>23</v>
      </c>
      <c r="I631" t="s">
        <v>24</v>
      </c>
      <c r="J631">
        <v>25740</v>
      </c>
      <c r="K631">
        <v>0</v>
      </c>
      <c r="L631" t="s">
        <v>25</v>
      </c>
      <c r="M631" t="s">
        <v>26</v>
      </c>
      <c r="N631" t="s">
        <v>27</v>
      </c>
      <c r="O631" t="s">
        <v>35</v>
      </c>
      <c r="P631" t="s">
        <v>26</v>
      </c>
      <c r="Q631">
        <v>0</v>
      </c>
    </row>
    <row r="632" spans="1:17" x14ac:dyDescent="0.25">
      <c r="A632" t="s">
        <v>29</v>
      </c>
      <c r="B632" t="s">
        <v>36</v>
      </c>
      <c r="C632">
        <v>180000</v>
      </c>
      <c r="D632" t="s">
        <v>19</v>
      </c>
      <c r="E632" t="s">
        <v>20</v>
      </c>
      <c r="F632" t="s">
        <v>32</v>
      </c>
      <c r="G632" t="s">
        <v>22</v>
      </c>
      <c r="H632" t="s">
        <v>23</v>
      </c>
      <c r="I632" t="s">
        <v>24</v>
      </c>
      <c r="J632">
        <v>25740</v>
      </c>
      <c r="K632">
        <v>0</v>
      </c>
      <c r="L632" t="s">
        <v>34</v>
      </c>
      <c r="M632" t="s">
        <v>26</v>
      </c>
      <c r="N632" t="s">
        <v>27</v>
      </c>
      <c r="O632" t="s">
        <v>35</v>
      </c>
      <c r="P632" t="s">
        <v>26</v>
      </c>
      <c r="Q632">
        <v>0</v>
      </c>
    </row>
    <row r="633" spans="1:17" x14ac:dyDescent="0.25">
      <c r="A633" t="s">
        <v>29</v>
      </c>
      <c r="B633" t="s">
        <v>36</v>
      </c>
      <c r="C633">
        <v>180000</v>
      </c>
      <c r="D633" t="s">
        <v>19</v>
      </c>
      <c r="E633" t="s">
        <v>20</v>
      </c>
      <c r="F633" t="s">
        <v>32</v>
      </c>
      <c r="G633" t="s">
        <v>22</v>
      </c>
      <c r="H633" t="s">
        <v>23</v>
      </c>
      <c r="I633" t="s">
        <v>24</v>
      </c>
      <c r="J633">
        <v>59796</v>
      </c>
      <c r="K633">
        <v>0</v>
      </c>
      <c r="L633" t="s">
        <v>43</v>
      </c>
      <c r="M633" t="s">
        <v>26</v>
      </c>
      <c r="N633" t="s">
        <v>76</v>
      </c>
      <c r="O633" t="s">
        <v>35</v>
      </c>
      <c r="P633" t="s">
        <v>77</v>
      </c>
      <c r="Q633">
        <v>0</v>
      </c>
    </row>
    <row r="634" spans="1:17" x14ac:dyDescent="0.25">
      <c r="A634" t="s">
        <v>29</v>
      </c>
      <c r="B634" t="s">
        <v>36</v>
      </c>
      <c r="C634">
        <v>180000</v>
      </c>
      <c r="D634" t="s">
        <v>19</v>
      </c>
      <c r="E634" t="s">
        <v>20</v>
      </c>
      <c r="F634" t="s">
        <v>32</v>
      </c>
      <c r="G634" t="s">
        <v>22</v>
      </c>
      <c r="H634" t="s">
        <v>23</v>
      </c>
      <c r="I634" t="s">
        <v>24</v>
      </c>
      <c r="J634">
        <v>48375</v>
      </c>
      <c r="K634">
        <v>0</v>
      </c>
      <c r="L634" t="s">
        <v>42</v>
      </c>
      <c r="M634" t="s">
        <v>26</v>
      </c>
      <c r="N634" t="s">
        <v>27</v>
      </c>
      <c r="O634" t="s">
        <v>35</v>
      </c>
      <c r="P634" t="s">
        <v>26</v>
      </c>
      <c r="Q634">
        <v>0</v>
      </c>
    </row>
    <row r="635" spans="1:17" x14ac:dyDescent="0.25">
      <c r="A635" t="s">
        <v>17</v>
      </c>
      <c r="B635" t="s">
        <v>36</v>
      </c>
      <c r="C635">
        <v>225000</v>
      </c>
      <c r="D635" t="s">
        <v>44</v>
      </c>
      <c r="E635" t="s">
        <v>20</v>
      </c>
      <c r="F635" t="s">
        <v>32</v>
      </c>
      <c r="G635" t="s">
        <v>22</v>
      </c>
      <c r="H635" t="s">
        <v>23</v>
      </c>
      <c r="I635" t="s">
        <v>24</v>
      </c>
      <c r="J635">
        <v>64651.5</v>
      </c>
      <c r="K635">
        <v>0</v>
      </c>
      <c r="L635" t="s">
        <v>25</v>
      </c>
      <c r="M635" t="s">
        <v>26</v>
      </c>
      <c r="N635" t="s">
        <v>27</v>
      </c>
      <c r="O635" t="s">
        <v>35</v>
      </c>
      <c r="P635" t="s">
        <v>26</v>
      </c>
      <c r="Q635">
        <v>0</v>
      </c>
    </row>
    <row r="636" spans="1:17" x14ac:dyDescent="0.25">
      <c r="A636" t="s">
        <v>17</v>
      </c>
      <c r="B636" t="s">
        <v>18</v>
      </c>
      <c r="C636">
        <v>112500</v>
      </c>
      <c r="D636" t="s">
        <v>19</v>
      </c>
      <c r="E636" t="s">
        <v>20</v>
      </c>
      <c r="F636" t="s">
        <v>32</v>
      </c>
      <c r="G636" t="s">
        <v>22</v>
      </c>
      <c r="H636" t="s">
        <v>23</v>
      </c>
      <c r="I636" t="s">
        <v>24</v>
      </c>
      <c r="J636">
        <v>45850.5</v>
      </c>
      <c r="K636">
        <v>9000</v>
      </c>
      <c r="L636" t="s">
        <v>45</v>
      </c>
      <c r="M636" t="s">
        <v>26</v>
      </c>
      <c r="N636" t="s">
        <v>27</v>
      </c>
      <c r="O636" t="s">
        <v>35</v>
      </c>
      <c r="P636" t="s">
        <v>26</v>
      </c>
      <c r="Q636">
        <v>0</v>
      </c>
    </row>
    <row r="637" spans="1:17" x14ac:dyDescent="0.25">
      <c r="A637" t="s">
        <v>17</v>
      </c>
      <c r="B637" t="s">
        <v>18</v>
      </c>
      <c r="C637">
        <v>112500</v>
      </c>
      <c r="D637" t="s">
        <v>19</v>
      </c>
      <c r="E637" t="s">
        <v>20</v>
      </c>
      <c r="F637" t="s">
        <v>32</v>
      </c>
      <c r="G637" t="s">
        <v>22</v>
      </c>
      <c r="H637" t="s">
        <v>23</v>
      </c>
      <c r="I637" t="s">
        <v>24</v>
      </c>
      <c r="J637">
        <v>43987.5</v>
      </c>
      <c r="K637">
        <v>8797.5</v>
      </c>
      <c r="L637" t="s">
        <v>34</v>
      </c>
      <c r="M637" t="s">
        <v>26</v>
      </c>
      <c r="N637" t="s">
        <v>27</v>
      </c>
      <c r="O637" t="s">
        <v>35</v>
      </c>
      <c r="P637" t="s">
        <v>26</v>
      </c>
      <c r="Q637">
        <v>0</v>
      </c>
    </row>
    <row r="638" spans="1:17" x14ac:dyDescent="0.25">
      <c r="A638" t="s">
        <v>17</v>
      </c>
      <c r="B638" t="s">
        <v>18</v>
      </c>
      <c r="C638">
        <v>157500</v>
      </c>
      <c r="D638" t="s">
        <v>19</v>
      </c>
      <c r="E638" t="s">
        <v>20</v>
      </c>
      <c r="F638" t="s">
        <v>39</v>
      </c>
      <c r="G638" t="s">
        <v>22</v>
      </c>
      <c r="H638" t="s">
        <v>49</v>
      </c>
      <c r="I638" t="s">
        <v>24</v>
      </c>
      <c r="J638">
        <v>55345.5</v>
      </c>
      <c r="K638">
        <v>0</v>
      </c>
      <c r="L638" t="s">
        <v>34</v>
      </c>
      <c r="M638" t="s">
        <v>26</v>
      </c>
      <c r="N638" t="s">
        <v>27</v>
      </c>
      <c r="O638" t="s">
        <v>35</v>
      </c>
      <c r="P638" t="s">
        <v>26</v>
      </c>
      <c r="Q638">
        <v>0</v>
      </c>
    </row>
    <row r="639" spans="1:17" x14ac:dyDescent="0.25">
      <c r="A639" t="s">
        <v>17</v>
      </c>
      <c r="B639" t="s">
        <v>36</v>
      </c>
      <c r="C639">
        <v>144000</v>
      </c>
      <c r="D639" t="s">
        <v>44</v>
      </c>
      <c r="E639" t="s">
        <v>20</v>
      </c>
      <c r="F639" t="s">
        <v>32</v>
      </c>
      <c r="G639" t="s">
        <v>22</v>
      </c>
      <c r="H639" t="s">
        <v>49</v>
      </c>
      <c r="I639" t="s">
        <v>24</v>
      </c>
      <c r="J639">
        <v>89955</v>
      </c>
      <c r="K639">
        <v>8995.5</v>
      </c>
      <c r="L639" t="s">
        <v>45</v>
      </c>
      <c r="M639" t="s">
        <v>26</v>
      </c>
      <c r="N639" t="s">
        <v>27</v>
      </c>
      <c r="O639" t="s">
        <v>35</v>
      </c>
      <c r="P639" t="s">
        <v>26</v>
      </c>
      <c r="Q639">
        <v>0</v>
      </c>
    </row>
    <row r="640" spans="1:17" x14ac:dyDescent="0.25">
      <c r="A640" t="s">
        <v>17</v>
      </c>
      <c r="B640" t="s">
        <v>36</v>
      </c>
      <c r="C640">
        <v>144000</v>
      </c>
      <c r="D640" t="s">
        <v>44</v>
      </c>
      <c r="E640" t="s">
        <v>20</v>
      </c>
      <c r="F640" t="s">
        <v>32</v>
      </c>
      <c r="G640" t="s">
        <v>22</v>
      </c>
      <c r="H640" t="s">
        <v>49</v>
      </c>
      <c r="I640" t="s">
        <v>24</v>
      </c>
      <c r="J640">
        <v>240975</v>
      </c>
      <c r="K640">
        <v>0</v>
      </c>
      <c r="L640" t="s">
        <v>34</v>
      </c>
      <c r="M640" t="s">
        <v>26</v>
      </c>
      <c r="N640" t="s">
        <v>58</v>
      </c>
      <c r="O640" t="s">
        <v>28</v>
      </c>
      <c r="P640" t="s">
        <v>64</v>
      </c>
      <c r="Q640">
        <v>1</v>
      </c>
    </row>
    <row r="641" spans="1:17" x14ac:dyDescent="0.25">
      <c r="A641" t="s">
        <v>17</v>
      </c>
      <c r="B641" t="s">
        <v>36</v>
      </c>
      <c r="C641">
        <v>144000</v>
      </c>
      <c r="D641" t="s">
        <v>44</v>
      </c>
      <c r="E641" t="s">
        <v>20</v>
      </c>
      <c r="F641" t="s">
        <v>32</v>
      </c>
      <c r="G641" t="s">
        <v>22</v>
      </c>
      <c r="H641" t="s">
        <v>49</v>
      </c>
      <c r="I641" t="s">
        <v>24</v>
      </c>
      <c r="J641">
        <v>240975</v>
      </c>
      <c r="K641">
        <v>0</v>
      </c>
      <c r="L641" t="s">
        <v>34</v>
      </c>
      <c r="M641" t="s">
        <v>26</v>
      </c>
      <c r="N641" t="s">
        <v>27</v>
      </c>
      <c r="O641" t="s">
        <v>28</v>
      </c>
      <c r="P641" t="s">
        <v>26</v>
      </c>
      <c r="Q641">
        <v>0</v>
      </c>
    </row>
    <row r="642" spans="1:17" x14ac:dyDescent="0.25">
      <c r="A642" t="s">
        <v>29</v>
      </c>
      <c r="B642" t="s">
        <v>18</v>
      </c>
      <c r="C642">
        <v>112500</v>
      </c>
      <c r="D642" t="s">
        <v>44</v>
      </c>
      <c r="E642" t="s">
        <v>31</v>
      </c>
      <c r="F642" t="s">
        <v>39</v>
      </c>
      <c r="G642" t="s">
        <v>22</v>
      </c>
      <c r="H642" t="s">
        <v>91</v>
      </c>
      <c r="I642" t="s">
        <v>24</v>
      </c>
      <c r="J642">
        <v>50890.5</v>
      </c>
      <c r="K642">
        <v>10170</v>
      </c>
      <c r="L642" t="s">
        <v>43</v>
      </c>
      <c r="M642" t="s">
        <v>26</v>
      </c>
      <c r="N642" t="s">
        <v>27</v>
      </c>
      <c r="O642" t="s">
        <v>35</v>
      </c>
      <c r="P642" t="s">
        <v>26</v>
      </c>
      <c r="Q642">
        <v>0</v>
      </c>
    </row>
    <row r="643" spans="1:17" x14ac:dyDescent="0.25">
      <c r="A643" t="s">
        <v>29</v>
      </c>
      <c r="B643" t="s">
        <v>18</v>
      </c>
      <c r="C643">
        <v>90000</v>
      </c>
      <c r="D643" t="s">
        <v>19</v>
      </c>
      <c r="E643" t="s">
        <v>20</v>
      </c>
      <c r="F643" t="s">
        <v>32</v>
      </c>
      <c r="G643" t="s">
        <v>22</v>
      </c>
      <c r="H643" t="s">
        <v>68</v>
      </c>
      <c r="I643" t="s">
        <v>24</v>
      </c>
      <c r="J643">
        <v>28300.5</v>
      </c>
      <c r="K643">
        <v>1395</v>
      </c>
      <c r="L643" t="s">
        <v>25</v>
      </c>
      <c r="M643" t="s">
        <v>26</v>
      </c>
      <c r="N643" t="s">
        <v>27</v>
      </c>
      <c r="O643" t="s">
        <v>35</v>
      </c>
      <c r="P643" t="s">
        <v>26</v>
      </c>
      <c r="Q643">
        <v>0</v>
      </c>
    </row>
    <row r="644" spans="1:17" x14ac:dyDescent="0.25">
      <c r="A644" t="s">
        <v>29</v>
      </c>
      <c r="B644" t="s">
        <v>18</v>
      </c>
      <c r="C644">
        <v>90000</v>
      </c>
      <c r="D644" t="s">
        <v>19</v>
      </c>
      <c r="E644" t="s">
        <v>20</v>
      </c>
      <c r="F644" t="s">
        <v>32</v>
      </c>
      <c r="G644" t="s">
        <v>22</v>
      </c>
      <c r="H644" t="s">
        <v>68</v>
      </c>
      <c r="I644" t="s">
        <v>24</v>
      </c>
      <c r="J644">
        <v>19750.5</v>
      </c>
      <c r="K644">
        <v>0</v>
      </c>
      <c r="L644" t="s">
        <v>43</v>
      </c>
      <c r="M644" t="s">
        <v>26</v>
      </c>
      <c r="N644" t="s">
        <v>27</v>
      </c>
      <c r="O644" t="s">
        <v>35</v>
      </c>
      <c r="P644" t="s">
        <v>26</v>
      </c>
      <c r="Q644">
        <v>0</v>
      </c>
    </row>
    <row r="645" spans="1:17" x14ac:dyDescent="0.25">
      <c r="A645" t="s">
        <v>29</v>
      </c>
      <c r="B645" t="s">
        <v>18</v>
      </c>
      <c r="C645">
        <v>90000</v>
      </c>
      <c r="D645" t="s">
        <v>19</v>
      </c>
      <c r="E645" t="s">
        <v>20</v>
      </c>
      <c r="F645" t="s">
        <v>32</v>
      </c>
      <c r="G645" t="s">
        <v>22</v>
      </c>
      <c r="H645" t="s">
        <v>68</v>
      </c>
      <c r="I645" t="s">
        <v>24</v>
      </c>
      <c r="J645">
        <v>21550.5</v>
      </c>
      <c r="K645">
        <v>0</v>
      </c>
      <c r="L645" t="s">
        <v>38</v>
      </c>
      <c r="M645" t="s">
        <v>26</v>
      </c>
      <c r="N645" t="s">
        <v>27</v>
      </c>
      <c r="O645" t="s">
        <v>35</v>
      </c>
      <c r="P645" t="s">
        <v>26</v>
      </c>
      <c r="Q645">
        <v>0</v>
      </c>
    </row>
    <row r="646" spans="1:17" x14ac:dyDescent="0.25">
      <c r="A646" t="s">
        <v>29</v>
      </c>
      <c r="B646" t="s">
        <v>36</v>
      </c>
      <c r="C646">
        <v>135000</v>
      </c>
      <c r="D646" t="s">
        <v>44</v>
      </c>
      <c r="E646" t="s">
        <v>20</v>
      </c>
      <c r="F646" t="s">
        <v>32</v>
      </c>
      <c r="G646" t="s">
        <v>22</v>
      </c>
      <c r="H646" t="s">
        <v>41</v>
      </c>
      <c r="I646" t="s">
        <v>24</v>
      </c>
      <c r="J646">
        <v>86526</v>
      </c>
      <c r="K646">
        <v>0</v>
      </c>
      <c r="L646" t="s">
        <v>43</v>
      </c>
      <c r="M646" t="s">
        <v>26</v>
      </c>
      <c r="N646" t="s">
        <v>27</v>
      </c>
      <c r="O646" t="s">
        <v>35</v>
      </c>
      <c r="P646" t="s">
        <v>26</v>
      </c>
      <c r="Q646">
        <v>0</v>
      </c>
    </row>
    <row r="647" spans="1:17" x14ac:dyDescent="0.25">
      <c r="A647" t="s">
        <v>17</v>
      </c>
      <c r="B647" t="s">
        <v>18</v>
      </c>
      <c r="C647">
        <v>121500</v>
      </c>
      <c r="D647" t="s">
        <v>19</v>
      </c>
      <c r="E647" t="s">
        <v>20</v>
      </c>
      <c r="F647" t="s">
        <v>32</v>
      </c>
      <c r="G647" t="s">
        <v>22</v>
      </c>
      <c r="H647" t="s">
        <v>53</v>
      </c>
      <c r="I647" t="s">
        <v>24</v>
      </c>
      <c r="J647">
        <v>86355</v>
      </c>
      <c r="K647">
        <v>0</v>
      </c>
      <c r="L647" t="s">
        <v>45</v>
      </c>
      <c r="M647" t="s">
        <v>26</v>
      </c>
      <c r="N647" t="s">
        <v>27</v>
      </c>
      <c r="O647" t="s">
        <v>35</v>
      </c>
      <c r="P647" t="s">
        <v>26</v>
      </c>
      <c r="Q647">
        <v>0</v>
      </c>
    </row>
    <row r="648" spans="1:17" x14ac:dyDescent="0.25">
      <c r="A648" t="s">
        <v>29</v>
      </c>
      <c r="B648" t="s">
        <v>18</v>
      </c>
      <c r="C648">
        <v>157500</v>
      </c>
      <c r="D648" t="s">
        <v>44</v>
      </c>
      <c r="E648" t="s">
        <v>20</v>
      </c>
      <c r="F648" t="s">
        <v>32</v>
      </c>
      <c r="G648" t="s">
        <v>22</v>
      </c>
      <c r="H648" t="s">
        <v>48</v>
      </c>
      <c r="I648" t="s">
        <v>24</v>
      </c>
      <c r="J648">
        <v>51480</v>
      </c>
      <c r="K648">
        <v>5175</v>
      </c>
      <c r="L648" t="s">
        <v>38</v>
      </c>
      <c r="M648" t="s">
        <v>26</v>
      </c>
      <c r="N648" t="s">
        <v>27</v>
      </c>
      <c r="O648" t="s">
        <v>35</v>
      </c>
      <c r="P648" t="s">
        <v>26</v>
      </c>
      <c r="Q648">
        <v>0</v>
      </c>
    </row>
    <row r="649" spans="1:17" x14ac:dyDescent="0.25">
      <c r="A649" t="s">
        <v>17</v>
      </c>
      <c r="B649" t="s">
        <v>36</v>
      </c>
      <c r="C649">
        <v>90000</v>
      </c>
      <c r="D649" t="s">
        <v>19</v>
      </c>
      <c r="E649" t="s">
        <v>20</v>
      </c>
      <c r="F649" t="s">
        <v>39</v>
      </c>
      <c r="G649" t="s">
        <v>22</v>
      </c>
      <c r="H649" t="s">
        <v>93</v>
      </c>
      <c r="I649" t="s">
        <v>24</v>
      </c>
      <c r="J649">
        <v>105525</v>
      </c>
      <c r="K649">
        <v>0</v>
      </c>
      <c r="L649" t="s">
        <v>51</v>
      </c>
      <c r="M649" t="s">
        <v>26</v>
      </c>
      <c r="N649" t="s">
        <v>27</v>
      </c>
      <c r="O649" t="s">
        <v>35</v>
      </c>
      <c r="P649" t="s">
        <v>26</v>
      </c>
      <c r="Q649">
        <v>0</v>
      </c>
    </row>
    <row r="650" spans="1:17" x14ac:dyDescent="0.25">
      <c r="A650" t="s">
        <v>17</v>
      </c>
      <c r="B650" t="s">
        <v>36</v>
      </c>
      <c r="C650">
        <v>90000</v>
      </c>
      <c r="D650" t="s">
        <v>19</v>
      </c>
      <c r="E650" t="s">
        <v>20</v>
      </c>
      <c r="F650" t="s">
        <v>39</v>
      </c>
      <c r="G650" t="s">
        <v>22</v>
      </c>
      <c r="H650" t="s">
        <v>93</v>
      </c>
      <c r="I650" t="s">
        <v>24</v>
      </c>
      <c r="J650">
        <v>26955</v>
      </c>
      <c r="K650">
        <v>2700</v>
      </c>
      <c r="L650" t="s">
        <v>45</v>
      </c>
      <c r="M650" t="s">
        <v>26</v>
      </c>
      <c r="N650" t="s">
        <v>27</v>
      </c>
      <c r="O650" t="s">
        <v>35</v>
      </c>
      <c r="P650" t="s">
        <v>26</v>
      </c>
      <c r="Q650">
        <v>0</v>
      </c>
    </row>
    <row r="651" spans="1:17" x14ac:dyDescent="0.25">
      <c r="A651" t="s">
        <v>29</v>
      </c>
      <c r="B651" t="s">
        <v>36</v>
      </c>
      <c r="C651">
        <v>99000</v>
      </c>
      <c r="D651" t="s">
        <v>44</v>
      </c>
      <c r="E651" t="s">
        <v>20</v>
      </c>
      <c r="F651" t="s">
        <v>32</v>
      </c>
      <c r="G651" t="s">
        <v>22</v>
      </c>
      <c r="H651" t="s">
        <v>81</v>
      </c>
      <c r="I651" t="s">
        <v>24</v>
      </c>
      <c r="J651">
        <v>26325</v>
      </c>
      <c r="K651">
        <v>4500</v>
      </c>
      <c r="L651" t="s">
        <v>38</v>
      </c>
      <c r="M651" t="s">
        <v>26</v>
      </c>
      <c r="N651" t="s">
        <v>27</v>
      </c>
      <c r="O651" t="s">
        <v>35</v>
      </c>
      <c r="P651" t="s">
        <v>26</v>
      </c>
      <c r="Q651">
        <v>0</v>
      </c>
    </row>
    <row r="652" spans="1:17" x14ac:dyDescent="0.25">
      <c r="A652" t="s">
        <v>29</v>
      </c>
      <c r="B652" t="s">
        <v>36</v>
      </c>
      <c r="C652">
        <v>99000</v>
      </c>
      <c r="D652" t="s">
        <v>44</v>
      </c>
      <c r="E652" t="s">
        <v>20</v>
      </c>
      <c r="F652" t="s">
        <v>32</v>
      </c>
      <c r="G652" t="s">
        <v>22</v>
      </c>
      <c r="H652" t="s">
        <v>81</v>
      </c>
      <c r="I652" t="s">
        <v>24</v>
      </c>
      <c r="J652">
        <v>96097.5</v>
      </c>
      <c r="K652">
        <v>9612</v>
      </c>
      <c r="L652" t="s">
        <v>38</v>
      </c>
      <c r="M652" t="s">
        <v>26</v>
      </c>
      <c r="N652" t="s">
        <v>27</v>
      </c>
      <c r="O652" t="s">
        <v>35</v>
      </c>
      <c r="P652" t="s">
        <v>26</v>
      </c>
      <c r="Q652">
        <v>0</v>
      </c>
    </row>
    <row r="653" spans="1:17" x14ac:dyDescent="0.25">
      <c r="A653" t="s">
        <v>29</v>
      </c>
      <c r="B653" t="s">
        <v>36</v>
      </c>
      <c r="C653">
        <v>99000</v>
      </c>
      <c r="D653" t="s">
        <v>44</v>
      </c>
      <c r="E653" t="s">
        <v>20</v>
      </c>
      <c r="F653" t="s">
        <v>32</v>
      </c>
      <c r="G653" t="s">
        <v>22</v>
      </c>
      <c r="H653" t="s">
        <v>81</v>
      </c>
      <c r="I653" t="s">
        <v>24</v>
      </c>
      <c r="J653">
        <v>68755.5</v>
      </c>
      <c r="K653">
        <v>0</v>
      </c>
      <c r="L653" t="s">
        <v>51</v>
      </c>
      <c r="M653" t="s">
        <v>26</v>
      </c>
      <c r="N653" t="s">
        <v>27</v>
      </c>
      <c r="O653" t="s">
        <v>28</v>
      </c>
      <c r="P653" t="s">
        <v>26</v>
      </c>
      <c r="Q653">
        <v>0</v>
      </c>
    </row>
    <row r="654" spans="1:17" x14ac:dyDescent="0.25">
      <c r="A654" t="s">
        <v>29</v>
      </c>
      <c r="B654" t="s">
        <v>36</v>
      </c>
      <c r="C654">
        <v>99000</v>
      </c>
      <c r="D654" t="s">
        <v>44</v>
      </c>
      <c r="E654" t="s">
        <v>20</v>
      </c>
      <c r="F654" t="s">
        <v>32</v>
      </c>
      <c r="G654" t="s">
        <v>22</v>
      </c>
      <c r="H654" t="s">
        <v>81</v>
      </c>
      <c r="I654" t="s">
        <v>24</v>
      </c>
      <c r="J654">
        <v>22095</v>
      </c>
      <c r="K654">
        <v>0</v>
      </c>
      <c r="L654" t="s">
        <v>51</v>
      </c>
      <c r="M654" t="s">
        <v>26</v>
      </c>
      <c r="N654" t="s">
        <v>27</v>
      </c>
      <c r="O654" t="s">
        <v>35</v>
      </c>
      <c r="P654" t="s">
        <v>26</v>
      </c>
      <c r="Q654">
        <v>0</v>
      </c>
    </row>
    <row r="655" spans="1:17" x14ac:dyDescent="0.25">
      <c r="A655" t="s">
        <v>29</v>
      </c>
      <c r="B655" t="s">
        <v>36</v>
      </c>
      <c r="C655">
        <v>99000</v>
      </c>
      <c r="D655" t="s">
        <v>44</v>
      </c>
      <c r="E655" t="s">
        <v>20</v>
      </c>
      <c r="F655" t="s">
        <v>32</v>
      </c>
      <c r="G655" t="s">
        <v>22</v>
      </c>
      <c r="H655" t="s">
        <v>81</v>
      </c>
      <c r="I655" t="s">
        <v>24</v>
      </c>
      <c r="J655">
        <v>178965</v>
      </c>
      <c r="K655">
        <v>17896.5</v>
      </c>
      <c r="L655" t="s">
        <v>45</v>
      </c>
      <c r="M655" t="s">
        <v>26</v>
      </c>
      <c r="N655" t="s">
        <v>27</v>
      </c>
      <c r="O655" t="s">
        <v>35</v>
      </c>
      <c r="P655" t="s">
        <v>26</v>
      </c>
      <c r="Q655">
        <v>0</v>
      </c>
    </row>
    <row r="656" spans="1:17" x14ac:dyDescent="0.25">
      <c r="A656" t="s">
        <v>29</v>
      </c>
      <c r="B656" t="s">
        <v>36</v>
      </c>
      <c r="C656">
        <v>99000</v>
      </c>
      <c r="D656" t="s">
        <v>44</v>
      </c>
      <c r="E656" t="s">
        <v>20</v>
      </c>
      <c r="F656" t="s">
        <v>32</v>
      </c>
      <c r="G656" t="s">
        <v>22</v>
      </c>
      <c r="H656" t="s">
        <v>81</v>
      </c>
      <c r="I656" t="s">
        <v>24</v>
      </c>
      <c r="J656">
        <v>22401</v>
      </c>
      <c r="K656">
        <v>8901</v>
      </c>
      <c r="L656" t="s">
        <v>25</v>
      </c>
      <c r="M656" t="s">
        <v>26</v>
      </c>
      <c r="N656" t="s">
        <v>27</v>
      </c>
      <c r="O656" t="s">
        <v>35</v>
      </c>
      <c r="P656" t="s">
        <v>26</v>
      </c>
      <c r="Q656">
        <v>0</v>
      </c>
    </row>
    <row r="657" spans="1:17" x14ac:dyDescent="0.25">
      <c r="A657" t="s">
        <v>17</v>
      </c>
      <c r="B657" t="s">
        <v>36</v>
      </c>
      <c r="C657">
        <v>157500</v>
      </c>
      <c r="D657" t="s">
        <v>19</v>
      </c>
      <c r="E657" t="s">
        <v>20</v>
      </c>
      <c r="F657" t="s">
        <v>32</v>
      </c>
      <c r="G657" t="s">
        <v>22</v>
      </c>
      <c r="H657" t="s">
        <v>89</v>
      </c>
      <c r="I657" t="s">
        <v>24</v>
      </c>
      <c r="J657">
        <v>80005.5</v>
      </c>
      <c r="K657">
        <v>0</v>
      </c>
      <c r="L657" t="s">
        <v>42</v>
      </c>
      <c r="M657" t="s">
        <v>26</v>
      </c>
      <c r="N657" t="s">
        <v>76</v>
      </c>
      <c r="O657" t="s">
        <v>35</v>
      </c>
      <c r="P657" t="s">
        <v>77</v>
      </c>
      <c r="Q657">
        <v>0</v>
      </c>
    </row>
    <row r="658" spans="1:17" x14ac:dyDescent="0.25">
      <c r="A658" t="s">
        <v>17</v>
      </c>
      <c r="B658" t="s">
        <v>18</v>
      </c>
      <c r="C658">
        <v>184500</v>
      </c>
      <c r="D658" t="s">
        <v>30</v>
      </c>
      <c r="E658" t="s">
        <v>20</v>
      </c>
      <c r="F658" t="s">
        <v>21</v>
      </c>
      <c r="G658" t="s">
        <v>22</v>
      </c>
      <c r="H658" t="s">
        <v>96</v>
      </c>
      <c r="I658" t="s">
        <v>24</v>
      </c>
      <c r="J658">
        <v>89730</v>
      </c>
      <c r="K658">
        <v>13500</v>
      </c>
      <c r="L658" t="s">
        <v>51</v>
      </c>
      <c r="M658" t="s">
        <v>26</v>
      </c>
      <c r="N658" t="s">
        <v>27</v>
      </c>
      <c r="O658" t="s">
        <v>35</v>
      </c>
      <c r="P658" t="s">
        <v>26</v>
      </c>
      <c r="Q658">
        <v>0</v>
      </c>
    </row>
    <row r="659" spans="1:17" x14ac:dyDescent="0.25">
      <c r="A659" t="s">
        <v>17</v>
      </c>
      <c r="B659" t="s">
        <v>18</v>
      </c>
      <c r="C659">
        <v>184500</v>
      </c>
      <c r="D659" t="s">
        <v>30</v>
      </c>
      <c r="E659" t="s">
        <v>20</v>
      </c>
      <c r="F659" t="s">
        <v>21</v>
      </c>
      <c r="G659" t="s">
        <v>22</v>
      </c>
      <c r="H659" t="s">
        <v>96</v>
      </c>
      <c r="I659" t="s">
        <v>24</v>
      </c>
      <c r="J659">
        <v>122796</v>
      </c>
      <c r="K659">
        <v>0</v>
      </c>
      <c r="L659" t="s">
        <v>38</v>
      </c>
      <c r="M659" t="s">
        <v>26</v>
      </c>
      <c r="N659" t="s">
        <v>76</v>
      </c>
      <c r="O659" t="s">
        <v>35</v>
      </c>
      <c r="P659" t="s">
        <v>77</v>
      </c>
      <c r="Q659">
        <v>0</v>
      </c>
    </row>
    <row r="660" spans="1:17" x14ac:dyDescent="0.25">
      <c r="A660" t="s">
        <v>17</v>
      </c>
      <c r="B660" t="s">
        <v>18</v>
      </c>
      <c r="C660">
        <v>184500</v>
      </c>
      <c r="D660" t="s">
        <v>30</v>
      </c>
      <c r="E660" t="s">
        <v>20</v>
      </c>
      <c r="F660" t="s">
        <v>21</v>
      </c>
      <c r="G660" t="s">
        <v>22</v>
      </c>
      <c r="H660" t="s">
        <v>96</v>
      </c>
      <c r="I660" t="s">
        <v>24</v>
      </c>
      <c r="J660">
        <v>109080</v>
      </c>
      <c r="K660">
        <v>32580</v>
      </c>
      <c r="L660" t="s">
        <v>51</v>
      </c>
      <c r="M660" t="s">
        <v>26</v>
      </c>
      <c r="N660" t="s">
        <v>27</v>
      </c>
      <c r="O660" t="s">
        <v>35</v>
      </c>
      <c r="P660" t="s">
        <v>26</v>
      </c>
      <c r="Q660">
        <v>0</v>
      </c>
    </row>
    <row r="661" spans="1:17" x14ac:dyDescent="0.25">
      <c r="A661" t="s">
        <v>17</v>
      </c>
      <c r="B661" t="s">
        <v>18</v>
      </c>
      <c r="C661">
        <v>184500</v>
      </c>
      <c r="D661" t="s">
        <v>30</v>
      </c>
      <c r="E661" t="s">
        <v>20</v>
      </c>
      <c r="F661" t="s">
        <v>21</v>
      </c>
      <c r="G661" t="s">
        <v>22</v>
      </c>
      <c r="H661" t="s">
        <v>96</v>
      </c>
      <c r="I661" t="s">
        <v>24</v>
      </c>
      <c r="J661">
        <v>122499</v>
      </c>
      <c r="K661">
        <v>0</v>
      </c>
      <c r="L661" t="s">
        <v>38</v>
      </c>
      <c r="M661" t="s">
        <v>26</v>
      </c>
      <c r="N661" t="s">
        <v>76</v>
      </c>
      <c r="O661" t="s">
        <v>35</v>
      </c>
      <c r="P661" t="s">
        <v>77</v>
      </c>
      <c r="Q661">
        <v>0</v>
      </c>
    </row>
    <row r="662" spans="1:17" x14ac:dyDescent="0.25">
      <c r="A662" t="s">
        <v>17</v>
      </c>
      <c r="B662" t="s">
        <v>18</v>
      </c>
      <c r="C662">
        <v>184500</v>
      </c>
      <c r="D662" t="s">
        <v>30</v>
      </c>
      <c r="E662" t="s">
        <v>20</v>
      </c>
      <c r="F662" t="s">
        <v>21</v>
      </c>
      <c r="G662" t="s">
        <v>22</v>
      </c>
      <c r="H662" t="s">
        <v>96</v>
      </c>
      <c r="I662" t="s">
        <v>24</v>
      </c>
      <c r="J662">
        <v>121860</v>
      </c>
      <c r="K662">
        <v>49500</v>
      </c>
      <c r="L662" t="s">
        <v>42</v>
      </c>
      <c r="M662" t="s">
        <v>26</v>
      </c>
      <c r="N662" t="s">
        <v>27</v>
      </c>
      <c r="O662" t="s">
        <v>35</v>
      </c>
      <c r="P662" t="s">
        <v>26</v>
      </c>
      <c r="Q662">
        <v>0</v>
      </c>
    </row>
    <row r="663" spans="1:17" x14ac:dyDescent="0.25">
      <c r="A663" t="s">
        <v>17</v>
      </c>
      <c r="B663" t="s">
        <v>18</v>
      </c>
      <c r="C663">
        <v>184500</v>
      </c>
      <c r="D663" t="s">
        <v>30</v>
      </c>
      <c r="E663" t="s">
        <v>20</v>
      </c>
      <c r="F663" t="s">
        <v>21</v>
      </c>
      <c r="G663" t="s">
        <v>22</v>
      </c>
      <c r="H663" t="s">
        <v>96</v>
      </c>
      <c r="I663" t="s">
        <v>24</v>
      </c>
      <c r="J663">
        <v>83200.5</v>
      </c>
      <c r="K663">
        <v>36675</v>
      </c>
      <c r="L663" t="s">
        <v>43</v>
      </c>
      <c r="M663" t="s">
        <v>26</v>
      </c>
      <c r="N663" t="s">
        <v>27</v>
      </c>
      <c r="O663" t="s">
        <v>35</v>
      </c>
      <c r="P663" t="s">
        <v>26</v>
      </c>
      <c r="Q663">
        <v>0</v>
      </c>
    </row>
    <row r="664" spans="1:17" x14ac:dyDescent="0.25">
      <c r="A664" t="s">
        <v>17</v>
      </c>
      <c r="B664" t="s">
        <v>18</v>
      </c>
      <c r="C664">
        <v>184500</v>
      </c>
      <c r="D664" t="s">
        <v>30</v>
      </c>
      <c r="E664" t="s">
        <v>20</v>
      </c>
      <c r="F664" t="s">
        <v>21</v>
      </c>
      <c r="G664" t="s">
        <v>22</v>
      </c>
      <c r="H664" t="s">
        <v>96</v>
      </c>
      <c r="I664" t="s">
        <v>24</v>
      </c>
      <c r="J664">
        <v>107955</v>
      </c>
      <c r="K664">
        <v>27000</v>
      </c>
      <c r="L664" t="s">
        <v>51</v>
      </c>
      <c r="M664" t="s">
        <v>26</v>
      </c>
      <c r="N664" t="s">
        <v>27</v>
      </c>
      <c r="O664" t="s">
        <v>35</v>
      </c>
      <c r="P664" t="s">
        <v>26</v>
      </c>
      <c r="Q664">
        <v>0</v>
      </c>
    </row>
    <row r="665" spans="1:17" x14ac:dyDescent="0.25">
      <c r="A665" t="s">
        <v>17</v>
      </c>
      <c r="B665" t="s">
        <v>18</v>
      </c>
      <c r="C665">
        <v>184500</v>
      </c>
      <c r="D665" t="s">
        <v>30</v>
      </c>
      <c r="E665" t="s">
        <v>20</v>
      </c>
      <c r="F665" t="s">
        <v>21</v>
      </c>
      <c r="G665" t="s">
        <v>22</v>
      </c>
      <c r="H665" t="s">
        <v>96</v>
      </c>
      <c r="I665" t="s">
        <v>24</v>
      </c>
      <c r="J665">
        <v>47637</v>
      </c>
      <c r="K665">
        <v>22500</v>
      </c>
      <c r="L665" t="s">
        <v>38</v>
      </c>
      <c r="M665" t="s">
        <v>26</v>
      </c>
      <c r="N665" t="s">
        <v>27</v>
      </c>
      <c r="O665" t="s">
        <v>35</v>
      </c>
      <c r="P665" t="s">
        <v>26</v>
      </c>
      <c r="Q665">
        <v>0</v>
      </c>
    </row>
    <row r="666" spans="1:17" x14ac:dyDescent="0.25">
      <c r="A666" t="s">
        <v>29</v>
      </c>
      <c r="B666" t="s">
        <v>18</v>
      </c>
      <c r="C666">
        <v>157500</v>
      </c>
      <c r="D666" t="s">
        <v>30</v>
      </c>
      <c r="E666" t="s">
        <v>20</v>
      </c>
      <c r="F666" t="s">
        <v>21</v>
      </c>
      <c r="G666" t="s">
        <v>22</v>
      </c>
      <c r="H666" t="s">
        <v>68</v>
      </c>
      <c r="I666" t="s">
        <v>24</v>
      </c>
      <c r="J666">
        <v>33777</v>
      </c>
      <c r="K666">
        <v>0</v>
      </c>
      <c r="L666" t="s">
        <v>38</v>
      </c>
      <c r="M666" t="s">
        <v>26</v>
      </c>
      <c r="N666" t="s">
        <v>27</v>
      </c>
      <c r="O666" t="s">
        <v>35</v>
      </c>
      <c r="P666" t="s">
        <v>26</v>
      </c>
      <c r="Q666">
        <v>0</v>
      </c>
    </row>
    <row r="667" spans="1:17" x14ac:dyDescent="0.25">
      <c r="A667" t="s">
        <v>29</v>
      </c>
      <c r="B667" t="s">
        <v>18</v>
      </c>
      <c r="C667">
        <v>112500</v>
      </c>
      <c r="D667" t="s">
        <v>19</v>
      </c>
      <c r="E667" t="s">
        <v>20</v>
      </c>
      <c r="F667" t="s">
        <v>32</v>
      </c>
      <c r="G667" t="s">
        <v>22</v>
      </c>
      <c r="H667" t="s">
        <v>68</v>
      </c>
      <c r="I667" t="s">
        <v>24</v>
      </c>
      <c r="J667">
        <v>22896</v>
      </c>
      <c r="K667">
        <v>4500</v>
      </c>
      <c r="L667" t="s">
        <v>25</v>
      </c>
      <c r="M667" t="s">
        <v>26</v>
      </c>
      <c r="N667" t="s">
        <v>27</v>
      </c>
      <c r="O667" t="s">
        <v>28</v>
      </c>
      <c r="P667" t="s">
        <v>26</v>
      </c>
      <c r="Q667">
        <v>0</v>
      </c>
    </row>
    <row r="668" spans="1:17" x14ac:dyDescent="0.25">
      <c r="A668" t="s">
        <v>29</v>
      </c>
      <c r="B668" t="s">
        <v>18</v>
      </c>
      <c r="C668">
        <v>112500</v>
      </c>
      <c r="D668" t="s">
        <v>19</v>
      </c>
      <c r="E668" t="s">
        <v>20</v>
      </c>
      <c r="F668" t="s">
        <v>32</v>
      </c>
      <c r="G668" t="s">
        <v>22</v>
      </c>
      <c r="H668" t="s">
        <v>68</v>
      </c>
      <c r="I668" t="s">
        <v>24</v>
      </c>
      <c r="J668">
        <v>83700</v>
      </c>
      <c r="K668">
        <v>8370</v>
      </c>
      <c r="L668" t="s">
        <v>51</v>
      </c>
      <c r="M668" t="s">
        <v>26</v>
      </c>
      <c r="N668" t="s">
        <v>27</v>
      </c>
      <c r="O668" t="s">
        <v>28</v>
      </c>
      <c r="P668" t="s">
        <v>26</v>
      </c>
      <c r="Q668">
        <v>0</v>
      </c>
    </row>
    <row r="669" spans="1:17" x14ac:dyDescent="0.25">
      <c r="A669" t="s">
        <v>29</v>
      </c>
      <c r="B669" t="s">
        <v>18</v>
      </c>
      <c r="C669">
        <v>112500</v>
      </c>
      <c r="D669" t="s">
        <v>19</v>
      </c>
      <c r="E669" t="s">
        <v>20</v>
      </c>
      <c r="F669" t="s">
        <v>32</v>
      </c>
      <c r="G669" t="s">
        <v>22</v>
      </c>
      <c r="H669" t="s">
        <v>68</v>
      </c>
      <c r="I669" t="s">
        <v>24</v>
      </c>
      <c r="J669">
        <v>113445</v>
      </c>
      <c r="K669">
        <v>0</v>
      </c>
      <c r="L669" t="s">
        <v>34</v>
      </c>
      <c r="M669" t="s">
        <v>26</v>
      </c>
      <c r="N669" t="s">
        <v>27</v>
      </c>
      <c r="O669" t="s">
        <v>35</v>
      </c>
      <c r="P669" t="s">
        <v>26</v>
      </c>
      <c r="Q669">
        <v>0</v>
      </c>
    </row>
    <row r="670" spans="1:17" x14ac:dyDescent="0.25">
      <c r="A670" t="s">
        <v>29</v>
      </c>
      <c r="B670" t="s">
        <v>18</v>
      </c>
      <c r="C670">
        <v>144000</v>
      </c>
      <c r="D670" t="s">
        <v>19</v>
      </c>
      <c r="E670" t="s">
        <v>20</v>
      </c>
      <c r="F670" t="s">
        <v>32</v>
      </c>
      <c r="G670" t="s">
        <v>22</v>
      </c>
      <c r="H670" t="s">
        <v>101</v>
      </c>
      <c r="I670" t="s">
        <v>24</v>
      </c>
      <c r="J670">
        <v>147483</v>
      </c>
      <c r="K670">
        <v>14751</v>
      </c>
      <c r="L670" t="s">
        <v>25</v>
      </c>
      <c r="M670" t="s">
        <v>26</v>
      </c>
      <c r="N670" t="s">
        <v>27</v>
      </c>
      <c r="O670" t="s">
        <v>35</v>
      </c>
      <c r="P670" t="s">
        <v>26</v>
      </c>
      <c r="Q670">
        <v>0</v>
      </c>
    </row>
    <row r="671" spans="1:17" x14ac:dyDescent="0.25">
      <c r="A671" t="s">
        <v>29</v>
      </c>
      <c r="B671" t="s">
        <v>18</v>
      </c>
      <c r="C671">
        <v>144000</v>
      </c>
      <c r="D671" t="s">
        <v>19</v>
      </c>
      <c r="E671" t="s">
        <v>20</v>
      </c>
      <c r="F671" t="s">
        <v>32</v>
      </c>
      <c r="G671" t="s">
        <v>22</v>
      </c>
      <c r="H671" t="s">
        <v>101</v>
      </c>
      <c r="I671" t="s">
        <v>24</v>
      </c>
      <c r="J671">
        <v>119223</v>
      </c>
      <c r="K671">
        <v>11925</v>
      </c>
      <c r="L671" t="s">
        <v>45</v>
      </c>
      <c r="M671" t="s">
        <v>26</v>
      </c>
      <c r="N671" t="s">
        <v>27</v>
      </c>
      <c r="O671" t="s">
        <v>35</v>
      </c>
      <c r="P671" t="s">
        <v>26</v>
      </c>
      <c r="Q671">
        <v>0</v>
      </c>
    </row>
    <row r="672" spans="1:17" x14ac:dyDescent="0.25">
      <c r="A672" t="s">
        <v>29</v>
      </c>
      <c r="B672" t="s">
        <v>18</v>
      </c>
      <c r="C672">
        <v>144000</v>
      </c>
      <c r="D672" t="s">
        <v>19</v>
      </c>
      <c r="E672" t="s">
        <v>20</v>
      </c>
      <c r="F672" t="s">
        <v>32</v>
      </c>
      <c r="G672" t="s">
        <v>22</v>
      </c>
      <c r="H672" t="s">
        <v>101</v>
      </c>
      <c r="I672" t="s">
        <v>24</v>
      </c>
      <c r="J672">
        <v>148500</v>
      </c>
      <c r="K672">
        <v>0</v>
      </c>
      <c r="L672" t="s">
        <v>45</v>
      </c>
      <c r="M672" t="s">
        <v>26</v>
      </c>
      <c r="N672" t="s">
        <v>27</v>
      </c>
      <c r="O672" t="s">
        <v>28</v>
      </c>
      <c r="P672" t="s">
        <v>26</v>
      </c>
      <c r="Q672">
        <v>0</v>
      </c>
    </row>
    <row r="673" spans="1:17" x14ac:dyDescent="0.25">
      <c r="A673" t="s">
        <v>17</v>
      </c>
      <c r="B673" t="s">
        <v>36</v>
      </c>
      <c r="C673">
        <v>211500</v>
      </c>
      <c r="D673" t="s">
        <v>19</v>
      </c>
      <c r="E673" t="s">
        <v>20</v>
      </c>
      <c r="F673" t="s">
        <v>32</v>
      </c>
      <c r="G673" t="s">
        <v>22</v>
      </c>
      <c r="H673" t="s">
        <v>41</v>
      </c>
      <c r="I673" t="s">
        <v>24</v>
      </c>
      <c r="J673">
        <v>22999.5</v>
      </c>
      <c r="K673">
        <v>4603.5</v>
      </c>
      <c r="L673" t="s">
        <v>51</v>
      </c>
      <c r="M673" t="s">
        <v>26</v>
      </c>
      <c r="N673" t="s">
        <v>27</v>
      </c>
      <c r="O673" t="s">
        <v>35</v>
      </c>
      <c r="P673" t="s">
        <v>26</v>
      </c>
      <c r="Q673">
        <v>0</v>
      </c>
    </row>
    <row r="674" spans="1:17" x14ac:dyDescent="0.25">
      <c r="A674" t="s">
        <v>17</v>
      </c>
      <c r="B674" t="s">
        <v>36</v>
      </c>
      <c r="C674">
        <v>211500</v>
      </c>
      <c r="D674" t="s">
        <v>19</v>
      </c>
      <c r="E674" t="s">
        <v>20</v>
      </c>
      <c r="F674" t="s">
        <v>32</v>
      </c>
      <c r="G674" t="s">
        <v>22</v>
      </c>
      <c r="H674" t="s">
        <v>41</v>
      </c>
      <c r="I674" t="s">
        <v>24</v>
      </c>
      <c r="J674">
        <v>64890</v>
      </c>
      <c r="K674">
        <v>6489</v>
      </c>
      <c r="L674" t="s">
        <v>38</v>
      </c>
      <c r="M674" t="s">
        <v>26</v>
      </c>
      <c r="N674" t="s">
        <v>27</v>
      </c>
      <c r="O674" t="s">
        <v>35</v>
      </c>
      <c r="P674" t="s">
        <v>26</v>
      </c>
      <c r="Q674">
        <v>0</v>
      </c>
    </row>
    <row r="675" spans="1:17" x14ac:dyDescent="0.25">
      <c r="A675" t="s">
        <v>17</v>
      </c>
      <c r="B675" t="s">
        <v>36</v>
      </c>
      <c r="C675">
        <v>211500</v>
      </c>
      <c r="D675" t="s">
        <v>19</v>
      </c>
      <c r="E675" t="s">
        <v>20</v>
      </c>
      <c r="F675" t="s">
        <v>32</v>
      </c>
      <c r="G675" t="s">
        <v>22</v>
      </c>
      <c r="H675" t="s">
        <v>41</v>
      </c>
      <c r="I675" t="s">
        <v>24</v>
      </c>
      <c r="J675">
        <v>99999</v>
      </c>
      <c r="K675">
        <v>9999</v>
      </c>
      <c r="L675" t="s">
        <v>34</v>
      </c>
      <c r="M675" t="s">
        <v>26</v>
      </c>
      <c r="N675" t="s">
        <v>27</v>
      </c>
      <c r="O675" t="s">
        <v>28</v>
      </c>
      <c r="P675" t="s">
        <v>26</v>
      </c>
      <c r="Q675">
        <v>0</v>
      </c>
    </row>
    <row r="676" spans="1:17" x14ac:dyDescent="0.25">
      <c r="A676" t="s">
        <v>17</v>
      </c>
      <c r="B676" t="s">
        <v>36</v>
      </c>
      <c r="C676">
        <v>211500</v>
      </c>
      <c r="D676" t="s">
        <v>19</v>
      </c>
      <c r="E676" t="s">
        <v>20</v>
      </c>
      <c r="F676" t="s">
        <v>32</v>
      </c>
      <c r="G676" t="s">
        <v>22</v>
      </c>
      <c r="H676" t="s">
        <v>41</v>
      </c>
      <c r="I676" t="s">
        <v>24</v>
      </c>
      <c r="J676">
        <v>126216</v>
      </c>
      <c r="K676">
        <v>0</v>
      </c>
      <c r="L676" t="s">
        <v>51</v>
      </c>
      <c r="M676" t="s">
        <v>26</v>
      </c>
      <c r="N676" t="s">
        <v>27</v>
      </c>
      <c r="O676" t="s">
        <v>35</v>
      </c>
      <c r="P676" t="s">
        <v>26</v>
      </c>
      <c r="Q676">
        <v>0</v>
      </c>
    </row>
    <row r="677" spans="1:17" x14ac:dyDescent="0.25">
      <c r="A677" t="s">
        <v>17</v>
      </c>
      <c r="B677" t="s">
        <v>36</v>
      </c>
      <c r="C677">
        <v>211500</v>
      </c>
      <c r="D677" t="s">
        <v>19</v>
      </c>
      <c r="E677" t="s">
        <v>20</v>
      </c>
      <c r="F677" t="s">
        <v>32</v>
      </c>
      <c r="G677" t="s">
        <v>22</v>
      </c>
      <c r="H677" t="s">
        <v>41</v>
      </c>
      <c r="I677" t="s">
        <v>90</v>
      </c>
      <c r="J677">
        <v>135000</v>
      </c>
      <c r="K677">
        <v>0</v>
      </c>
      <c r="L677" t="s">
        <v>38</v>
      </c>
      <c r="M677" t="s">
        <v>26</v>
      </c>
      <c r="N677" t="s">
        <v>58</v>
      </c>
      <c r="O677" t="s">
        <v>28</v>
      </c>
      <c r="P677" t="s">
        <v>102</v>
      </c>
      <c r="Q677">
        <v>1</v>
      </c>
    </row>
    <row r="678" spans="1:17" x14ac:dyDescent="0.25">
      <c r="A678" t="s">
        <v>17</v>
      </c>
      <c r="B678" t="s">
        <v>36</v>
      </c>
      <c r="C678">
        <v>211500</v>
      </c>
      <c r="D678" t="s">
        <v>19</v>
      </c>
      <c r="E678" t="s">
        <v>20</v>
      </c>
      <c r="F678" t="s">
        <v>32</v>
      </c>
      <c r="G678" t="s">
        <v>22</v>
      </c>
      <c r="H678" t="s">
        <v>41</v>
      </c>
      <c r="I678" t="s">
        <v>24</v>
      </c>
      <c r="J678">
        <v>74763</v>
      </c>
      <c r="K678">
        <v>7479</v>
      </c>
      <c r="L678" t="s">
        <v>34</v>
      </c>
      <c r="M678" t="s">
        <v>26</v>
      </c>
      <c r="N678" t="s">
        <v>27</v>
      </c>
      <c r="O678" t="s">
        <v>35</v>
      </c>
      <c r="P678" t="s">
        <v>26</v>
      </c>
      <c r="Q678">
        <v>0</v>
      </c>
    </row>
    <row r="679" spans="1:17" x14ac:dyDescent="0.25">
      <c r="A679" t="s">
        <v>29</v>
      </c>
      <c r="B679" t="s">
        <v>18</v>
      </c>
      <c r="C679">
        <v>225000</v>
      </c>
      <c r="D679" t="s">
        <v>44</v>
      </c>
      <c r="E679" t="s">
        <v>20</v>
      </c>
      <c r="F679" t="s">
        <v>21</v>
      </c>
      <c r="G679" t="s">
        <v>22</v>
      </c>
      <c r="H679" t="s">
        <v>92</v>
      </c>
      <c r="I679" t="s">
        <v>24</v>
      </c>
      <c r="J679">
        <v>239827.5</v>
      </c>
      <c r="K679">
        <v>23985</v>
      </c>
      <c r="L679" t="s">
        <v>38</v>
      </c>
      <c r="M679" t="s">
        <v>26</v>
      </c>
      <c r="N679" t="s">
        <v>27</v>
      </c>
      <c r="O679" t="s">
        <v>35</v>
      </c>
      <c r="P679" t="s">
        <v>26</v>
      </c>
      <c r="Q679">
        <v>0</v>
      </c>
    </row>
    <row r="680" spans="1:17" x14ac:dyDescent="0.25">
      <c r="A680" t="s">
        <v>29</v>
      </c>
      <c r="B680" t="s">
        <v>36</v>
      </c>
      <c r="C680">
        <v>247500</v>
      </c>
      <c r="D680" t="s">
        <v>44</v>
      </c>
      <c r="E680" t="s">
        <v>31</v>
      </c>
      <c r="F680" t="s">
        <v>32</v>
      </c>
      <c r="G680" t="s">
        <v>22</v>
      </c>
      <c r="H680" t="s">
        <v>23</v>
      </c>
      <c r="I680" t="s">
        <v>24</v>
      </c>
      <c r="J680">
        <v>157495.5</v>
      </c>
      <c r="K680">
        <v>0</v>
      </c>
      <c r="L680" t="s">
        <v>42</v>
      </c>
      <c r="M680" t="s">
        <v>26</v>
      </c>
      <c r="N680" t="s">
        <v>27</v>
      </c>
      <c r="O680" t="s">
        <v>35</v>
      </c>
      <c r="P680" t="s">
        <v>26</v>
      </c>
      <c r="Q680">
        <v>0</v>
      </c>
    </row>
    <row r="681" spans="1:17" x14ac:dyDescent="0.25">
      <c r="A681" t="s">
        <v>29</v>
      </c>
      <c r="B681" t="s">
        <v>18</v>
      </c>
      <c r="C681">
        <v>112500</v>
      </c>
      <c r="D681" t="s">
        <v>19</v>
      </c>
      <c r="E681" t="s">
        <v>20</v>
      </c>
      <c r="F681" t="s">
        <v>21</v>
      </c>
      <c r="G681" t="s">
        <v>52</v>
      </c>
      <c r="H681" t="s">
        <v>57</v>
      </c>
      <c r="I681" t="s">
        <v>24</v>
      </c>
      <c r="J681">
        <v>28201.5</v>
      </c>
      <c r="K681">
        <v>0</v>
      </c>
      <c r="L681" t="s">
        <v>43</v>
      </c>
      <c r="M681" t="s">
        <v>26</v>
      </c>
      <c r="N681" t="s">
        <v>27</v>
      </c>
      <c r="O681" t="s">
        <v>28</v>
      </c>
      <c r="P681" t="s">
        <v>26</v>
      </c>
      <c r="Q681">
        <v>0</v>
      </c>
    </row>
    <row r="682" spans="1:17" x14ac:dyDescent="0.25">
      <c r="A682" t="s">
        <v>29</v>
      </c>
      <c r="B682" t="s">
        <v>18</v>
      </c>
      <c r="C682">
        <v>58500</v>
      </c>
      <c r="D682" t="s">
        <v>46</v>
      </c>
      <c r="E682" t="s">
        <v>20</v>
      </c>
      <c r="F682" t="s">
        <v>54</v>
      </c>
      <c r="G682" t="s">
        <v>22</v>
      </c>
      <c r="H682" t="s">
        <v>28</v>
      </c>
      <c r="I682" t="s">
        <v>24</v>
      </c>
      <c r="J682">
        <v>67495.5</v>
      </c>
      <c r="K682">
        <v>13500</v>
      </c>
      <c r="L682" t="s">
        <v>45</v>
      </c>
      <c r="M682" t="s">
        <v>26</v>
      </c>
      <c r="N682" t="s">
        <v>27</v>
      </c>
      <c r="O682" t="s">
        <v>35</v>
      </c>
      <c r="P682" t="s">
        <v>26</v>
      </c>
      <c r="Q682">
        <v>0</v>
      </c>
    </row>
    <row r="683" spans="1:17" x14ac:dyDescent="0.25">
      <c r="A683" t="s">
        <v>29</v>
      </c>
      <c r="B683" t="s">
        <v>36</v>
      </c>
      <c r="C683">
        <v>225000</v>
      </c>
      <c r="D683" t="s">
        <v>44</v>
      </c>
      <c r="E683" t="s">
        <v>70</v>
      </c>
      <c r="F683" t="s">
        <v>32</v>
      </c>
      <c r="G683" t="s">
        <v>22</v>
      </c>
      <c r="H683" t="s">
        <v>23</v>
      </c>
      <c r="I683" t="s">
        <v>24</v>
      </c>
      <c r="J683">
        <v>28665</v>
      </c>
      <c r="K683">
        <v>2880</v>
      </c>
      <c r="L683" t="s">
        <v>51</v>
      </c>
      <c r="M683" t="s">
        <v>26</v>
      </c>
      <c r="N683" t="s">
        <v>27</v>
      </c>
      <c r="O683" t="s">
        <v>35</v>
      </c>
      <c r="P683" t="s">
        <v>26</v>
      </c>
      <c r="Q683">
        <v>0</v>
      </c>
    </row>
    <row r="684" spans="1:17" x14ac:dyDescent="0.25">
      <c r="A684" t="s">
        <v>29</v>
      </c>
      <c r="B684" t="s">
        <v>36</v>
      </c>
      <c r="C684">
        <v>450000</v>
      </c>
      <c r="D684" t="s">
        <v>30</v>
      </c>
      <c r="E684" t="s">
        <v>31</v>
      </c>
      <c r="F684" t="s">
        <v>32</v>
      </c>
      <c r="G684" t="s">
        <v>22</v>
      </c>
      <c r="H684" t="s">
        <v>103</v>
      </c>
      <c r="I684" t="s">
        <v>24</v>
      </c>
      <c r="J684">
        <v>37440</v>
      </c>
      <c r="K684">
        <v>4500</v>
      </c>
      <c r="L684" t="s">
        <v>34</v>
      </c>
      <c r="M684" t="s">
        <v>26</v>
      </c>
      <c r="N684" t="s">
        <v>27</v>
      </c>
      <c r="O684" t="s">
        <v>35</v>
      </c>
      <c r="P684" t="s">
        <v>26</v>
      </c>
      <c r="Q684">
        <v>0</v>
      </c>
    </row>
    <row r="685" spans="1:17" x14ac:dyDescent="0.25">
      <c r="A685" t="s">
        <v>29</v>
      </c>
      <c r="B685" t="s">
        <v>18</v>
      </c>
      <c r="C685">
        <v>49500</v>
      </c>
      <c r="D685" t="s">
        <v>46</v>
      </c>
      <c r="E685" t="s">
        <v>31</v>
      </c>
      <c r="F685" t="s">
        <v>32</v>
      </c>
      <c r="G685" t="s">
        <v>73</v>
      </c>
      <c r="H685" t="s">
        <v>28</v>
      </c>
      <c r="I685" t="s">
        <v>24</v>
      </c>
      <c r="J685">
        <v>54450</v>
      </c>
      <c r="K685">
        <v>10890</v>
      </c>
      <c r="L685" t="s">
        <v>45</v>
      </c>
      <c r="M685" t="s">
        <v>26</v>
      </c>
      <c r="N685" t="s">
        <v>27</v>
      </c>
      <c r="O685" t="s">
        <v>35</v>
      </c>
      <c r="P685" t="s">
        <v>26</v>
      </c>
      <c r="Q685">
        <v>0</v>
      </c>
    </row>
    <row r="686" spans="1:17" x14ac:dyDescent="0.25">
      <c r="A686" t="s">
        <v>29</v>
      </c>
      <c r="B686" t="s">
        <v>18</v>
      </c>
      <c r="C686">
        <v>49500</v>
      </c>
      <c r="D686" t="s">
        <v>46</v>
      </c>
      <c r="E686" t="s">
        <v>31</v>
      </c>
      <c r="F686" t="s">
        <v>32</v>
      </c>
      <c r="G686" t="s">
        <v>73</v>
      </c>
      <c r="H686" t="s">
        <v>28</v>
      </c>
      <c r="I686" t="s">
        <v>24</v>
      </c>
      <c r="J686">
        <v>37197</v>
      </c>
      <c r="K686">
        <v>7425</v>
      </c>
      <c r="L686" t="s">
        <v>45</v>
      </c>
      <c r="M686" t="s">
        <v>26</v>
      </c>
      <c r="N686" t="s">
        <v>27</v>
      </c>
      <c r="O686" t="s">
        <v>35</v>
      </c>
      <c r="P686" t="s">
        <v>26</v>
      </c>
      <c r="Q686">
        <v>0</v>
      </c>
    </row>
    <row r="687" spans="1:17" x14ac:dyDescent="0.25">
      <c r="A687" t="s">
        <v>17</v>
      </c>
      <c r="B687" t="s">
        <v>18</v>
      </c>
      <c r="C687">
        <v>337500</v>
      </c>
      <c r="D687" t="s">
        <v>30</v>
      </c>
      <c r="E687" t="s">
        <v>31</v>
      </c>
      <c r="F687" t="s">
        <v>32</v>
      </c>
      <c r="G687" t="s">
        <v>22</v>
      </c>
      <c r="H687" t="s">
        <v>96</v>
      </c>
      <c r="I687" t="s">
        <v>24</v>
      </c>
      <c r="J687">
        <v>93528</v>
      </c>
      <c r="K687">
        <v>0</v>
      </c>
      <c r="L687" t="s">
        <v>34</v>
      </c>
      <c r="M687" t="s">
        <v>26</v>
      </c>
      <c r="N687" t="s">
        <v>27</v>
      </c>
      <c r="O687" t="s">
        <v>35</v>
      </c>
      <c r="P687" t="s">
        <v>26</v>
      </c>
      <c r="Q687">
        <v>0</v>
      </c>
    </row>
    <row r="688" spans="1:17" x14ac:dyDescent="0.25">
      <c r="A688" t="s">
        <v>17</v>
      </c>
      <c r="B688" t="s">
        <v>18</v>
      </c>
      <c r="C688">
        <v>337500</v>
      </c>
      <c r="D688" t="s">
        <v>30</v>
      </c>
      <c r="E688" t="s">
        <v>31</v>
      </c>
      <c r="F688" t="s">
        <v>32</v>
      </c>
      <c r="G688" t="s">
        <v>22</v>
      </c>
      <c r="H688" t="s">
        <v>96</v>
      </c>
      <c r="I688" t="s">
        <v>24</v>
      </c>
      <c r="J688">
        <v>126760.5</v>
      </c>
      <c r="K688">
        <v>18000</v>
      </c>
      <c r="L688" t="s">
        <v>51</v>
      </c>
      <c r="M688" t="s">
        <v>26</v>
      </c>
      <c r="N688" t="s">
        <v>27</v>
      </c>
      <c r="O688" t="s">
        <v>35</v>
      </c>
      <c r="P688" t="s">
        <v>26</v>
      </c>
      <c r="Q688">
        <v>0</v>
      </c>
    </row>
    <row r="689" spans="1:17" x14ac:dyDescent="0.25">
      <c r="A689" t="s">
        <v>17</v>
      </c>
      <c r="B689" t="s">
        <v>18</v>
      </c>
      <c r="C689">
        <v>180000</v>
      </c>
      <c r="D689" t="s">
        <v>44</v>
      </c>
      <c r="E689" t="s">
        <v>20</v>
      </c>
      <c r="F689" t="s">
        <v>32</v>
      </c>
      <c r="G689" t="s">
        <v>73</v>
      </c>
      <c r="H689" t="s">
        <v>37</v>
      </c>
      <c r="I689" t="s">
        <v>24</v>
      </c>
      <c r="J689">
        <v>93015</v>
      </c>
      <c r="K689">
        <v>9301.5</v>
      </c>
      <c r="L689" t="s">
        <v>45</v>
      </c>
      <c r="M689" t="s">
        <v>26</v>
      </c>
      <c r="N689" t="s">
        <v>27</v>
      </c>
      <c r="O689" t="s">
        <v>35</v>
      </c>
      <c r="P689" t="s">
        <v>26</v>
      </c>
      <c r="Q689">
        <v>0</v>
      </c>
    </row>
    <row r="690" spans="1:17" x14ac:dyDescent="0.25">
      <c r="A690" t="s">
        <v>29</v>
      </c>
      <c r="B690" t="s">
        <v>18</v>
      </c>
      <c r="C690">
        <v>112500</v>
      </c>
      <c r="D690" t="s">
        <v>46</v>
      </c>
      <c r="E690" t="s">
        <v>20</v>
      </c>
      <c r="F690" t="s">
        <v>32</v>
      </c>
      <c r="G690" t="s">
        <v>22</v>
      </c>
      <c r="H690" t="s">
        <v>28</v>
      </c>
      <c r="I690" t="s">
        <v>24</v>
      </c>
      <c r="J690">
        <v>45616.5</v>
      </c>
      <c r="K690">
        <v>0</v>
      </c>
      <c r="L690" t="s">
        <v>42</v>
      </c>
      <c r="M690" t="s">
        <v>26</v>
      </c>
      <c r="N690" t="s">
        <v>27</v>
      </c>
      <c r="O690" t="s">
        <v>35</v>
      </c>
      <c r="P690" t="s">
        <v>26</v>
      </c>
      <c r="Q690">
        <v>0</v>
      </c>
    </row>
    <row r="691" spans="1:17" x14ac:dyDescent="0.25">
      <c r="A691" t="s">
        <v>29</v>
      </c>
      <c r="B691" t="s">
        <v>18</v>
      </c>
      <c r="C691">
        <v>117000</v>
      </c>
      <c r="D691" t="s">
        <v>19</v>
      </c>
      <c r="E691" t="s">
        <v>20</v>
      </c>
      <c r="F691" t="s">
        <v>32</v>
      </c>
      <c r="G691" t="s">
        <v>22</v>
      </c>
      <c r="H691" t="s">
        <v>68</v>
      </c>
      <c r="I691" t="s">
        <v>24</v>
      </c>
      <c r="J691">
        <v>145494</v>
      </c>
      <c r="K691">
        <v>0</v>
      </c>
      <c r="L691" t="s">
        <v>25</v>
      </c>
      <c r="M691" t="s">
        <v>26</v>
      </c>
      <c r="N691" t="s">
        <v>27</v>
      </c>
      <c r="O691" t="s">
        <v>35</v>
      </c>
      <c r="P691" t="s">
        <v>26</v>
      </c>
      <c r="Q691">
        <v>0</v>
      </c>
    </row>
    <row r="692" spans="1:17" x14ac:dyDescent="0.25">
      <c r="A692" t="s">
        <v>29</v>
      </c>
      <c r="B692" t="s">
        <v>18</v>
      </c>
      <c r="C692">
        <v>117000</v>
      </c>
      <c r="D692" t="s">
        <v>19</v>
      </c>
      <c r="E692" t="s">
        <v>20</v>
      </c>
      <c r="F692" t="s">
        <v>32</v>
      </c>
      <c r="G692" t="s">
        <v>22</v>
      </c>
      <c r="H692" t="s">
        <v>68</v>
      </c>
      <c r="I692" t="s">
        <v>24</v>
      </c>
      <c r="J692">
        <v>123453</v>
      </c>
      <c r="K692">
        <v>0</v>
      </c>
      <c r="L692" t="s">
        <v>38</v>
      </c>
      <c r="M692" t="s">
        <v>26</v>
      </c>
      <c r="N692" t="s">
        <v>58</v>
      </c>
      <c r="O692" t="s">
        <v>35</v>
      </c>
      <c r="P692" t="s">
        <v>64</v>
      </c>
      <c r="Q692">
        <v>1</v>
      </c>
    </row>
    <row r="693" spans="1:17" x14ac:dyDescent="0.25">
      <c r="A693" t="s">
        <v>29</v>
      </c>
      <c r="B693" t="s">
        <v>18</v>
      </c>
      <c r="C693">
        <v>117000</v>
      </c>
      <c r="D693" t="s">
        <v>19</v>
      </c>
      <c r="E693" t="s">
        <v>20</v>
      </c>
      <c r="F693" t="s">
        <v>32</v>
      </c>
      <c r="G693" t="s">
        <v>22</v>
      </c>
      <c r="H693" t="s">
        <v>68</v>
      </c>
      <c r="I693" t="s">
        <v>24</v>
      </c>
      <c r="J693">
        <v>84420</v>
      </c>
      <c r="K693">
        <v>9000</v>
      </c>
      <c r="L693" t="s">
        <v>25</v>
      </c>
      <c r="M693" t="s">
        <v>26</v>
      </c>
      <c r="N693" t="s">
        <v>27</v>
      </c>
      <c r="O693" t="s">
        <v>35</v>
      </c>
      <c r="P693" t="s">
        <v>26</v>
      </c>
      <c r="Q693">
        <v>0</v>
      </c>
    </row>
    <row r="694" spans="1:17" x14ac:dyDescent="0.25">
      <c r="A694" t="s">
        <v>29</v>
      </c>
      <c r="B694" t="s">
        <v>18</v>
      </c>
      <c r="C694">
        <v>117000</v>
      </c>
      <c r="D694" t="s">
        <v>19</v>
      </c>
      <c r="E694" t="s">
        <v>20</v>
      </c>
      <c r="F694" t="s">
        <v>32</v>
      </c>
      <c r="G694" t="s">
        <v>22</v>
      </c>
      <c r="H694" t="s">
        <v>68</v>
      </c>
      <c r="I694" t="s">
        <v>24</v>
      </c>
      <c r="J694">
        <v>24840</v>
      </c>
      <c r="K694">
        <v>4725</v>
      </c>
      <c r="L694" t="s">
        <v>38</v>
      </c>
      <c r="M694" t="s">
        <v>26</v>
      </c>
      <c r="N694" t="s">
        <v>27</v>
      </c>
      <c r="O694" t="s">
        <v>35</v>
      </c>
      <c r="P694" t="s">
        <v>26</v>
      </c>
      <c r="Q694">
        <v>0</v>
      </c>
    </row>
    <row r="695" spans="1:17" x14ac:dyDescent="0.25">
      <c r="A695" t="s">
        <v>17</v>
      </c>
      <c r="B695" t="s">
        <v>36</v>
      </c>
      <c r="C695">
        <v>99000</v>
      </c>
      <c r="D695" t="s">
        <v>19</v>
      </c>
      <c r="E695" t="s">
        <v>20</v>
      </c>
      <c r="F695" t="s">
        <v>32</v>
      </c>
      <c r="G695" t="s">
        <v>22</v>
      </c>
      <c r="H695" t="s">
        <v>49</v>
      </c>
      <c r="I695" t="s">
        <v>24</v>
      </c>
      <c r="J695">
        <v>126810</v>
      </c>
      <c r="K695">
        <v>25362</v>
      </c>
      <c r="L695" t="s">
        <v>45</v>
      </c>
      <c r="M695" t="s">
        <v>26</v>
      </c>
      <c r="N695" t="s">
        <v>27</v>
      </c>
      <c r="O695" t="s">
        <v>35</v>
      </c>
      <c r="P695" t="s">
        <v>26</v>
      </c>
      <c r="Q695">
        <v>0</v>
      </c>
    </row>
    <row r="696" spans="1:17" x14ac:dyDescent="0.25">
      <c r="A696" t="s">
        <v>17</v>
      </c>
      <c r="B696" t="s">
        <v>36</v>
      </c>
      <c r="C696">
        <v>292500</v>
      </c>
      <c r="D696" t="s">
        <v>19</v>
      </c>
      <c r="E696" t="s">
        <v>20</v>
      </c>
      <c r="F696" t="s">
        <v>32</v>
      </c>
      <c r="G696" t="s">
        <v>22</v>
      </c>
      <c r="H696" t="s">
        <v>65</v>
      </c>
      <c r="I696" t="s">
        <v>24</v>
      </c>
      <c r="J696">
        <v>243000</v>
      </c>
      <c r="K696">
        <v>0</v>
      </c>
      <c r="L696" t="s">
        <v>25</v>
      </c>
      <c r="M696" t="s">
        <v>26</v>
      </c>
      <c r="N696" t="s">
        <v>27</v>
      </c>
      <c r="O696" t="s">
        <v>35</v>
      </c>
      <c r="P696" t="s">
        <v>26</v>
      </c>
      <c r="Q696">
        <v>0</v>
      </c>
    </row>
    <row r="697" spans="1:17" x14ac:dyDescent="0.25">
      <c r="A697" t="s">
        <v>29</v>
      </c>
      <c r="B697" t="s">
        <v>18</v>
      </c>
      <c r="C697">
        <v>31500</v>
      </c>
      <c r="D697" t="s">
        <v>46</v>
      </c>
      <c r="E697" t="s">
        <v>104</v>
      </c>
      <c r="F697" t="s">
        <v>32</v>
      </c>
      <c r="G697" t="s">
        <v>22</v>
      </c>
      <c r="H697" t="s">
        <v>28</v>
      </c>
      <c r="I697" t="s">
        <v>66</v>
      </c>
      <c r="J697">
        <v>90000</v>
      </c>
      <c r="K697">
        <v>0</v>
      </c>
      <c r="L697" t="s">
        <v>45</v>
      </c>
      <c r="M697" t="s">
        <v>28</v>
      </c>
      <c r="N697" t="s">
        <v>27</v>
      </c>
      <c r="O697" t="s">
        <v>35</v>
      </c>
      <c r="P697" t="s">
        <v>26</v>
      </c>
      <c r="Q697">
        <v>0</v>
      </c>
    </row>
    <row r="698" spans="1:17" x14ac:dyDescent="0.25">
      <c r="A698" t="s">
        <v>29</v>
      </c>
      <c r="B698" t="s">
        <v>36</v>
      </c>
      <c r="C698">
        <v>157500</v>
      </c>
      <c r="D698" t="s">
        <v>19</v>
      </c>
      <c r="E698" t="s">
        <v>20</v>
      </c>
      <c r="F698" t="s">
        <v>39</v>
      </c>
      <c r="G698" t="s">
        <v>22</v>
      </c>
      <c r="H698" t="s">
        <v>56</v>
      </c>
      <c r="I698" t="s">
        <v>24</v>
      </c>
      <c r="J698">
        <v>28608.345000000001</v>
      </c>
      <c r="K698">
        <v>5721.3450000000003</v>
      </c>
      <c r="L698" t="s">
        <v>34</v>
      </c>
      <c r="M698" t="s">
        <v>26</v>
      </c>
      <c r="N698" t="s">
        <v>27</v>
      </c>
      <c r="O698" t="s">
        <v>35</v>
      </c>
      <c r="P698" t="s">
        <v>26</v>
      </c>
      <c r="Q698">
        <v>0</v>
      </c>
    </row>
    <row r="699" spans="1:17" x14ac:dyDescent="0.25">
      <c r="A699" t="s">
        <v>17</v>
      </c>
      <c r="B699" t="s">
        <v>36</v>
      </c>
      <c r="C699">
        <v>108000</v>
      </c>
      <c r="D699" t="s">
        <v>46</v>
      </c>
      <c r="E699" t="s">
        <v>31</v>
      </c>
      <c r="F699" t="s">
        <v>39</v>
      </c>
      <c r="G699" t="s">
        <v>22</v>
      </c>
      <c r="H699" t="s">
        <v>28</v>
      </c>
      <c r="I699" t="s">
        <v>24</v>
      </c>
      <c r="J699">
        <v>111780</v>
      </c>
      <c r="K699">
        <v>0</v>
      </c>
      <c r="L699" t="s">
        <v>34</v>
      </c>
      <c r="M699" t="s">
        <v>26</v>
      </c>
      <c r="N699" t="s">
        <v>27</v>
      </c>
      <c r="O699" t="s">
        <v>35</v>
      </c>
      <c r="P699" t="s">
        <v>26</v>
      </c>
      <c r="Q699">
        <v>0</v>
      </c>
    </row>
    <row r="700" spans="1:17" x14ac:dyDescent="0.25">
      <c r="A700" t="s">
        <v>29</v>
      </c>
      <c r="B700" t="s">
        <v>18</v>
      </c>
      <c r="C700">
        <v>171000</v>
      </c>
      <c r="D700" t="s">
        <v>46</v>
      </c>
      <c r="E700" t="s">
        <v>104</v>
      </c>
      <c r="F700" t="s">
        <v>32</v>
      </c>
      <c r="G700" t="s">
        <v>22</v>
      </c>
      <c r="H700" t="s">
        <v>28</v>
      </c>
      <c r="I700" t="s">
        <v>24</v>
      </c>
      <c r="J700">
        <v>44752.5</v>
      </c>
      <c r="K700">
        <v>9000</v>
      </c>
      <c r="L700" t="s">
        <v>45</v>
      </c>
      <c r="M700" t="s">
        <v>26</v>
      </c>
      <c r="N700" t="s">
        <v>58</v>
      </c>
      <c r="O700" t="s">
        <v>35</v>
      </c>
      <c r="P700" t="s">
        <v>60</v>
      </c>
      <c r="Q700">
        <v>1</v>
      </c>
    </row>
    <row r="701" spans="1:17" x14ac:dyDescent="0.25">
      <c r="A701" t="s">
        <v>29</v>
      </c>
      <c r="B701" t="s">
        <v>18</v>
      </c>
      <c r="C701">
        <v>171000</v>
      </c>
      <c r="D701" t="s">
        <v>46</v>
      </c>
      <c r="E701" t="s">
        <v>104</v>
      </c>
      <c r="F701" t="s">
        <v>32</v>
      </c>
      <c r="G701" t="s">
        <v>22</v>
      </c>
      <c r="H701" t="s">
        <v>28</v>
      </c>
      <c r="I701" t="s">
        <v>24</v>
      </c>
      <c r="J701">
        <v>24745.5</v>
      </c>
      <c r="K701">
        <v>4950</v>
      </c>
      <c r="L701" t="s">
        <v>42</v>
      </c>
      <c r="M701" t="s">
        <v>26</v>
      </c>
      <c r="N701" t="s">
        <v>27</v>
      </c>
      <c r="O701" t="s">
        <v>35</v>
      </c>
      <c r="P701" t="s">
        <v>26</v>
      </c>
      <c r="Q701">
        <v>0</v>
      </c>
    </row>
    <row r="702" spans="1:17" x14ac:dyDescent="0.25">
      <c r="A702" t="s">
        <v>17</v>
      </c>
      <c r="B702" t="s">
        <v>18</v>
      </c>
      <c r="C702">
        <v>135000</v>
      </c>
      <c r="D702" t="s">
        <v>44</v>
      </c>
      <c r="E702" t="s">
        <v>104</v>
      </c>
      <c r="F702" t="s">
        <v>32</v>
      </c>
      <c r="G702" t="s">
        <v>62</v>
      </c>
      <c r="H702" t="s">
        <v>53</v>
      </c>
      <c r="I702" t="s">
        <v>24</v>
      </c>
      <c r="J702">
        <v>52897.5</v>
      </c>
      <c r="K702">
        <v>5292</v>
      </c>
      <c r="L702" t="s">
        <v>51</v>
      </c>
      <c r="M702" t="s">
        <v>26</v>
      </c>
      <c r="N702" t="s">
        <v>27</v>
      </c>
      <c r="O702" t="s">
        <v>35</v>
      </c>
      <c r="P702" t="s">
        <v>26</v>
      </c>
      <c r="Q702">
        <v>0</v>
      </c>
    </row>
    <row r="703" spans="1:17" x14ac:dyDescent="0.25">
      <c r="A703" t="s">
        <v>17</v>
      </c>
      <c r="B703" t="s">
        <v>18</v>
      </c>
      <c r="C703">
        <v>180000</v>
      </c>
      <c r="D703" t="s">
        <v>19</v>
      </c>
      <c r="E703" t="s">
        <v>20</v>
      </c>
      <c r="F703" t="s">
        <v>32</v>
      </c>
      <c r="G703" t="s">
        <v>22</v>
      </c>
      <c r="H703" t="s">
        <v>48</v>
      </c>
      <c r="I703" t="s">
        <v>24</v>
      </c>
      <c r="J703">
        <v>27675</v>
      </c>
      <c r="K703">
        <v>6750</v>
      </c>
      <c r="L703" t="s">
        <v>42</v>
      </c>
      <c r="M703" t="s">
        <v>26</v>
      </c>
      <c r="N703" t="s">
        <v>58</v>
      </c>
      <c r="O703" t="s">
        <v>28</v>
      </c>
      <c r="P703" t="s">
        <v>64</v>
      </c>
      <c r="Q703">
        <v>1</v>
      </c>
    </row>
    <row r="704" spans="1:17" x14ac:dyDescent="0.25">
      <c r="A704" t="s">
        <v>17</v>
      </c>
      <c r="B704" t="s">
        <v>18</v>
      </c>
      <c r="C704">
        <v>180000</v>
      </c>
      <c r="D704" t="s">
        <v>19</v>
      </c>
      <c r="E704" t="s">
        <v>20</v>
      </c>
      <c r="F704" t="s">
        <v>32</v>
      </c>
      <c r="G704" t="s">
        <v>22</v>
      </c>
      <c r="H704" t="s">
        <v>48</v>
      </c>
      <c r="I704" t="s">
        <v>24</v>
      </c>
      <c r="J704">
        <v>57555</v>
      </c>
      <c r="K704">
        <v>5755.5</v>
      </c>
      <c r="L704" t="s">
        <v>43</v>
      </c>
      <c r="M704" t="s">
        <v>26</v>
      </c>
      <c r="N704" t="s">
        <v>27</v>
      </c>
      <c r="O704" t="s">
        <v>28</v>
      </c>
      <c r="P704" t="s">
        <v>26</v>
      </c>
      <c r="Q704">
        <v>0</v>
      </c>
    </row>
    <row r="705" spans="1:17" x14ac:dyDescent="0.25">
      <c r="A705" t="s">
        <v>29</v>
      </c>
      <c r="B705" t="s">
        <v>18</v>
      </c>
      <c r="C705">
        <v>270000</v>
      </c>
      <c r="D705" t="s">
        <v>19</v>
      </c>
      <c r="E705" t="s">
        <v>20</v>
      </c>
      <c r="F705" t="s">
        <v>32</v>
      </c>
      <c r="G705" t="s">
        <v>22</v>
      </c>
      <c r="H705" t="s">
        <v>23</v>
      </c>
      <c r="I705" t="s">
        <v>24</v>
      </c>
      <c r="J705">
        <v>81216</v>
      </c>
      <c r="K705">
        <v>8100</v>
      </c>
      <c r="L705" t="s">
        <v>38</v>
      </c>
      <c r="M705" t="s">
        <v>26</v>
      </c>
      <c r="N705" t="s">
        <v>27</v>
      </c>
      <c r="O705" t="s">
        <v>83</v>
      </c>
      <c r="P705" t="s">
        <v>26</v>
      </c>
      <c r="Q705">
        <v>0</v>
      </c>
    </row>
    <row r="706" spans="1:17" x14ac:dyDescent="0.25">
      <c r="A706" t="s">
        <v>29</v>
      </c>
      <c r="B706" t="s">
        <v>18</v>
      </c>
      <c r="C706">
        <v>270000</v>
      </c>
      <c r="D706" t="s">
        <v>19</v>
      </c>
      <c r="E706" t="s">
        <v>20</v>
      </c>
      <c r="F706" t="s">
        <v>32</v>
      </c>
      <c r="G706" t="s">
        <v>22</v>
      </c>
      <c r="H706" t="s">
        <v>23</v>
      </c>
      <c r="I706" t="s">
        <v>24</v>
      </c>
      <c r="J706">
        <v>46116</v>
      </c>
      <c r="K706">
        <v>6750</v>
      </c>
      <c r="L706" t="s">
        <v>51</v>
      </c>
      <c r="M706" t="s">
        <v>26</v>
      </c>
      <c r="N706" t="s">
        <v>27</v>
      </c>
      <c r="O706" t="s">
        <v>35</v>
      </c>
      <c r="P706" t="s">
        <v>26</v>
      </c>
      <c r="Q706">
        <v>0</v>
      </c>
    </row>
    <row r="707" spans="1:17" x14ac:dyDescent="0.25">
      <c r="A707" t="s">
        <v>29</v>
      </c>
      <c r="B707" t="s">
        <v>18</v>
      </c>
      <c r="C707">
        <v>270000</v>
      </c>
      <c r="D707" t="s">
        <v>19</v>
      </c>
      <c r="E707" t="s">
        <v>20</v>
      </c>
      <c r="F707" t="s">
        <v>32</v>
      </c>
      <c r="G707" t="s">
        <v>22</v>
      </c>
      <c r="H707" t="s">
        <v>23</v>
      </c>
      <c r="I707" t="s">
        <v>24</v>
      </c>
      <c r="J707">
        <v>36846</v>
      </c>
      <c r="K707">
        <v>3685.5</v>
      </c>
      <c r="L707" t="s">
        <v>51</v>
      </c>
      <c r="M707" t="s">
        <v>26</v>
      </c>
      <c r="N707" t="s">
        <v>27</v>
      </c>
      <c r="O707" t="s">
        <v>35</v>
      </c>
      <c r="P707" t="s">
        <v>26</v>
      </c>
      <c r="Q707">
        <v>0</v>
      </c>
    </row>
    <row r="708" spans="1:17" x14ac:dyDescent="0.25">
      <c r="A708" t="s">
        <v>29</v>
      </c>
      <c r="B708" t="s">
        <v>18</v>
      </c>
      <c r="C708">
        <v>270000</v>
      </c>
      <c r="D708" t="s">
        <v>44</v>
      </c>
      <c r="E708" t="s">
        <v>31</v>
      </c>
      <c r="F708" t="s">
        <v>32</v>
      </c>
      <c r="G708" t="s">
        <v>22</v>
      </c>
      <c r="H708" t="s">
        <v>23</v>
      </c>
      <c r="I708" t="s">
        <v>24</v>
      </c>
      <c r="J708">
        <v>117562.5</v>
      </c>
      <c r="K708">
        <v>0</v>
      </c>
      <c r="L708" t="s">
        <v>25</v>
      </c>
      <c r="M708" t="s">
        <v>26</v>
      </c>
      <c r="N708" t="s">
        <v>27</v>
      </c>
      <c r="O708" t="s">
        <v>35</v>
      </c>
      <c r="P708" t="s">
        <v>26</v>
      </c>
      <c r="Q708">
        <v>0</v>
      </c>
    </row>
    <row r="709" spans="1:17" x14ac:dyDescent="0.25">
      <c r="A709" t="s">
        <v>17</v>
      </c>
      <c r="B709" t="s">
        <v>18</v>
      </c>
      <c r="C709">
        <v>135000</v>
      </c>
      <c r="D709" t="s">
        <v>46</v>
      </c>
      <c r="E709" t="s">
        <v>20</v>
      </c>
      <c r="F709" t="s">
        <v>32</v>
      </c>
      <c r="G709" t="s">
        <v>22</v>
      </c>
      <c r="H709" t="s">
        <v>28</v>
      </c>
      <c r="I709" t="s">
        <v>24</v>
      </c>
      <c r="J709">
        <v>17482.5</v>
      </c>
      <c r="K709">
        <v>1750.5</v>
      </c>
      <c r="L709" t="s">
        <v>51</v>
      </c>
      <c r="M709" t="s">
        <v>26</v>
      </c>
      <c r="N709" t="s">
        <v>27</v>
      </c>
      <c r="O709" t="s">
        <v>35</v>
      </c>
      <c r="P709" t="s">
        <v>26</v>
      </c>
      <c r="Q709">
        <v>0</v>
      </c>
    </row>
    <row r="710" spans="1:17" x14ac:dyDescent="0.25">
      <c r="A710" t="s">
        <v>17</v>
      </c>
      <c r="B710" t="s">
        <v>18</v>
      </c>
      <c r="C710">
        <v>126000</v>
      </c>
      <c r="D710" t="s">
        <v>19</v>
      </c>
      <c r="E710" t="s">
        <v>20</v>
      </c>
      <c r="F710" t="s">
        <v>32</v>
      </c>
      <c r="G710" t="s">
        <v>22</v>
      </c>
      <c r="H710" t="s">
        <v>23</v>
      </c>
      <c r="I710" t="s">
        <v>24</v>
      </c>
      <c r="J710">
        <v>22500</v>
      </c>
      <c r="K710">
        <v>2250</v>
      </c>
      <c r="L710" t="s">
        <v>43</v>
      </c>
      <c r="M710" t="s">
        <v>26</v>
      </c>
      <c r="N710" t="s">
        <v>27</v>
      </c>
      <c r="O710" t="s">
        <v>35</v>
      </c>
      <c r="P710" t="s">
        <v>26</v>
      </c>
      <c r="Q710">
        <v>0</v>
      </c>
    </row>
    <row r="711" spans="1:17" x14ac:dyDescent="0.25">
      <c r="A711" t="s">
        <v>29</v>
      </c>
      <c r="B711" t="s">
        <v>18</v>
      </c>
      <c r="C711">
        <v>85500</v>
      </c>
      <c r="D711" t="s">
        <v>46</v>
      </c>
      <c r="E711" t="s">
        <v>20</v>
      </c>
      <c r="F711" t="s">
        <v>54</v>
      </c>
      <c r="G711" t="s">
        <v>22</v>
      </c>
      <c r="H711" t="s">
        <v>28</v>
      </c>
      <c r="I711" t="s">
        <v>24</v>
      </c>
      <c r="J711">
        <v>60169.5</v>
      </c>
      <c r="K711">
        <v>0</v>
      </c>
      <c r="L711" t="s">
        <v>25</v>
      </c>
      <c r="M711" t="s">
        <v>26</v>
      </c>
      <c r="N711" t="s">
        <v>58</v>
      </c>
      <c r="O711" t="s">
        <v>35</v>
      </c>
      <c r="P711" t="s">
        <v>64</v>
      </c>
      <c r="Q711">
        <v>1</v>
      </c>
    </row>
    <row r="712" spans="1:17" x14ac:dyDescent="0.25">
      <c r="A712" t="s">
        <v>29</v>
      </c>
      <c r="B712" t="s">
        <v>18</v>
      </c>
      <c r="C712">
        <v>85500</v>
      </c>
      <c r="D712" t="s">
        <v>46</v>
      </c>
      <c r="E712" t="s">
        <v>20</v>
      </c>
      <c r="F712" t="s">
        <v>54</v>
      </c>
      <c r="G712" t="s">
        <v>22</v>
      </c>
      <c r="H712" t="s">
        <v>28</v>
      </c>
      <c r="I712" t="s">
        <v>24</v>
      </c>
      <c r="J712">
        <v>118075.5</v>
      </c>
      <c r="K712">
        <v>0</v>
      </c>
      <c r="L712" t="s">
        <v>42</v>
      </c>
      <c r="M712" t="s">
        <v>26</v>
      </c>
      <c r="N712" t="s">
        <v>27</v>
      </c>
      <c r="O712" t="s">
        <v>35</v>
      </c>
      <c r="P712" t="s">
        <v>26</v>
      </c>
      <c r="Q712">
        <v>0</v>
      </c>
    </row>
    <row r="713" spans="1:17" x14ac:dyDescent="0.25">
      <c r="A713" t="s">
        <v>29</v>
      </c>
      <c r="B713" t="s">
        <v>18</v>
      </c>
      <c r="C713">
        <v>85500</v>
      </c>
      <c r="D713" t="s">
        <v>46</v>
      </c>
      <c r="E713" t="s">
        <v>20</v>
      </c>
      <c r="F713" t="s">
        <v>54</v>
      </c>
      <c r="G713" t="s">
        <v>22</v>
      </c>
      <c r="H713" t="s">
        <v>28</v>
      </c>
      <c r="I713" t="s">
        <v>24</v>
      </c>
      <c r="J713">
        <v>141930</v>
      </c>
      <c r="K713">
        <v>14193</v>
      </c>
      <c r="L713" t="s">
        <v>34</v>
      </c>
      <c r="M713" t="s">
        <v>26</v>
      </c>
      <c r="N713" t="s">
        <v>27</v>
      </c>
      <c r="O713" t="s">
        <v>35</v>
      </c>
      <c r="P713" t="s">
        <v>26</v>
      </c>
      <c r="Q713">
        <v>0</v>
      </c>
    </row>
    <row r="714" spans="1:17" x14ac:dyDescent="0.25">
      <c r="A714" t="s">
        <v>29</v>
      </c>
      <c r="B714" t="s">
        <v>18</v>
      </c>
      <c r="C714">
        <v>85500</v>
      </c>
      <c r="D714" t="s">
        <v>46</v>
      </c>
      <c r="E714" t="s">
        <v>20</v>
      </c>
      <c r="F714" t="s">
        <v>54</v>
      </c>
      <c r="G714" t="s">
        <v>22</v>
      </c>
      <c r="H714" t="s">
        <v>28</v>
      </c>
      <c r="I714" t="s">
        <v>24</v>
      </c>
      <c r="J714">
        <v>68647.5</v>
      </c>
      <c r="K714">
        <v>6867</v>
      </c>
      <c r="L714" t="s">
        <v>43</v>
      </c>
      <c r="M714" t="s">
        <v>26</v>
      </c>
      <c r="N714" t="s">
        <v>27</v>
      </c>
      <c r="O714" t="s">
        <v>28</v>
      </c>
      <c r="P714" t="s">
        <v>26</v>
      </c>
      <c r="Q714">
        <v>0</v>
      </c>
    </row>
    <row r="715" spans="1:17" x14ac:dyDescent="0.25">
      <c r="A715" t="s">
        <v>29</v>
      </c>
      <c r="B715" t="s">
        <v>18</v>
      </c>
      <c r="C715">
        <v>85500</v>
      </c>
      <c r="D715" t="s">
        <v>46</v>
      </c>
      <c r="E715" t="s">
        <v>20</v>
      </c>
      <c r="F715" t="s">
        <v>54</v>
      </c>
      <c r="G715" t="s">
        <v>22</v>
      </c>
      <c r="H715" t="s">
        <v>28</v>
      </c>
      <c r="I715" t="s">
        <v>24</v>
      </c>
      <c r="J715">
        <v>118426.5</v>
      </c>
      <c r="K715">
        <v>0</v>
      </c>
      <c r="L715" t="s">
        <v>45</v>
      </c>
      <c r="M715" t="s">
        <v>26</v>
      </c>
      <c r="N715" t="s">
        <v>58</v>
      </c>
      <c r="O715" t="s">
        <v>35</v>
      </c>
      <c r="P715" t="s">
        <v>64</v>
      </c>
      <c r="Q715">
        <v>1</v>
      </c>
    </row>
    <row r="716" spans="1:17" x14ac:dyDescent="0.25">
      <c r="A716" t="s">
        <v>29</v>
      </c>
      <c r="B716" t="s">
        <v>18</v>
      </c>
      <c r="C716">
        <v>85500</v>
      </c>
      <c r="D716" t="s">
        <v>46</v>
      </c>
      <c r="E716" t="s">
        <v>20</v>
      </c>
      <c r="F716" t="s">
        <v>54</v>
      </c>
      <c r="G716" t="s">
        <v>22</v>
      </c>
      <c r="H716" t="s">
        <v>28</v>
      </c>
      <c r="I716" t="s">
        <v>24</v>
      </c>
      <c r="J716">
        <v>43645.5</v>
      </c>
      <c r="K716">
        <v>0</v>
      </c>
      <c r="L716" t="s">
        <v>51</v>
      </c>
      <c r="M716" t="s">
        <v>26</v>
      </c>
      <c r="N716" t="s">
        <v>27</v>
      </c>
      <c r="O716" t="s">
        <v>35</v>
      </c>
      <c r="P716" t="s">
        <v>26</v>
      </c>
      <c r="Q716">
        <v>0</v>
      </c>
    </row>
    <row r="717" spans="1:17" x14ac:dyDescent="0.25">
      <c r="A717" t="s">
        <v>29</v>
      </c>
      <c r="B717" t="s">
        <v>18</v>
      </c>
      <c r="C717">
        <v>85500</v>
      </c>
      <c r="D717" t="s">
        <v>46</v>
      </c>
      <c r="E717" t="s">
        <v>20</v>
      </c>
      <c r="F717" t="s">
        <v>54</v>
      </c>
      <c r="G717" t="s">
        <v>22</v>
      </c>
      <c r="H717" t="s">
        <v>28</v>
      </c>
      <c r="I717" t="s">
        <v>24</v>
      </c>
      <c r="J717">
        <v>118426.5</v>
      </c>
      <c r="K717">
        <v>0</v>
      </c>
      <c r="L717" t="s">
        <v>45</v>
      </c>
      <c r="M717" t="s">
        <v>26</v>
      </c>
      <c r="N717" t="s">
        <v>58</v>
      </c>
      <c r="O717" t="s">
        <v>35</v>
      </c>
      <c r="P717" t="s">
        <v>64</v>
      </c>
      <c r="Q717">
        <v>1</v>
      </c>
    </row>
    <row r="718" spans="1:17" x14ac:dyDescent="0.25">
      <c r="A718" t="s">
        <v>29</v>
      </c>
      <c r="B718" t="s">
        <v>18</v>
      </c>
      <c r="C718">
        <v>85500</v>
      </c>
      <c r="D718" t="s">
        <v>46</v>
      </c>
      <c r="E718" t="s">
        <v>20</v>
      </c>
      <c r="F718" t="s">
        <v>54</v>
      </c>
      <c r="G718" t="s">
        <v>22</v>
      </c>
      <c r="H718" t="s">
        <v>28</v>
      </c>
      <c r="I718" t="s">
        <v>24</v>
      </c>
      <c r="J718">
        <v>90432</v>
      </c>
      <c r="K718">
        <v>0</v>
      </c>
      <c r="L718" t="s">
        <v>25</v>
      </c>
      <c r="M718" t="s">
        <v>26</v>
      </c>
      <c r="N718" t="s">
        <v>27</v>
      </c>
      <c r="O718" t="s">
        <v>35</v>
      </c>
      <c r="P718" t="s">
        <v>26</v>
      </c>
      <c r="Q718">
        <v>0</v>
      </c>
    </row>
    <row r="719" spans="1:17" x14ac:dyDescent="0.25">
      <c r="A719" t="s">
        <v>17</v>
      </c>
      <c r="B719" t="s">
        <v>18</v>
      </c>
      <c r="C719">
        <v>103500</v>
      </c>
      <c r="D719" t="s">
        <v>19</v>
      </c>
      <c r="E719" t="s">
        <v>20</v>
      </c>
      <c r="F719" t="s">
        <v>21</v>
      </c>
      <c r="G719" t="s">
        <v>22</v>
      </c>
      <c r="H719" t="s">
        <v>23</v>
      </c>
      <c r="I719" t="s">
        <v>24</v>
      </c>
      <c r="J719">
        <v>88110</v>
      </c>
      <c r="K719">
        <v>18000</v>
      </c>
      <c r="L719" t="s">
        <v>43</v>
      </c>
      <c r="M719" t="s">
        <v>26</v>
      </c>
      <c r="N719" t="s">
        <v>27</v>
      </c>
      <c r="O719" t="s">
        <v>83</v>
      </c>
      <c r="P719" t="s">
        <v>26</v>
      </c>
      <c r="Q719">
        <v>0</v>
      </c>
    </row>
    <row r="720" spans="1:17" x14ac:dyDescent="0.25">
      <c r="A720" t="s">
        <v>17</v>
      </c>
      <c r="B720" t="s">
        <v>18</v>
      </c>
      <c r="C720">
        <v>103500</v>
      </c>
      <c r="D720" t="s">
        <v>19</v>
      </c>
      <c r="E720" t="s">
        <v>20</v>
      </c>
      <c r="F720" t="s">
        <v>21</v>
      </c>
      <c r="G720" t="s">
        <v>22</v>
      </c>
      <c r="H720" t="s">
        <v>23</v>
      </c>
      <c r="I720" t="s">
        <v>24</v>
      </c>
      <c r="J720">
        <v>67360.5</v>
      </c>
      <c r="K720">
        <v>6750</v>
      </c>
      <c r="L720" t="s">
        <v>34</v>
      </c>
      <c r="M720" t="s">
        <v>26</v>
      </c>
      <c r="N720" t="s">
        <v>27</v>
      </c>
      <c r="O720" t="s">
        <v>35</v>
      </c>
      <c r="P720" t="s">
        <v>26</v>
      </c>
      <c r="Q720">
        <v>0</v>
      </c>
    </row>
    <row r="721" spans="1:17" x14ac:dyDescent="0.25">
      <c r="A721" t="s">
        <v>29</v>
      </c>
      <c r="B721" t="s">
        <v>36</v>
      </c>
      <c r="C721">
        <v>225000</v>
      </c>
      <c r="D721" t="s">
        <v>19</v>
      </c>
      <c r="E721" t="s">
        <v>20</v>
      </c>
      <c r="F721" t="s">
        <v>32</v>
      </c>
      <c r="G721" t="s">
        <v>22</v>
      </c>
      <c r="H721" t="s">
        <v>23</v>
      </c>
      <c r="I721" t="s">
        <v>24</v>
      </c>
      <c r="J721">
        <v>563800.5</v>
      </c>
      <c r="K721">
        <v>0</v>
      </c>
      <c r="L721" t="s">
        <v>45</v>
      </c>
      <c r="M721" t="s">
        <v>26</v>
      </c>
      <c r="N721" t="s">
        <v>27</v>
      </c>
      <c r="O721" t="s">
        <v>35</v>
      </c>
      <c r="P721" t="s">
        <v>26</v>
      </c>
      <c r="Q721">
        <v>0</v>
      </c>
    </row>
    <row r="722" spans="1:17" x14ac:dyDescent="0.25">
      <c r="A722" t="s">
        <v>29</v>
      </c>
      <c r="B722" t="s">
        <v>36</v>
      </c>
      <c r="C722">
        <v>90000</v>
      </c>
      <c r="D722" t="s">
        <v>19</v>
      </c>
      <c r="E722" t="s">
        <v>20</v>
      </c>
      <c r="F722" t="s">
        <v>32</v>
      </c>
      <c r="G722" t="s">
        <v>22</v>
      </c>
      <c r="H722" t="s">
        <v>41</v>
      </c>
      <c r="I722" t="s">
        <v>24</v>
      </c>
      <c r="J722">
        <v>123831</v>
      </c>
      <c r="K722">
        <v>0</v>
      </c>
      <c r="L722" t="s">
        <v>38</v>
      </c>
      <c r="M722" t="s">
        <v>26</v>
      </c>
      <c r="N722" t="s">
        <v>27</v>
      </c>
      <c r="O722" t="s">
        <v>35</v>
      </c>
      <c r="P722" t="s">
        <v>26</v>
      </c>
      <c r="Q722">
        <v>0</v>
      </c>
    </row>
    <row r="723" spans="1:17" x14ac:dyDescent="0.25">
      <c r="A723" t="s">
        <v>29</v>
      </c>
      <c r="B723" t="s">
        <v>18</v>
      </c>
      <c r="C723">
        <v>106398</v>
      </c>
      <c r="D723" t="s">
        <v>44</v>
      </c>
      <c r="E723" t="s">
        <v>31</v>
      </c>
      <c r="F723" t="s">
        <v>21</v>
      </c>
      <c r="G723" t="s">
        <v>22</v>
      </c>
      <c r="H723" t="s">
        <v>23</v>
      </c>
      <c r="I723" t="s">
        <v>24</v>
      </c>
      <c r="J723">
        <v>22455</v>
      </c>
      <c r="K723">
        <v>4500</v>
      </c>
      <c r="L723" t="s">
        <v>25</v>
      </c>
      <c r="M723" t="s">
        <v>26</v>
      </c>
      <c r="N723" t="s">
        <v>27</v>
      </c>
      <c r="O723" t="s">
        <v>35</v>
      </c>
      <c r="P723" t="s">
        <v>26</v>
      </c>
      <c r="Q723">
        <v>0</v>
      </c>
    </row>
    <row r="724" spans="1:17" x14ac:dyDescent="0.25">
      <c r="A724" t="s">
        <v>29</v>
      </c>
      <c r="B724" t="s">
        <v>18</v>
      </c>
      <c r="C724">
        <v>106398</v>
      </c>
      <c r="D724" t="s">
        <v>44</v>
      </c>
      <c r="E724" t="s">
        <v>31</v>
      </c>
      <c r="F724" t="s">
        <v>21</v>
      </c>
      <c r="G724" t="s">
        <v>22</v>
      </c>
      <c r="H724" t="s">
        <v>23</v>
      </c>
      <c r="I724" t="s">
        <v>24</v>
      </c>
      <c r="J724">
        <v>67239</v>
      </c>
      <c r="K724">
        <v>6727.5</v>
      </c>
      <c r="L724" t="s">
        <v>25</v>
      </c>
      <c r="M724" t="s">
        <v>26</v>
      </c>
      <c r="N724" t="s">
        <v>27</v>
      </c>
      <c r="O724" t="s">
        <v>35</v>
      </c>
      <c r="P724" t="s">
        <v>26</v>
      </c>
      <c r="Q724">
        <v>0</v>
      </c>
    </row>
    <row r="725" spans="1:17" x14ac:dyDescent="0.25">
      <c r="A725" t="s">
        <v>29</v>
      </c>
      <c r="B725" t="s">
        <v>18</v>
      </c>
      <c r="C725">
        <v>106398</v>
      </c>
      <c r="D725" t="s">
        <v>44</v>
      </c>
      <c r="E725" t="s">
        <v>31</v>
      </c>
      <c r="F725" t="s">
        <v>21</v>
      </c>
      <c r="G725" t="s">
        <v>22</v>
      </c>
      <c r="H725" t="s">
        <v>23</v>
      </c>
      <c r="I725" t="s">
        <v>24</v>
      </c>
      <c r="J725">
        <v>76360.41</v>
      </c>
      <c r="K725">
        <v>7636.41</v>
      </c>
      <c r="L725" t="s">
        <v>45</v>
      </c>
      <c r="M725" t="s">
        <v>26</v>
      </c>
      <c r="N725" t="s">
        <v>27</v>
      </c>
      <c r="O725" t="s">
        <v>35</v>
      </c>
      <c r="P725" t="s">
        <v>26</v>
      </c>
      <c r="Q725">
        <v>0</v>
      </c>
    </row>
    <row r="726" spans="1:17" x14ac:dyDescent="0.25">
      <c r="A726" t="s">
        <v>29</v>
      </c>
      <c r="B726" t="s">
        <v>18</v>
      </c>
      <c r="C726">
        <v>106398</v>
      </c>
      <c r="D726" t="s">
        <v>44</v>
      </c>
      <c r="E726" t="s">
        <v>31</v>
      </c>
      <c r="F726" t="s">
        <v>21</v>
      </c>
      <c r="G726" t="s">
        <v>22</v>
      </c>
      <c r="H726" t="s">
        <v>23</v>
      </c>
      <c r="I726" t="s">
        <v>24</v>
      </c>
      <c r="J726">
        <v>30105</v>
      </c>
      <c r="K726">
        <v>0</v>
      </c>
      <c r="L726" t="s">
        <v>45</v>
      </c>
      <c r="M726" t="s">
        <v>26</v>
      </c>
      <c r="N726" t="s">
        <v>27</v>
      </c>
      <c r="O726" t="s">
        <v>35</v>
      </c>
      <c r="P726" t="s">
        <v>26</v>
      </c>
      <c r="Q726">
        <v>0</v>
      </c>
    </row>
    <row r="727" spans="1:17" x14ac:dyDescent="0.25">
      <c r="A727" t="s">
        <v>29</v>
      </c>
      <c r="B727" t="s">
        <v>18</v>
      </c>
      <c r="C727">
        <v>247500</v>
      </c>
      <c r="D727" t="s">
        <v>19</v>
      </c>
      <c r="E727" t="s">
        <v>20</v>
      </c>
      <c r="F727" t="s">
        <v>32</v>
      </c>
      <c r="G727" t="s">
        <v>22</v>
      </c>
      <c r="H727" t="s">
        <v>23</v>
      </c>
      <c r="I727" t="s">
        <v>24</v>
      </c>
      <c r="J727">
        <v>21303</v>
      </c>
      <c r="K727">
        <v>2250</v>
      </c>
      <c r="L727" t="s">
        <v>51</v>
      </c>
      <c r="M727" t="s">
        <v>26</v>
      </c>
      <c r="N727" t="s">
        <v>27</v>
      </c>
      <c r="O727" t="s">
        <v>35</v>
      </c>
      <c r="P727" t="s">
        <v>26</v>
      </c>
      <c r="Q727">
        <v>0</v>
      </c>
    </row>
    <row r="728" spans="1:17" x14ac:dyDescent="0.25">
      <c r="A728" t="s">
        <v>29</v>
      </c>
      <c r="B728" t="s">
        <v>18</v>
      </c>
      <c r="C728">
        <v>247500</v>
      </c>
      <c r="D728" t="s">
        <v>19</v>
      </c>
      <c r="E728" t="s">
        <v>20</v>
      </c>
      <c r="F728" t="s">
        <v>32</v>
      </c>
      <c r="G728" t="s">
        <v>22</v>
      </c>
      <c r="H728" t="s">
        <v>23</v>
      </c>
      <c r="I728" t="s">
        <v>24</v>
      </c>
      <c r="J728">
        <v>438750</v>
      </c>
      <c r="K728">
        <v>0</v>
      </c>
      <c r="L728" t="s">
        <v>25</v>
      </c>
      <c r="M728" t="s">
        <v>26</v>
      </c>
      <c r="N728" t="s">
        <v>58</v>
      </c>
      <c r="O728" t="s">
        <v>35</v>
      </c>
      <c r="P728" t="s">
        <v>60</v>
      </c>
      <c r="Q728">
        <v>1</v>
      </c>
    </row>
    <row r="729" spans="1:17" x14ac:dyDescent="0.25">
      <c r="A729" t="s">
        <v>29</v>
      </c>
      <c r="B729" t="s">
        <v>18</v>
      </c>
      <c r="C729">
        <v>247500</v>
      </c>
      <c r="D729" t="s">
        <v>19</v>
      </c>
      <c r="E729" t="s">
        <v>20</v>
      </c>
      <c r="F729" t="s">
        <v>32</v>
      </c>
      <c r="G729" t="s">
        <v>22</v>
      </c>
      <c r="H729" t="s">
        <v>23</v>
      </c>
      <c r="I729" t="s">
        <v>24</v>
      </c>
      <c r="J729">
        <v>64980</v>
      </c>
      <c r="K729">
        <v>6750</v>
      </c>
      <c r="L729" t="s">
        <v>25</v>
      </c>
      <c r="M729" t="s">
        <v>26</v>
      </c>
      <c r="N729" t="s">
        <v>27</v>
      </c>
      <c r="O729" t="s">
        <v>35</v>
      </c>
      <c r="P729" t="s">
        <v>26</v>
      </c>
      <c r="Q729">
        <v>0</v>
      </c>
    </row>
    <row r="730" spans="1:17" x14ac:dyDescent="0.25">
      <c r="A730" t="s">
        <v>17</v>
      </c>
      <c r="B730" t="s">
        <v>18</v>
      </c>
      <c r="C730">
        <v>202500</v>
      </c>
      <c r="D730" t="s">
        <v>19</v>
      </c>
      <c r="E730" t="s">
        <v>31</v>
      </c>
      <c r="F730" t="s">
        <v>32</v>
      </c>
      <c r="G730" t="s">
        <v>22</v>
      </c>
      <c r="H730" t="s">
        <v>23</v>
      </c>
      <c r="I730" t="s">
        <v>24</v>
      </c>
      <c r="J730">
        <v>76941</v>
      </c>
      <c r="K730">
        <v>0</v>
      </c>
      <c r="L730" t="s">
        <v>38</v>
      </c>
      <c r="M730" t="s">
        <v>26</v>
      </c>
      <c r="N730" t="s">
        <v>27</v>
      </c>
      <c r="O730" t="s">
        <v>35</v>
      </c>
      <c r="P730" t="s">
        <v>26</v>
      </c>
      <c r="Q730">
        <v>0</v>
      </c>
    </row>
    <row r="731" spans="1:17" x14ac:dyDescent="0.25">
      <c r="A731" t="s">
        <v>29</v>
      </c>
      <c r="B731" t="s">
        <v>18</v>
      </c>
      <c r="C731">
        <v>112500</v>
      </c>
      <c r="D731" t="s">
        <v>30</v>
      </c>
      <c r="E731" t="s">
        <v>20</v>
      </c>
      <c r="F731" t="s">
        <v>32</v>
      </c>
      <c r="G731" t="s">
        <v>22</v>
      </c>
      <c r="H731" t="s">
        <v>56</v>
      </c>
      <c r="I731" t="s">
        <v>24</v>
      </c>
      <c r="J731">
        <v>115650</v>
      </c>
      <c r="K731">
        <v>11565</v>
      </c>
      <c r="L731" t="s">
        <v>34</v>
      </c>
      <c r="M731" t="s">
        <v>26</v>
      </c>
      <c r="N731" t="s">
        <v>27</v>
      </c>
      <c r="O731" t="s">
        <v>28</v>
      </c>
      <c r="P731" t="s">
        <v>26</v>
      </c>
      <c r="Q731">
        <v>0</v>
      </c>
    </row>
    <row r="732" spans="1:17" x14ac:dyDescent="0.25">
      <c r="A732" t="s">
        <v>29</v>
      </c>
      <c r="B732" t="s">
        <v>18</v>
      </c>
      <c r="C732">
        <v>112500</v>
      </c>
      <c r="D732" t="s">
        <v>30</v>
      </c>
      <c r="E732" t="s">
        <v>20</v>
      </c>
      <c r="F732" t="s">
        <v>32</v>
      </c>
      <c r="G732" t="s">
        <v>22</v>
      </c>
      <c r="H732" t="s">
        <v>56</v>
      </c>
      <c r="I732" t="s">
        <v>24</v>
      </c>
      <c r="J732">
        <v>203539.5</v>
      </c>
      <c r="K732">
        <v>0</v>
      </c>
      <c r="L732" t="s">
        <v>34</v>
      </c>
      <c r="M732" t="s">
        <v>26</v>
      </c>
      <c r="N732" t="s">
        <v>27</v>
      </c>
      <c r="O732" t="s">
        <v>28</v>
      </c>
      <c r="P732" t="s">
        <v>26</v>
      </c>
      <c r="Q732">
        <v>0</v>
      </c>
    </row>
    <row r="733" spans="1:17" x14ac:dyDescent="0.25">
      <c r="A733" t="s">
        <v>29</v>
      </c>
      <c r="B733" t="s">
        <v>18</v>
      </c>
      <c r="C733">
        <v>112500</v>
      </c>
      <c r="D733" t="s">
        <v>30</v>
      </c>
      <c r="E733" t="s">
        <v>20</v>
      </c>
      <c r="F733" t="s">
        <v>32</v>
      </c>
      <c r="G733" t="s">
        <v>22</v>
      </c>
      <c r="H733" t="s">
        <v>56</v>
      </c>
      <c r="I733" t="s">
        <v>24</v>
      </c>
      <c r="J733">
        <v>73197</v>
      </c>
      <c r="K733">
        <v>7321.5</v>
      </c>
      <c r="L733" t="s">
        <v>34</v>
      </c>
      <c r="M733" t="s">
        <v>26</v>
      </c>
      <c r="N733" t="s">
        <v>27</v>
      </c>
      <c r="O733" t="s">
        <v>28</v>
      </c>
      <c r="P733" t="s">
        <v>26</v>
      </c>
      <c r="Q733">
        <v>0</v>
      </c>
    </row>
    <row r="734" spans="1:17" x14ac:dyDescent="0.25">
      <c r="A734" t="s">
        <v>29</v>
      </c>
      <c r="B734" t="s">
        <v>18</v>
      </c>
      <c r="C734">
        <v>112500</v>
      </c>
      <c r="D734" t="s">
        <v>30</v>
      </c>
      <c r="E734" t="s">
        <v>20</v>
      </c>
      <c r="F734" t="s">
        <v>32</v>
      </c>
      <c r="G734" t="s">
        <v>22</v>
      </c>
      <c r="H734" t="s">
        <v>56</v>
      </c>
      <c r="I734" t="s">
        <v>24</v>
      </c>
      <c r="J734">
        <v>229500</v>
      </c>
      <c r="K734">
        <v>0</v>
      </c>
      <c r="L734" t="s">
        <v>34</v>
      </c>
      <c r="M734" t="s">
        <v>26</v>
      </c>
      <c r="N734" t="s">
        <v>27</v>
      </c>
      <c r="O734" t="s">
        <v>35</v>
      </c>
      <c r="P734" t="s">
        <v>26</v>
      </c>
      <c r="Q734">
        <v>0</v>
      </c>
    </row>
    <row r="735" spans="1:17" x14ac:dyDescent="0.25">
      <c r="A735" t="s">
        <v>29</v>
      </c>
      <c r="B735" t="s">
        <v>18</v>
      </c>
      <c r="C735">
        <v>112500</v>
      </c>
      <c r="D735" t="s">
        <v>30</v>
      </c>
      <c r="E735" t="s">
        <v>20</v>
      </c>
      <c r="F735" t="s">
        <v>32</v>
      </c>
      <c r="G735" t="s">
        <v>22</v>
      </c>
      <c r="H735" t="s">
        <v>56</v>
      </c>
      <c r="I735" t="s">
        <v>24</v>
      </c>
      <c r="J735">
        <v>59715</v>
      </c>
      <c r="K735">
        <v>5971.5</v>
      </c>
      <c r="L735" t="s">
        <v>51</v>
      </c>
      <c r="M735" t="s">
        <v>26</v>
      </c>
      <c r="N735" t="s">
        <v>27</v>
      </c>
      <c r="O735" t="s">
        <v>28</v>
      </c>
      <c r="P735" t="s">
        <v>26</v>
      </c>
      <c r="Q735">
        <v>0</v>
      </c>
    </row>
    <row r="736" spans="1:17" x14ac:dyDescent="0.25">
      <c r="A736" t="s">
        <v>29</v>
      </c>
      <c r="B736" t="s">
        <v>18</v>
      </c>
      <c r="C736">
        <v>112500</v>
      </c>
      <c r="D736" t="s">
        <v>30</v>
      </c>
      <c r="E736" t="s">
        <v>20</v>
      </c>
      <c r="F736" t="s">
        <v>32</v>
      </c>
      <c r="G736" t="s">
        <v>22</v>
      </c>
      <c r="H736" t="s">
        <v>56</v>
      </c>
      <c r="I736" t="s">
        <v>24</v>
      </c>
      <c r="J736">
        <v>131157</v>
      </c>
      <c r="K736">
        <v>13117.5</v>
      </c>
      <c r="L736" t="s">
        <v>25</v>
      </c>
      <c r="M736" t="s">
        <v>26</v>
      </c>
      <c r="N736" t="s">
        <v>27</v>
      </c>
      <c r="O736" t="s">
        <v>28</v>
      </c>
      <c r="P736" t="s">
        <v>26</v>
      </c>
      <c r="Q736">
        <v>0</v>
      </c>
    </row>
    <row r="737" spans="1:17" x14ac:dyDescent="0.25">
      <c r="A737" t="s">
        <v>29</v>
      </c>
      <c r="B737" t="s">
        <v>18</v>
      </c>
      <c r="C737">
        <v>157500</v>
      </c>
      <c r="D737" t="s">
        <v>19</v>
      </c>
      <c r="E737" t="s">
        <v>20</v>
      </c>
      <c r="F737" t="s">
        <v>32</v>
      </c>
      <c r="G737" t="s">
        <v>22</v>
      </c>
      <c r="H737" t="s">
        <v>23</v>
      </c>
      <c r="I737" t="s">
        <v>24</v>
      </c>
      <c r="J737">
        <v>78255</v>
      </c>
      <c r="K737">
        <v>3915</v>
      </c>
      <c r="L737" t="s">
        <v>45</v>
      </c>
      <c r="M737" t="s">
        <v>26</v>
      </c>
      <c r="N737" t="s">
        <v>27</v>
      </c>
      <c r="O737" t="s">
        <v>35</v>
      </c>
      <c r="P737" t="s">
        <v>26</v>
      </c>
      <c r="Q737">
        <v>0</v>
      </c>
    </row>
    <row r="738" spans="1:17" x14ac:dyDescent="0.25">
      <c r="A738" t="s">
        <v>17</v>
      </c>
      <c r="B738" t="s">
        <v>18</v>
      </c>
      <c r="C738">
        <v>144000</v>
      </c>
      <c r="D738" t="s">
        <v>44</v>
      </c>
      <c r="E738" t="s">
        <v>20</v>
      </c>
      <c r="F738" t="s">
        <v>32</v>
      </c>
      <c r="G738" t="s">
        <v>22</v>
      </c>
      <c r="H738" t="s">
        <v>65</v>
      </c>
      <c r="I738" t="s">
        <v>24</v>
      </c>
      <c r="J738">
        <v>33466.5</v>
      </c>
      <c r="K738">
        <v>3600</v>
      </c>
      <c r="L738" t="s">
        <v>38</v>
      </c>
      <c r="M738" t="s">
        <v>26</v>
      </c>
      <c r="N738" t="s">
        <v>27</v>
      </c>
      <c r="O738" t="s">
        <v>35</v>
      </c>
      <c r="P738" t="s">
        <v>26</v>
      </c>
      <c r="Q738">
        <v>0</v>
      </c>
    </row>
    <row r="739" spans="1:17" x14ac:dyDescent="0.25">
      <c r="A739" t="s">
        <v>17</v>
      </c>
      <c r="B739" t="s">
        <v>18</v>
      </c>
      <c r="C739">
        <v>144000</v>
      </c>
      <c r="D739" t="s">
        <v>44</v>
      </c>
      <c r="E739" t="s">
        <v>20</v>
      </c>
      <c r="F739" t="s">
        <v>32</v>
      </c>
      <c r="G739" t="s">
        <v>22</v>
      </c>
      <c r="H739" t="s">
        <v>65</v>
      </c>
      <c r="I739" t="s">
        <v>24</v>
      </c>
      <c r="J739">
        <v>34875</v>
      </c>
      <c r="K739">
        <v>3487.5</v>
      </c>
      <c r="L739" t="s">
        <v>45</v>
      </c>
      <c r="M739" t="s">
        <v>26</v>
      </c>
      <c r="N739" t="s">
        <v>27</v>
      </c>
      <c r="O739" t="s">
        <v>35</v>
      </c>
      <c r="P739" t="s">
        <v>26</v>
      </c>
      <c r="Q739">
        <v>0</v>
      </c>
    </row>
    <row r="740" spans="1:17" x14ac:dyDescent="0.25">
      <c r="A740" t="s">
        <v>17</v>
      </c>
      <c r="B740" t="s">
        <v>18</v>
      </c>
      <c r="C740">
        <v>144000</v>
      </c>
      <c r="D740" t="s">
        <v>44</v>
      </c>
      <c r="E740" t="s">
        <v>20</v>
      </c>
      <c r="F740" t="s">
        <v>32</v>
      </c>
      <c r="G740" t="s">
        <v>22</v>
      </c>
      <c r="H740" t="s">
        <v>65</v>
      </c>
      <c r="I740" t="s">
        <v>24</v>
      </c>
      <c r="J740">
        <v>66352.5</v>
      </c>
      <c r="K740">
        <v>6637.5</v>
      </c>
      <c r="L740" t="s">
        <v>43</v>
      </c>
      <c r="M740" t="s">
        <v>26</v>
      </c>
      <c r="N740" t="s">
        <v>27</v>
      </c>
      <c r="O740" t="s">
        <v>35</v>
      </c>
      <c r="P740" t="s">
        <v>26</v>
      </c>
      <c r="Q740">
        <v>0</v>
      </c>
    </row>
    <row r="741" spans="1:17" x14ac:dyDescent="0.25">
      <c r="A741" t="s">
        <v>17</v>
      </c>
      <c r="B741" t="s">
        <v>18</v>
      </c>
      <c r="C741">
        <v>144000</v>
      </c>
      <c r="D741" t="s">
        <v>44</v>
      </c>
      <c r="E741" t="s">
        <v>20</v>
      </c>
      <c r="F741" t="s">
        <v>32</v>
      </c>
      <c r="G741" t="s">
        <v>22</v>
      </c>
      <c r="H741" t="s">
        <v>65</v>
      </c>
      <c r="I741" t="s">
        <v>24</v>
      </c>
      <c r="J741">
        <v>26726.400000000001</v>
      </c>
      <c r="K741">
        <v>0</v>
      </c>
      <c r="L741" t="s">
        <v>34</v>
      </c>
      <c r="M741" t="s">
        <v>26</v>
      </c>
      <c r="N741" t="s">
        <v>76</v>
      </c>
      <c r="O741" t="s">
        <v>35</v>
      </c>
      <c r="P741" t="s">
        <v>77</v>
      </c>
      <c r="Q741">
        <v>0</v>
      </c>
    </row>
    <row r="742" spans="1:17" x14ac:dyDescent="0.25">
      <c r="A742" t="s">
        <v>29</v>
      </c>
      <c r="B742" t="s">
        <v>18</v>
      </c>
      <c r="C742">
        <v>180000</v>
      </c>
      <c r="D742" t="s">
        <v>44</v>
      </c>
      <c r="E742" t="s">
        <v>31</v>
      </c>
      <c r="F742" t="s">
        <v>39</v>
      </c>
      <c r="G742" t="s">
        <v>22</v>
      </c>
      <c r="H742" t="s">
        <v>23</v>
      </c>
      <c r="I742" t="s">
        <v>24</v>
      </c>
      <c r="J742">
        <v>120582</v>
      </c>
      <c r="K742">
        <v>0</v>
      </c>
      <c r="L742" t="s">
        <v>25</v>
      </c>
      <c r="M742" t="s">
        <v>26</v>
      </c>
      <c r="N742" t="s">
        <v>27</v>
      </c>
      <c r="O742" t="s">
        <v>35</v>
      </c>
      <c r="P742" t="s">
        <v>26</v>
      </c>
      <c r="Q742">
        <v>0</v>
      </c>
    </row>
    <row r="743" spans="1:17" x14ac:dyDescent="0.25">
      <c r="A743" t="s">
        <v>29</v>
      </c>
      <c r="B743" t="s">
        <v>36</v>
      </c>
      <c r="C743">
        <v>229500</v>
      </c>
      <c r="D743" t="s">
        <v>19</v>
      </c>
      <c r="E743" t="s">
        <v>31</v>
      </c>
      <c r="F743" t="s">
        <v>32</v>
      </c>
      <c r="G743" t="s">
        <v>22</v>
      </c>
      <c r="H743" t="s">
        <v>105</v>
      </c>
      <c r="I743" t="s">
        <v>24</v>
      </c>
      <c r="J743">
        <v>82273.5</v>
      </c>
      <c r="K743">
        <v>0</v>
      </c>
      <c r="L743" t="s">
        <v>25</v>
      </c>
      <c r="M743" t="s">
        <v>26</v>
      </c>
      <c r="N743" t="s">
        <v>27</v>
      </c>
      <c r="O743" t="s">
        <v>35</v>
      </c>
      <c r="P743" t="s">
        <v>26</v>
      </c>
      <c r="Q743">
        <v>0</v>
      </c>
    </row>
    <row r="744" spans="1:17" x14ac:dyDescent="0.25">
      <c r="A744" t="s">
        <v>29</v>
      </c>
      <c r="B744" t="s">
        <v>36</v>
      </c>
      <c r="C744">
        <v>229500</v>
      </c>
      <c r="D744" t="s">
        <v>19</v>
      </c>
      <c r="E744" t="s">
        <v>31</v>
      </c>
      <c r="F744" t="s">
        <v>32</v>
      </c>
      <c r="G744" t="s">
        <v>22</v>
      </c>
      <c r="H744" t="s">
        <v>105</v>
      </c>
      <c r="I744" t="s">
        <v>24</v>
      </c>
      <c r="J744">
        <v>67761</v>
      </c>
      <c r="K744">
        <v>0</v>
      </c>
      <c r="L744" t="s">
        <v>34</v>
      </c>
      <c r="M744" t="s">
        <v>26</v>
      </c>
      <c r="N744" t="s">
        <v>27</v>
      </c>
      <c r="O744" t="s">
        <v>35</v>
      </c>
      <c r="P744" t="s">
        <v>26</v>
      </c>
      <c r="Q744">
        <v>0</v>
      </c>
    </row>
    <row r="745" spans="1:17" x14ac:dyDescent="0.25">
      <c r="A745" t="s">
        <v>29</v>
      </c>
      <c r="B745" t="s">
        <v>36</v>
      </c>
      <c r="C745">
        <v>229500</v>
      </c>
      <c r="D745" t="s">
        <v>19</v>
      </c>
      <c r="E745" t="s">
        <v>31</v>
      </c>
      <c r="F745" t="s">
        <v>32</v>
      </c>
      <c r="G745" t="s">
        <v>22</v>
      </c>
      <c r="H745" t="s">
        <v>105</v>
      </c>
      <c r="I745" t="s">
        <v>24</v>
      </c>
      <c r="J745">
        <v>91570.5</v>
      </c>
      <c r="K745">
        <v>0</v>
      </c>
      <c r="L745" t="s">
        <v>45</v>
      </c>
      <c r="M745" t="s">
        <v>26</v>
      </c>
      <c r="N745" t="s">
        <v>27</v>
      </c>
      <c r="O745" t="s">
        <v>35</v>
      </c>
      <c r="P745" t="s">
        <v>26</v>
      </c>
      <c r="Q745">
        <v>0</v>
      </c>
    </row>
    <row r="746" spans="1:17" x14ac:dyDescent="0.25">
      <c r="A746" t="s">
        <v>29</v>
      </c>
      <c r="B746" t="s">
        <v>36</v>
      </c>
      <c r="C746">
        <v>229500</v>
      </c>
      <c r="D746" t="s">
        <v>19</v>
      </c>
      <c r="E746" t="s">
        <v>31</v>
      </c>
      <c r="F746" t="s">
        <v>32</v>
      </c>
      <c r="G746" t="s">
        <v>22</v>
      </c>
      <c r="H746" t="s">
        <v>105</v>
      </c>
      <c r="I746" t="s">
        <v>24</v>
      </c>
      <c r="J746">
        <v>225000</v>
      </c>
      <c r="K746">
        <v>22500</v>
      </c>
      <c r="L746" t="s">
        <v>51</v>
      </c>
      <c r="M746" t="s">
        <v>26</v>
      </c>
      <c r="N746" t="s">
        <v>27</v>
      </c>
      <c r="O746" t="s">
        <v>35</v>
      </c>
      <c r="P746" t="s">
        <v>26</v>
      </c>
      <c r="Q746">
        <v>0</v>
      </c>
    </row>
    <row r="747" spans="1:17" x14ac:dyDescent="0.25">
      <c r="A747" t="s">
        <v>29</v>
      </c>
      <c r="B747" t="s">
        <v>36</v>
      </c>
      <c r="C747">
        <v>229500</v>
      </c>
      <c r="D747" t="s">
        <v>19</v>
      </c>
      <c r="E747" t="s">
        <v>31</v>
      </c>
      <c r="F747" t="s">
        <v>32</v>
      </c>
      <c r="G747" t="s">
        <v>22</v>
      </c>
      <c r="H747" t="s">
        <v>105</v>
      </c>
      <c r="I747" t="s">
        <v>24</v>
      </c>
      <c r="J747">
        <v>91570.5</v>
      </c>
      <c r="K747">
        <v>0</v>
      </c>
      <c r="L747" t="s">
        <v>45</v>
      </c>
      <c r="M747" t="s">
        <v>26</v>
      </c>
      <c r="N747" t="s">
        <v>58</v>
      </c>
      <c r="O747" t="s">
        <v>35</v>
      </c>
      <c r="P747" t="s">
        <v>64</v>
      </c>
      <c r="Q747">
        <v>1</v>
      </c>
    </row>
    <row r="748" spans="1:17" x14ac:dyDescent="0.25">
      <c r="A748" t="s">
        <v>29</v>
      </c>
      <c r="B748" t="s">
        <v>36</v>
      </c>
      <c r="C748">
        <v>229500</v>
      </c>
      <c r="D748" t="s">
        <v>19</v>
      </c>
      <c r="E748" t="s">
        <v>31</v>
      </c>
      <c r="F748" t="s">
        <v>32</v>
      </c>
      <c r="G748" t="s">
        <v>22</v>
      </c>
      <c r="H748" t="s">
        <v>105</v>
      </c>
      <c r="I748" t="s">
        <v>24</v>
      </c>
      <c r="J748">
        <v>76495.5</v>
      </c>
      <c r="K748">
        <v>0</v>
      </c>
      <c r="L748" t="s">
        <v>38</v>
      </c>
      <c r="M748" t="s">
        <v>26</v>
      </c>
      <c r="N748" t="s">
        <v>27</v>
      </c>
      <c r="O748" t="s">
        <v>35</v>
      </c>
      <c r="P748" t="s">
        <v>26</v>
      </c>
      <c r="Q748">
        <v>0</v>
      </c>
    </row>
    <row r="749" spans="1:17" x14ac:dyDescent="0.25">
      <c r="A749" t="s">
        <v>17</v>
      </c>
      <c r="B749" t="s">
        <v>36</v>
      </c>
      <c r="C749">
        <v>225000</v>
      </c>
      <c r="D749" t="s">
        <v>46</v>
      </c>
      <c r="E749" t="s">
        <v>20</v>
      </c>
      <c r="F749" t="s">
        <v>32</v>
      </c>
      <c r="G749" t="s">
        <v>22</v>
      </c>
      <c r="H749" t="s">
        <v>28</v>
      </c>
      <c r="I749" t="s">
        <v>24</v>
      </c>
      <c r="J749">
        <v>68040</v>
      </c>
      <c r="K749">
        <v>6804</v>
      </c>
      <c r="L749" t="s">
        <v>43</v>
      </c>
      <c r="M749" t="s">
        <v>26</v>
      </c>
      <c r="N749" t="s">
        <v>27</v>
      </c>
      <c r="O749" t="s">
        <v>83</v>
      </c>
      <c r="P749" t="s">
        <v>26</v>
      </c>
      <c r="Q749">
        <v>0</v>
      </c>
    </row>
    <row r="750" spans="1:17" x14ac:dyDescent="0.25">
      <c r="A750" t="s">
        <v>29</v>
      </c>
      <c r="B750" t="s">
        <v>18</v>
      </c>
      <c r="C750">
        <v>184500</v>
      </c>
      <c r="D750" t="s">
        <v>46</v>
      </c>
      <c r="E750" t="s">
        <v>20</v>
      </c>
      <c r="F750" t="s">
        <v>32</v>
      </c>
      <c r="G750" t="s">
        <v>22</v>
      </c>
      <c r="H750" t="s">
        <v>28</v>
      </c>
      <c r="I750" t="s">
        <v>24</v>
      </c>
      <c r="J750">
        <v>204277.5</v>
      </c>
      <c r="K750">
        <v>0</v>
      </c>
      <c r="L750" t="s">
        <v>42</v>
      </c>
      <c r="M750" t="s">
        <v>26</v>
      </c>
      <c r="N750" t="s">
        <v>27</v>
      </c>
      <c r="O750" t="s">
        <v>35</v>
      </c>
      <c r="P750" t="s">
        <v>26</v>
      </c>
      <c r="Q750">
        <v>0</v>
      </c>
    </row>
    <row r="751" spans="1:17" x14ac:dyDescent="0.25">
      <c r="A751" t="s">
        <v>29</v>
      </c>
      <c r="B751" t="s">
        <v>18</v>
      </c>
      <c r="C751">
        <v>180000</v>
      </c>
      <c r="D751" t="s">
        <v>44</v>
      </c>
      <c r="E751" t="s">
        <v>20</v>
      </c>
      <c r="F751" t="s">
        <v>21</v>
      </c>
      <c r="G751" t="s">
        <v>22</v>
      </c>
      <c r="H751" t="s">
        <v>49</v>
      </c>
      <c r="I751" t="s">
        <v>24</v>
      </c>
      <c r="J751">
        <v>182947.5</v>
      </c>
      <c r="K751">
        <v>18297</v>
      </c>
      <c r="L751" t="s">
        <v>34</v>
      </c>
      <c r="M751" t="s">
        <v>26</v>
      </c>
      <c r="N751" t="s">
        <v>27</v>
      </c>
      <c r="O751" t="s">
        <v>28</v>
      </c>
      <c r="P751" t="s">
        <v>26</v>
      </c>
      <c r="Q751">
        <v>0</v>
      </c>
    </row>
    <row r="752" spans="1:17" x14ac:dyDescent="0.25">
      <c r="A752" t="s">
        <v>29</v>
      </c>
      <c r="B752" t="s">
        <v>36</v>
      </c>
      <c r="C752">
        <v>292500</v>
      </c>
      <c r="D752" t="s">
        <v>44</v>
      </c>
      <c r="E752" t="s">
        <v>70</v>
      </c>
      <c r="F752" t="s">
        <v>69</v>
      </c>
      <c r="G752" t="s">
        <v>22</v>
      </c>
      <c r="H752" t="s">
        <v>23</v>
      </c>
      <c r="I752" t="s">
        <v>24</v>
      </c>
      <c r="J752">
        <v>124785</v>
      </c>
      <c r="K752">
        <v>13500</v>
      </c>
      <c r="L752" t="s">
        <v>43</v>
      </c>
      <c r="M752" t="s">
        <v>26</v>
      </c>
      <c r="N752" t="s">
        <v>27</v>
      </c>
      <c r="O752" t="s">
        <v>35</v>
      </c>
      <c r="P752" t="s">
        <v>26</v>
      </c>
      <c r="Q752">
        <v>0</v>
      </c>
    </row>
    <row r="753" spans="1:17" x14ac:dyDescent="0.25">
      <c r="A753" t="s">
        <v>29</v>
      </c>
      <c r="B753" t="s">
        <v>18</v>
      </c>
      <c r="C753">
        <v>135000</v>
      </c>
      <c r="D753" t="s">
        <v>19</v>
      </c>
      <c r="E753" t="s">
        <v>31</v>
      </c>
      <c r="F753" t="s">
        <v>32</v>
      </c>
      <c r="G753" t="s">
        <v>22</v>
      </c>
      <c r="H753" t="s">
        <v>49</v>
      </c>
      <c r="I753" t="s">
        <v>24</v>
      </c>
      <c r="J753">
        <v>62055</v>
      </c>
      <c r="K753">
        <v>11250</v>
      </c>
      <c r="L753" t="s">
        <v>34</v>
      </c>
      <c r="M753" t="s">
        <v>26</v>
      </c>
      <c r="N753" t="s">
        <v>27</v>
      </c>
      <c r="O753" t="s">
        <v>35</v>
      </c>
      <c r="P753" t="s">
        <v>26</v>
      </c>
      <c r="Q753">
        <v>0</v>
      </c>
    </row>
    <row r="754" spans="1:17" x14ac:dyDescent="0.25">
      <c r="A754" t="s">
        <v>29</v>
      </c>
      <c r="B754" t="s">
        <v>18</v>
      </c>
      <c r="C754">
        <v>135000</v>
      </c>
      <c r="D754" t="s">
        <v>19</v>
      </c>
      <c r="E754" t="s">
        <v>31</v>
      </c>
      <c r="F754" t="s">
        <v>32</v>
      </c>
      <c r="G754" t="s">
        <v>22</v>
      </c>
      <c r="H754" t="s">
        <v>49</v>
      </c>
      <c r="I754" t="s">
        <v>24</v>
      </c>
      <c r="J754">
        <v>29650.5</v>
      </c>
      <c r="K754">
        <v>2965.5</v>
      </c>
      <c r="L754" t="s">
        <v>45</v>
      </c>
      <c r="M754" t="s">
        <v>26</v>
      </c>
      <c r="N754" t="s">
        <v>27</v>
      </c>
      <c r="O754" t="s">
        <v>35</v>
      </c>
      <c r="P754" t="s">
        <v>26</v>
      </c>
      <c r="Q754">
        <v>0</v>
      </c>
    </row>
    <row r="755" spans="1:17" x14ac:dyDescent="0.25">
      <c r="A755" t="s">
        <v>29</v>
      </c>
      <c r="B755" t="s">
        <v>18</v>
      </c>
      <c r="C755">
        <v>90000</v>
      </c>
      <c r="D755" t="s">
        <v>44</v>
      </c>
      <c r="E755" t="s">
        <v>70</v>
      </c>
      <c r="F755" t="s">
        <v>21</v>
      </c>
      <c r="G755" t="s">
        <v>22</v>
      </c>
      <c r="H755" t="s">
        <v>91</v>
      </c>
      <c r="I755" t="s">
        <v>24</v>
      </c>
      <c r="J755">
        <v>69705</v>
      </c>
      <c r="K755">
        <v>0</v>
      </c>
      <c r="L755" t="s">
        <v>51</v>
      </c>
      <c r="M755" t="s">
        <v>26</v>
      </c>
      <c r="N755" t="s">
        <v>76</v>
      </c>
      <c r="O755" t="s">
        <v>35</v>
      </c>
      <c r="P755" t="s">
        <v>77</v>
      </c>
      <c r="Q755">
        <v>0</v>
      </c>
    </row>
    <row r="756" spans="1:17" x14ac:dyDescent="0.25">
      <c r="A756" t="s">
        <v>29</v>
      </c>
      <c r="B756" t="s">
        <v>18</v>
      </c>
      <c r="C756">
        <v>180000</v>
      </c>
      <c r="D756" t="s">
        <v>19</v>
      </c>
      <c r="E756" t="s">
        <v>20</v>
      </c>
      <c r="F756" t="s">
        <v>21</v>
      </c>
      <c r="G756" t="s">
        <v>22</v>
      </c>
      <c r="H756" t="s">
        <v>33</v>
      </c>
      <c r="I756" t="s">
        <v>24</v>
      </c>
      <c r="J756">
        <v>82818</v>
      </c>
      <c r="K756">
        <v>0</v>
      </c>
      <c r="L756" t="s">
        <v>51</v>
      </c>
      <c r="M756" t="s">
        <v>26</v>
      </c>
      <c r="N756" t="s">
        <v>27</v>
      </c>
      <c r="O756" t="s">
        <v>35</v>
      </c>
      <c r="P756" t="s">
        <v>26</v>
      </c>
      <c r="Q756">
        <v>0</v>
      </c>
    </row>
    <row r="757" spans="1:17" x14ac:dyDescent="0.25">
      <c r="A757" t="s">
        <v>29</v>
      </c>
      <c r="B757" t="s">
        <v>18</v>
      </c>
      <c r="C757">
        <v>180000</v>
      </c>
      <c r="D757" t="s">
        <v>19</v>
      </c>
      <c r="E757" t="s">
        <v>20</v>
      </c>
      <c r="F757" t="s">
        <v>21</v>
      </c>
      <c r="G757" t="s">
        <v>22</v>
      </c>
      <c r="H757" t="s">
        <v>33</v>
      </c>
      <c r="I757" t="s">
        <v>24</v>
      </c>
      <c r="J757">
        <v>45666</v>
      </c>
      <c r="K757">
        <v>4567.5</v>
      </c>
      <c r="L757" t="s">
        <v>34</v>
      </c>
      <c r="M757" t="s">
        <v>26</v>
      </c>
      <c r="N757" t="s">
        <v>27</v>
      </c>
      <c r="O757" t="s">
        <v>35</v>
      </c>
      <c r="P757" t="s">
        <v>26</v>
      </c>
      <c r="Q757">
        <v>0</v>
      </c>
    </row>
    <row r="758" spans="1:17" x14ac:dyDescent="0.25">
      <c r="A758" t="s">
        <v>29</v>
      </c>
      <c r="B758" t="s">
        <v>18</v>
      </c>
      <c r="C758">
        <v>180000</v>
      </c>
      <c r="D758" t="s">
        <v>19</v>
      </c>
      <c r="E758" t="s">
        <v>20</v>
      </c>
      <c r="F758" t="s">
        <v>21</v>
      </c>
      <c r="G758" t="s">
        <v>22</v>
      </c>
      <c r="H758" t="s">
        <v>33</v>
      </c>
      <c r="I758" t="s">
        <v>24</v>
      </c>
      <c r="J758">
        <v>155389.5</v>
      </c>
      <c r="K758">
        <v>0</v>
      </c>
      <c r="L758" t="s">
        <v>42</v>
      </c>
      <c r="M758" t="s">
        <v>26</v>
      </c>
      <c r="N758" t="s">
        <v>27</v>
      </c>
      <c r="O758" t="s">
        <v>35</v>
      </c>
      <c r="P758" t="s">
        <v>26</v>
      </c>
      <c r="Q758">
        <v>0</v>
      </c>
    </row>
    <row r="759" spans="1:17" x14ac:dyDescent="0.25">
      <c r="A759" t="s">
        <v>29</v>
      </c>
      <c r="B759" t="s">
        <v>18</v>
      </c>
      <c r="C759">
        <v>99000</v>
      </c>
      <c r="D759" t="s">
        <v>44</v>
      </c>
      <c r="E759" t="s">
        <v>31</v>
      </c>
      <c r="F759" t="s">
        <v>21</v>
      </c>
      <c r="G759" t="s">
        <v>22</v>
      </c>
      <c r="H759" t="s">
        <v>49</v>
      </c>
      <c r="I759" t="s">
        <v>24</v>
      </c>
      <c r="J759">
        <v>36135</v>
      </c>
      <c r="K759">
        <v>3613.5</v>
      </c>
      <c r="L759" t="s">
        <v>45</v>
      </c>
      <c r="M759" t="s">
        <v>26</v>
      </c>
      <c r="N759" t="s">
        <v>27</v>
      </c>
      <c r="O759" t="s">
        <v>28</v>
      </c>
      <c r="P759" t="s">
        <v>26</v>
      </c>
      <c r="Q759">
        <v>0</v>
      </c>
    </row>
    <row r="760" spans="1:17" x14ac:dyDescent="0.25">
      <c r="A760" t="s">
        <v>29</v>
      </c>
      <c r="B760" t="s">
        <v>18</v>
      </c>
      <c r="C760">
        <v>225000</v>
      </c>
      <c r="D760" t="s">
        <v>44</v>
      </c>
      <c r="E760" t="s">
        <v>20</v>
      </c>
      <c r="F760" t="s">
        <v>32</v>
      </c>
      <c r="G760" t="s">
        <v>22</v>
      </c>
      <c r="H760" t="s">
        <v>105</v>
      </c>
      <c r="I760" t="s">
        <v>24</v>
      </c>
      <c r="J760">
        <v>202689</v>
      </c>
      <c r="K760">
        <v>0</v>
      </c>
      <c r="L760" t="s">
        <v>34</v>
      </c>
      <c r="M760" t="s">
        <v>26</v>
      </c>
      <c r="N760" t="s">
        <v>27</v>
      </c>
      <c r="O760" t="s">
        <v>35</v>
      </c>
      <c r="P760" t="s">
        <v>26</v>
      </c>
      <c r="Q760">
        <v>0</v>
      </c>
    </row>
    <row r="761" spans="1:17" x14ac:dyDescent="0.25">
      <c r="A761" t="s">
        <v>17</v>
      </c>
      <c r="B761" t="s">
        <v>36</v>
      </c>
      <c r="C761">
        <v>450000</v>
      </c>
      <c r="D761" t="s">
        <v>44</v>
      </c>
      <c r="E761" t="s">
        <v>20</v>
      </c>
      <c r="F761" t="s">
        <v>32</v>
      </c>
      <c r="G761" t="s">
        <v>22</v>
      </c>
      <c r="H761" t="s">
        <v>49</v>
      </c>
      <c r="I761" t="s">
        <v>24</v>
      </c>
      <c r="J761">
        <v>38655</v>
      </c>
      <c r="K761">
        <v>4500</v>
      </c>
      <c r="L761" t="s">
        <v>42</v>
      </c>
      <c r="M761" t="s">
        <v>26</v>
      </c>
      <c r="N761" t="s">
        <v>27</v>
      </c>
      <c r="O761" t="s">
        <v>35</v>
      </c>
      <c r="P761" t="s">
        <v>26</v>
      </c>
      <c r="Q761">
        <v>0</v>
      </c>
    </row>
    <row r="762" spans="1:17" x14ac:dyDescent="0.25">
      <c r="A762" t="s">
        <v>29</v>
      </c>
      <c r="B762" t="s">
        <v>18</v>
      </c>
      <c r="C762">
        <v>207000</v>
      </c>
      <c r="D762" t="s">
        <v>30</v>
      </c>
      <c r="E762" t="s">
        <v>20</v>
      </c>
      <c r="F762" t="s">
        <v>32</v>
      </c>
      <c r="G762" t="s">
        <v>73</v>
      </c>
      <c r="H762" t="s">
        <v>56</v>
      </c>
      <c r="I762" t="s">
        <v>24</v>
      </c>
      <c r="J762">
        <v>82336.5</v>
      </c>
      <c r="K762">
        <v>0</v>
      </c>
      <c r="L762" t="s">
        <v>25</v>
      </c>
      <c r="M762" t="s">
        <v>26</v>
      </c>
      <c r="N762" t="s">
        <v>27</v>
      </c>
      <c r="O762" t="s">
        <v>35</v>
      </c>
      <c r="P762" t="s">
        <v>26</v>
      </c>
      <c r="Q762">
        <v>0</v>
      </c>
    </row>
    <row r="763" spans="1:17" x14ac:dyDescent="0.25">
      <c r="A763" t="s">
        <v>29</v>
      </c>
      <c r="B763" t="s">
        <v>18</v>
      </c>
      <c r="C763">
        <v>207000</v>
      </c>
      <c r="D763" t="s">
        <v>30</v>
      </c>
      <c r="E763" t="s">
        <v>20</v>
      </c>
      <c r="F763" t="s">
        <v>32</v>
      </c>
      <c r="G763" t="s">
        <v>73</v>
      </c>
      <c r="H763" t="s">
        <v>56</v>
      </c>
      <c r="I763" t="s">
        <v>24</v>
      </c>
      <c r="J763">
        <v>108927</v>
      </c>
      <c r="K763">
        <v>0</v>
      </c>
      <c r="L763" t="s">
        <v>42</v>
      </c>
      <c r="M763" t="s">
        <v>26</v>
      </c>
      <c r="N763" t="s">
        <v>27</v>
      </c>
      <c r="O763" t="s">
        <v>35</v>
      </c>
      <c r="P763" t="s">
        <v>26</v>
      </c>
      <c r="Q763">
        <v>0</v>
      </c>
    </row>
    <row r="764" spans="1:17" x14ac:dyDescent="0.25">
      <c r="A764" t="s">
        <v>17</v>
      </c>
      <c r="B764" t="s">
        <v>36</v>
      </c>
      <c r="C764">
        <v>99000</v>
      </c>
      <c r="D764" t="s">
        <v>46</v>
      </c>
      <c r="E764" t="s">
        <v>20</v>
      </c>
      <c r="F764" t="s">
        <v>32</v>
      </c>
      <c r="G764" t="s">
        <v>22</v>
      </c>
      <c r="H764" t="s">
        <v>28</v>
      </c>
      <c r="I764" t="s">
        <v>24</v>
      </c>
      <c r="J764">
        <v>130945.5</v>
      </c>
      <c r="K764">
        <v>13095</v>
      </c>
      <c r="L764" t="s">
        <v>51</v>
      </c>
      <c r="M764" t="s">
        <v>26</v>
      </c>
      <c r="N764" t="s">
        <v>27</v>
      </c>
      <c r="O764" t="s">
        <v>35</v>
      </c>
      <c r="P764" t="s">
        <v>26</v>
      </c>
      <c r="Q764">
        <v>0</v>
      </c>
    </row>
    <row r="765" spans="1:17" x14ac:dyDescent="0.25">
      <c r="A765" t="s">
        <v>17</v>
      </c>
      <c r="B765" t="s">
        <v>36</v>
      </c>
      <c r="C765">
        <v>99000</v>
      </c>
      <c r="D765" t="s">
        <v>46</v>
      </c>
      <c r="E765" t="s">
        <v>20</v>
      </c>
      <c r="F765" t="s">
        <v>32</v>
      </c>
      <c r="G765" t="s">
        <v>22</v>
      </c>
      <c r="H765" t="s">
        <v>28</v>
      </c>
      <c r="I765" t="s">
        <v>66</v>
      </c>
      <c r="J765">
        <v>112500</v>
      </c>
      <c r="K765">
        <v>0</v>
      </c>
      <c r="L765" t="s">
        <v>45</v>
      </c>
      <c r="M765" t="s">
        <v>28</v>
      </c>
      <c r="N765" t="s">
        <v>27</v>
      </c>
      <c r="O765" t="s">
        <v>35</v>
      </c>
      <c r="P765" t="s">
        <v>26</v>
      </c>
      <c r="Q765">
        <v>0</v>
      </c>
    </row>
    <row r="766" spans="1:17" x14ac:dyDescent="0.25">
      <c r="A766" t="s">
        <v>17</v>
      </c>
      <c r="B766" t="s">
        <v>36</v>
      </c>
      <c r="C766">
        <v>99000</v>
      </c>
      <c r="D766" t="s">
        <v>46</v>
      </c>
      <c r="E766" t="s">
        <v>20</v>
      </c>
      <c r="F766" t="s">
        <v>32</v>
      </c>
      <c r="G766" t="s">
        <v>22</v>
      </c>
      <c r="H766" t="s">
        <v>28</v>
      </c>
      <c r="I766" t="s">
        <v>66</v>
      </c>
      <c r="J766">
        <v>270000</v>
      </c>
      <c r="K766">
        <v>0</v>
      </c>
      <c r="L766" t="s">
        <v>43</v>
      </c>
      <c r="M766" t="s">
        <v>28</v>
      </c>
      <c r="N766" t="s">
        <v>27</v>
      </c>
      <c r="O766" t="s">
        <v>35</v>
      </c>
      <c r="P766" t="s">
        <v>26</v>
      </c>
      <c r="Q766">
        <v>0</v>
      </c>
    </row>
    <row r="767" spans="1:17" x14ac:dyDescent="0.25">
      <c r="A767" t="s">
        <v>29</v>
      </c>
      <c r="B767" t="s">
        <v>18</v>
      </c>
      <c r="C767">
        <v>112500</v>
      </c>
      <c r="D767" t="s">
        <v>19</v>
      </c>
      <c r="E767" t="s">
        <v>20</v>
      </c>
      <c r="F767" t="s">
        <v>32</v>
      </c>
      <c r="G767" t="s">
        <v>22</v>
      </c>
      <c r="H767" t="s">
        <v>56</v>
      </c>
      <c r="I767" t="s">
        <v>24</v>
      </c>
      <c r="J767">
        <v>40455</v>
      </c>
      <c r="K767">
        <v>9000</v>
      </c>
      <c r="L767" t="s">
        <v>51</v>
      </c>
      <c r="M767" t="s">
        <v>26</v>
      </c>
      <c r="N767" t="s">
        <v>27</v>
      </c>
      <c r="O767" t="s">
        <v>35</v>
      </c>
      <c r="P767" t="s">
        <v>26</v>
      </c>
      <c r="Q767">
        <v>0</v>
      </c>
    </row>
    <row r="768" spans="1:17" x14ac:dyDescent="0.25">
      <c r="A768" t="s">
        <v>29</v>
      </c>
      <c r="B768" t="s">
        <v>36</v>
      </c>
      <c r="C768">
        <v>202500</v>
      </c>
      <c r="D768" t="s">
        <v>19</v>
      </c>
      <c r="E768" t="s">
        <v>31</v>
      </c>
      <c r="F768" t="s">
        <v>21</v>
      </c>
      <c r="G768" t="s">
        <v>22</v>
      </c>
      <c r="H768" t="s">
        <v>93</v>
      </c>
      <c r="I768" t="s">
        <v>24</v>
      </c>
      <c r="J768">
        <v>128565</v>
      </c>
      <c r="K768">
        <v>0</v>
      </c>
      <c r="L768" t="s">
        <v>38</v>
      </c>
      <c r="M768" t="s">
        <v>26</v>
      </c>
      <c r="N768" t="s">
        <v>27</v>
      </c>
      <c r="O768" t="s">
        <v>35</v>
      </c>
      <c r="P768" t="s">
        <v>26</v>
      </c>
      <c r="Q768">
        <v>0</v>
      </c>
    </row>
    <row r="769" spans="1:17" x14ac:dyDescent="0.25">
      <c r="A769" t="s">
        <v>29</v>
      </c>
      <c r="B769" t="s">
        <v>18</v>
      </c>
      <c r="C769">
        <v>135000</v>
      </c>
      <c r="D769" t="s">
        <v>19</v>
      </c>
      <c r="E769" t="s">
        <v>20</v>
      </c>
      <c r="F769" t="s">
        <v>69</v>
      </c>
      <c r="G769" t="s">
        <v>22</v>
      </c>
      <c r="H769" t="s">
        <v>49</v>
      </c>
      <c r="I769" t="s">
        <v>24</v>
      </c>
      <c r="J769">
        <v>120105</v>
      </c>
      <c r="K769">
        <v>0</v>
      </c>
      <c r="L769" t="s">
        <v>45</v>
      </c>
      <c r="M769" t="s">
        <v>26</v>
      </c>
      <c r="N769" t="s">
        <v>27</v>
      </c>
      <c r="O769" t="s">
        <v>35</v>
      </c>
      <c r="P769" t="s">
        <v>26</v>
      </c>
      <c r="Q769">
        <v>0</v>
      </c>
    </row>
    <row r="770" spans="1:17" x14ac:dyDescent="0.25">
      <c r="A770" t="s">
        <v>17</v>
      </c>
      <c r="B770" t="s">
        <v>36</v>
      </c>
      <c r="C770">
        <v>247500</v>
      </c>
      <c r="D770" t="s">
        <v>19</v>
      </c>
      <c r="E770" t="s">
        <v>20</v>
      </c>
      <c r="F770" t="s">
        <v>32</v>
      </c>
      <c r="G770" t="s">
        <v>22</v>
      </c>
      <c r="H770" t="s">
        <v>79</v>
      </c>
      <c r="I770" t="s">
        <v>24</v>
      </c>
      <c r="J770">
        <v>36410.400000000001</v>
      </c>
      <c r="K770">
        <v>0</v>
      </c>
      <c r="L770" t="s">
        <v>51</v>
      </c>
      <c r="M770" t="s">
        <v>26</v>
      </c>
      <c r="N770" t="s">
        <v>76</v>
      </c>
      <c r="O770" t="s">
        <v>35</v>
      </c>
      <c r="P770" t="s">
        <v>77</v>
      </c>
      <c r="Q770">
        <v>0</v>
      </c>
    </row>
    <row r="771" spans="1:17" x14ac:dyDescent="0.25">
      <c r="A771" t="s">
        <v>29</v>
      </c>
      <c r="B771" t="s">
        <v>18</v>
      </c>
      <c r="C771">
        <v>108000</v>
      </c>
      <c r="D771" t="s">
        <v>44</v>
      </c>
      <c r="E771" t="s">
        <v>31</v>
      </c>
      <c r="F771" t="s">
        <v>32</v>
      </c>
      <c r="G771" t="s">
        <v>22</v>
      </c>
      <c r="H771" t="s">
        <v>23</v>
      </c>
      <c r="I771" t="s">
        <v>24</v>
      </c>
      <c r="J771">
        <v>143932.5</v>
      </c>
      <c r="K771">
        <v>14395.5</v>
      </c>
      <c r="L771" t="s">
        <v>25</v>
      </c>
      <c r="M771" t="s">
        <v>26</v>
      </c>
      <c r="N771" t="s">
        <v>27</v>
      </c>
      <c r="O771" t="s">
        <v>35</v>
      </c>
      <c r="P771" t="s">
        <v>26</v>
      </c>
      <c r="Q771">
        <v>0</v>
      </c>
    </row>
    <row r="772" spans="1:17" x14ac:dyDescent="0.25">
      <c r="A772" t="s">
        <v>29</v>
      </c>
      <c r="B772" t="s">
        <v>18</v>
      </c>
      <c r="C772">
        <v>108000</v>
      </c>
      <c r="D772" t="s">
        <v>44</v>
      </c>
      <c r="E772" t="s">
        <v>31</v>
      </c>
      <c r="F772" t="s">
        <v>32</v>
      </c>
      <c r="G772" t="s">
        <v>22</v>
      </c>
      <c r="H772" t="s">
        <v>23</v>
      </c>
      <c r="I772" t="s">
        <v>24</v>
      </c>
      <c r="J772">
        <v>107955</v>
      </c>
      <c r="K772">
        <v>0</v>
      </c>
      <c r="L772" t="s">
        <v>43</v>
      </c>
      <c r="M772" t="s">
        <v>26</v>
      </c>
      <c r="N772" t="s">
        <v>58</v>
      </c>
      <c r="O772" t="s">
        <v>35</v>
      </c>
      <c r="P772" t="s">
        <v>60</v>
      </c>
      <c r="Q772">
        <v>1</v>
      </c>
    </row>
    <row r="773" spans="1:17" x14ac:dyDescent="0.25">
      <c r="A773" t="s">
        <v>29</v>
      </c>
      <c r="B773" t="s">
        <v>18</v>
      </c>
      <c r="C773">
        <v>108000</v>
      </c>
      <c r="D773" t="s">
        <v>44</v>
      </c>
      <c r="E773" t="s">
        <v>31</v>
      </c>
      <c r="F773" t="s">
        <v>32</v>
      </c>
      <c r="G773" t="s">
        <v>22</v>
      </c>
      <c r="H773" t="s">
        <v>23</v>
      </c>
      <c r="I773" t="s">
        <v>24</v>
      </c>
      <c r="J773">
        <v>36706.5</v>
      </c>
      <c r="K773">
        <v>3672</v>
      </c>
      <c r="L773" t="s">
        <v>42</v>
      </c>
      <c r="M773" t="s">
        <v>26</v>
      </c>
      <c r="N773" t="s">
        <v>27</v>
      </c>
      <c r="O773" t="s">
        <v>35</v>
      </c>
      <c r="P773" t="s">
        <v>26</v>
      </c>
      <c r="Q773">
        <v>0</v>
      </c>
    </row>
    <row r="774" spans="1:17" x14ac:dyDescent="0.25">
      <c r="A774" t="s">
        <v>29</v>
      </c>
      <c r="B774" t="s">
        <v>18</v>
      </c>
      <c r="C774">
        <v>108000</v>
      </c>
      <c r="D774" t="s">
        <v>44</v>
      </c>
      <c r="E774" t="s">
        <v>31</v>
      </c>
      <c r="F774" t="s">
        <v>32</v>
      </c>
      <c r="G774" t="s">
        <v>22</v>
      </c>
      <c r="H774" t="s">
        <v>23</v>
      </c>
      <c r="I774" t="s">
        <v>24</v>
      </c>
      <c r="J774">
        <v>16110</v>
      </c>
      <c r="K774">
        <v>1620</v>
      </c>
      <c r="L774" t="s">
        <v>45</v>
      </c>
      <c r="M774" t="s">
        <v>26</v>
      </c>
      <c r="N774" t="s">
        <v>27</v>
      </c>
      <c r="O774" t="s">
        <v>35</v>
      </c>
      <c r="P774" t="s">
        <v>26</v>
      </c>
      <c r="Q774">
        <v>0</v>
      </c>
    </row>
    <row r="775" spans="1:17" x14ac:dyDescent="0.25">
      <c r="A775" t="s">
        <v>29</v>
      </c>
      <c r="B775" t="s">
        <v>18</v>
      </c>
      <c r="C775">
        <v>157500</v>
      </c>
      <c r="D775" t="s">
        <v>44</v>
      </c>
      <c r="E775" t="s">
        <v>20</v>
      </c>
      <c r="F775" t="s">
        <v>32</v>
      </c>
      <c r="G775" t="s">
        <v>22</v>
      </c>
      <c r="H775" t="s">
        <v>23</v>
      </c>
      <c r="I775" t="s">
        <v>24</v>
      </c>
      <c r="J775">
        <v>33210</v>
      </c>
      <c r="K775">
        <v>9967.5</v>
      </c>
      <c r="L775" t="s">
        <v>45</v>
      </c>
      <c r="M775" t="s">
        <v>26</v>
      </c>
      <c r="N775" t="s">
        <v>27</v>
      </c>
      <c r="O775" t="s">
        <v>35</v>
      </c>
      <c r="P775" t="s">
        <v>26</v>
      </c>
      <c r="Q775">
        <v>0</v>
      </c>
    </row>
    <row r="776" spans="1:17" x14ac:dyDescent="0.25">
      <c r="A776" t="s">
        <v>29</v>
      </c>
      <c r="B776" t="s">
        <v>18</v>
      </c>
      <c r="C776">
        <v>211500</v>
      </c>
      <c r="D776" t="s">
        <v>44</v>
      </c>
      <c r="E776" t="s">
        <v>31</v>
      </c>
      <c r="F776" t="s">
        <v>69</v>
      </c>
      <c r="G776" t="s">
        <v>22</v>
      </c>
      <c r="H776" t="s">
        <v>81</v>
      </c>
      <c r="I776" t="s">
        <v>24</v>
      </c>
      <c r="J776">
        <v>90220.5</v>
      </c>
      <c r="K776">
        <v>9022.5</v>
      </c>
      <c r="L776" t="s">
        <v>51</v>
      </c>
      <c r="M776" t="s">
        <v>26</v>
      </c>
      <c r="N776" t="s">
        <v>58</v>
      </c>
      <c r="O776" t="s">
        <v>35</v>
      </c>
      <c r="P776" t="s">
        <v>59</v>
      </c>
      <c r="Q776">
        <v>1</v>
      </c>
    </row>
    <row r="777" spans="1:17" x14ac:dyDescent="0.25">
      <c r="A777" t="s">
        <v>29</v>
      </c>
      <c r="B777" t="s">
        <v>18</v>
      </c>
      <c r="C777">
        <v>270000</v>
      </c>
      <c r="D777" t="s">
        <v>44</v>
      </c>
      <c r="E777" t="s">
        <v>31</v>
      </c>
      <c r="F777" t="s">
        <v>32</v>
      </c>
      <c r="G777" t="s">
        <v>22</v>
      </c>
      <c r="H777" t="s">
        <v>23</v>
      </c>
      <c r="I777" t="s">
        <v>24</v>
      </c>
      <c r="J777">
        <v>337950</v>
      </c>
      <c r="K777">
        <v>0</v>
      </c>
      <c r="L777" t="s">
        <v>43</v>
      </c>
      <c r="M777" t="s">
        <v>26</v>
      </c>
      <c r="N777" t="s">
        <v>27</v>
      </c>
      <c r="O777" t="s">
        <v>28</v>
      </c>
      <c r="P777" t="s">
        <v>26</v>
      </c>
      <c r="Q777">
        <v>0</v>
      </c>
    </row>
    <row r="778" spans="1:17" x14ac:dyDescent="0.25">
      <c r="A778" t="s">
        <v>17</v>
      </c>
      <c r="B778" t="s">
        <v>36</v>
      </c>
      <c r="C778">
        <v>135000</v>
      </c>
      <c r="D778" t="s">
        <v>19</v>
      </c>
      <c r="E778" t="s">
        <v>20</v>
      </c>
      <c r="F778" t="s">
        <v>32</v>
      </c>
      <c r="G778" t="s">
        <v>22</v>
      </c>
      <c r="H778" t="s">
        <v>49</v>
      </c>
      <c r="I778" t="s">
        <v>24</v>
      </c>
      <c r="J778">
        <v>120348</v>
      </c>
      <c r="K778">
        <v>12037.5</v>
      </c>
      <c r="L778" t="s">
        <v>25</v>
      </c>
      <c r="M778" t="s">
        <v>26</v>
      </c>
      <c r="N778" t="s">
        <v>27</v>
      </c>
      <c r="O778" t="s">
        <v>35</v>
      </c>
      <c r="P778" t="s">
        <v>26</v>
      </c>
      <c r="Q778">
        <v>0</v>
      </c>
    </row>
    <row r="779" spans="1:17" x14ac:dyDescent="0.25">
      <c r="A779" t="s">
        <v>29</v>
      </c>
      <c r="B779" t="s">
        <v>18</v>
      </c>
      <c r="C779">
        <v>90000</v>
      </c>
      <c r="D779" t="s">
        <v>19</v>
      </c>
      <c r="E779" t="s">
        <v>20</v>
      </c>
      <c r="F779" t="s">
        <v>32</v>
      </c>
      <c r="G779" t="s">
        <v>22</v>
      </c>
      <c r="H779" t="s">
        <v>49</v>
      </c>
      <c r="I779" t="s">
        <v>24</v>
      </c>
      <c r="J779">
        <v>38880</v>
      </c>
      <c r="K779">
        <v>19440</v>
      </c>
      <c r="L779" t="s">
        <v>34</v>
      </c>
      <c r="M779" t="s">
        <v>26</v>
      </c>
      <c r="N779" t="s">
        <v>27</v>
      </c>
      <c r="O779" t="s">
        <v>35</v>
      </c>
      <c r="P779" t="s">
        <v>26</v>
      </c>
      <c r="Q779">
        <v>0</v>
      </c>
    </row>
    <row r="780" spans="1:17" x14ac:dyDescent="0.25">
      <c r="A780" t="s">
        <v>29</v>
      </c>
      <c r="B780" t="s">
        <v>18</v>
      </c>
      <c r="C780">
        <v>90000</v>
      </c>
      <c r="D780" t="s">
        <v>19</v>
      </c>
      <c r="E780" t="s">
        <v>20</v>
      </c>
      <c r="F780" t="s">
        <v>32</v>
      </c>
      <c r="G780" t="s">
        <v>22</v>
      </c>
      <c r="H780" t="s">
        <v>49</v>
      </c>
      <c r="I780" t="s">
        <v>24</v>
      </c>
      <c r="J780">
        <v>119610</v>
      </c>
      <c r="K780">
        <v>67500</v>
      </c>
      <c r="L780" t="s">
        <v>25</v>
      </c>
      <c r="M780" t="s">
        <v>26</v>
      </c>
      <c r="N780" t="s">
        <v>27</v>
      </c>
      <c r="O780" t="s">
        <v>35</v>
      </c>
      <c r="P780" t="s">
        <v>26</v>
      </c>
      <c r="Q780">
        <v>0</v>
      </c>
    </row>
    <row r="781" spans="1:17" x14ac:dyDescent="0.25">
      <c r="A781" t="s">
        <v>29</v>
      </c>
      <c r="B781" t="s">
        <v>18</v>
      </c>
      <c r="C781">
        <v>90000</v>
      </c>
      <c r="D781" t="s">
        <v>19</v>
      </c>
      <c r="E781" t="s">
        <v>20</v>
      </c>
      <c r="F781" t="s">
        <v>32</v>
      </c>
      <c r="G781" t="s">
        <v>22</v>
      </c>
      <c r="H781" t="s">
        <v>49</v>
      </c>
      <c r="I781" t="s">
        <v>24</v>
      </c>
      <c r="J781">
        <v>97650</v>
      </c>
      <c r="K781">
        <v>0</v>
      </c>
      <c r="L781" t="s">
        <v>45</v>
      </c>
      <c r="M781" t="s">
        <v>26</v>
      </c>
      <c r="N781" t="s">
        <v>27</v>
      </c>
      <c r="O781" t="s">
        <v>35</v>
      </c>
      <c r="P781" t="s">
        <v>26</v>
      </c>
      <c r="Q781">
        <v>0</v>
      </c>
    </row>
    <row r="782" spans="1:17" x14ac:dyDescent="0.25">
      <c r="A782" t="s">
        <v>29</v>
      </c>
      <c r="B782" t="s">
        <v>18</v>
      </c>
      <c r="C782">
        <v>157500</v>
      </c>
      <c r="D782" t="s">
        <v>19</v>
      </c>
      <c r="E782" t="s">
        <v>31</v>
      </c>
      <c r="F782" t="s">
        <v>32</v>
      </c>
      <c r="G782" t="s">
        <v>22</v>
      </c>
      <c r="H782" t="s">
        <v>23</v>
      </c>
      <c r="I782" t="s">
        <v>24</v>
      </c>
      <c r="J782">
        <v>178402.5</v>
      </c>
      <c r="K782">
        <v>54000</v>
      </c>
      <c r="L782" t="s">
        <v>51</v>
      </c>
      <c r="M782" t="s">
        <v>26</v>
      </c>
      <c r="N782" t="s">
        <v>27</v>
      </c>
      <c r="O782" t="s">
        <v>35</v>
      </c>
      <c r="P782" t="s">
        <v>26</v>
      </c>
      <c r="Q782">
        <v>0</v>
      </c>
    </row>
    <row r="783" spans="1:17" x14ac:dyDescent="0.25">
      <c r="A783" t="s">
        <v>29</v>
      </c>
      <c r="B783" t="s">
        <v>18</v>
      </c>
      <c r="C783">
        <v>157500</v>
      </c>
      <c r="D783" t="s">
        <v>19</v>
      </c>
      <c r="E783" t="s">
        <v>31</v>
      </c>
      <c r="F783" t="s">
        <v>32</v>
      </c>
      <c r="G783" t="s">
        <v>22</v>
      </c>
      <c r="H783" t="s">
        <v>23</v>
      </c>
      <c r="I783" t="s">
        <v>24</v>
      </c>
      <c r="J783">
        <v>32350.5</v>
      </c>
      <c r="K783">
        <v>3235.5</v>
      </c>
      <c r="L783" t="s">
        <v>51</v>
      </c>
      <c r="M783" t="s">
        <v>26</v>
      </c>
      <c r="N783" t="s">
        <v>27</v>
      </c>
      <c r="O783" t="s">
        <v>35</v>
      </c>
      <c r="P783" t="s">
        <v>26</v>
      </c>
      <c r="Q783">
        <v>0</v>
      </c>
    </row>
    <row r="784" spans="1:17" x14ac:dyDescent="0.25">
      <c r="A784" t="s">
        <v>29</v>
      </c>
      <c r="B784" t="s">
        <v>18</v>
      </c>
      <c r="C784">
        <v>90000</v>
      </c>
      <c r="D784" t="s">
        <v>46</v>
      </c>
      <c r="E784" t="s">
        <v>31</v>
      </c>
      <c r="F784" t="s">
        <v>69</v>
      </c>
      <c r="G784" t="s">
        <v>22</v>
      </c>
      <c r="H784" t="s">
        <v>28</v>
      </c>
      <c r="I784" t="s">
        <v>24</v>
      </c>
      <c r="J784">
        <v>148365</v>
      </c>
      <c r="K784">
        <v>29700</v>
      </c>
      <c r="L784" t="s">
        <v>38</v>
      </c>
      <c r="M784" t="s">
        <v>26</v>
      </c>
      <c r="N784" t="s">
        <v>27</v>
      </c>
      <c r="O784" t="s">
        <v>35</v>
      </c>
      <c r="P784" t="s">
        <v>26</v>
      </c>
      <c r="Q784">
        <v>0</v>
      </c>
    </row>
    <row r="785" spans="1:17" x14ac:dyDescent="0.25">
      <c r="A785" t="s">
        <v>29</v>
      </c>
      <c r="B785" t="s">
        <v>36</v>
      </c>
      <c r="C785">
        <v>76500</v>
      </c>
      <c r="D785" t="s">
        <v>19</v>
      </c>
      <c r="E785" t="s">
        <v>31</v>
      </c>
      <c r="F785" t="s">
        <v>32</v>
      </c>
      <c r="G785" t="s">
        <v>22</v>
      </c>
      <c r="H785" t="s">
        <v>23</v>
      </c>
      <c r="I785" t="s">
        <v>24</v>
      </c>
      <c r="J785">
        <v>68773.5</v>
      </c>
      <c r="K785">
        <v>0</v>
      </c>
      <c r="L785" t="s">
        <v>34</v>
      </c>
      <c r="M785" t="s">
        <v>26</v>
      </c>
      <c r="N785" t="s">
        <v>76</v>
      </c>
      <c r="O785" t="s">
        <v>35</v>
      </c>
      <c r="P785" t="s">
        <v>77</v>
      </c>
      <c r="Q785">
        <v>0</v>
      </c>
    </row>
    <row r="786" spans="1:17" x14ac:dyDescent="0.25">
      <c r="A786" t="s">
        <v>17</v>
      </c>
      <c r="B786" t="s">
        <v>36</v>
      </c>
      <c r="C786">
        <v>247500</v>
      </c>
      <c r="D786" t="s">
        <v>19</v>
      </c>
      <c r="E786" t="s">
        <v>20</v>
      </c>
      <c r="F786" t="s">
        <v>21</v>
      </c>
      <c r="G786" t="s">
        <v>22</v>
      </c>
      <c r="H786" t="s">
        <v>65</v>
      </c>
      <c r="I786" t="s">
        <v>24</v>
      </c>
      <c r="J786">
        <v>71995.5</v>
      </c>
      <c r="K786">
        <v>0</v>
      </c>
      <c r="L786" t="s">
        <v>25</v>
      </c>
      <c r="M786" t="s">
        <v>26</v>
      </c>
      <c r="N786" t="s">
        <v>76</v>
      </c>
      <c r="O786" t="s">
        <v>35</v>
      </c>
      <c r="P786" t="s">
        <v>77</v>
      </c>
      <c r="Q786">
        <v>0</v>
      </c>
    </row>
    <row r="787" spans="1:17" x14ac:dyDescent="0.25">
      <c r="A787" t="s">
        <v>17</v>
      </c>
      <c r="B787" t="s">
        <v>36</v>
      </c>
      <c r="C787">
        <v>247500</v>
      </c>
      <c r="D787" t="s">
        <v>19</v>
      </c>
      <c r="E787" t="s">
        <v>20</v>
      </c>
      <c r="F787" t="s">
        <v>21</v>
      </c>
      <c r="G787" t="s">
        <v>22</v>
      </c>
      <c r="H787" t="s">
        <v>65</v>
      </c>
      <c r="I787" t="s">
        <v>24</v>
      </c>
      <c r="J787">
        <v>92146.5</v>
      </c>
      <c r="K787">
        <v>9216</v>
      </c>
      <c r="L787" t="s">
        <v>43</v>
      </c>
      <c r="M787" t="s">
        <v>26</v>
      </c>
      <c r="N787" t="s">
        <v>58</v>
      </c>
      <c r="O787" t="s">
        <v>35</v>
      </c>
      <c r="P787" t="s">
        <v>64</v>
      </c>
      <c r="Q787">
        <v>1</v>
      </c>
    </row>
    <row r="788" spans="1:17" x14ac:dyDescent="0.25">
      <c r="A788" t="s">
        <v>17</v>
      </c>
      <c r="B788" t="s">
        <v>36</v>
      </c>
      <c r="C788">
        <v>247500</v>
      </c>
      <c r="D788" t="s">
        <v>19</v>
      </c>
      <c r="E788" t="s">
        <v>20</v>
      </c>
      <c r="F788" t="s">
        <v>21</v>
      </c>
      <c r="G788" t="s">
        <v>22</v>
      </c>
      <c r="H788" t="s">
        <v>65</v>
      </c>
      <c r="I788" t="s">
        <v>24</v>
      </c>
      <c r="J788">
        <v>51300</v>
      </c>
      <c r="K788">
        <v>5130</v>
      </c>
      <c r="L788" t="s">
        <v>38</v>
      </c>
      <c r="M788" t="s">
        <v>26</v>
      </c>
      <c r="N788" t="s">
        <v>27</v>
      </c>
      <c r="O788" t="s">
        <v>35</v>
      </c>
      <c r="P788" t="s">
        <v>26</v>
      </c>
      <c r="Q788">
        <v>0</v>
      </c>
    </row>
    <row r="789" spans="1:17" x14ac:dyDescent="0.25">
      <c r="A789" t="s">
        <v>17</v>
      </c>
      <c r="B789" t="s">
        <v>36</v>
      </c>
      <c r="C789">
        <v>247500</v>
      </c>
      <c r="D789" t="s">
        <v>19</v>
      </c>
      <c r="E789" t="s">
        <v>20</v>
      </c>
      <c r="F789" t="s">
        <v>21</v>
      </c>
      <c r="G789" t="s">
        <v>22</v>
      </c>
      <c r="H789" t="s">
        <v>65</v>
      </c>
      <c r="I789" t="s">
        <v>24</v>
      </c>
      <c r="J789">
        <v>20475</v>
      </c>
      <c r="K789">
        <v>2047.5</v>
      </c>
      <c r="L789" t="s">
        <v>51</v>
      </c>
      <c r="M789" t="s">
        <v>26</v>
      </c>
      <c r="N789" t="s">
        <v>27</v>
      </c>
      <c r="O789" t="s">
        <v>35</v>
      </c>
      <c r="P789" t="s">
        <v>26</v>
      </c>
      <c r="Q789">
        <v>0</v>
      </c>
    </row>
    <row r="790" spans="1:17" x14ac:dyDescent="0.25">
      <c r="A790" t="s">
        <v>29</v>
      </c>
      <c r="B790" t="s">
        <v>18</v>
      </c>
      <c r="C790">
        <v>99000</v>
      </c>
      <c r="D790" t="s">
        <v>19</v>
      </c>
      <c r="E790" t="s">
        <v>31</v>
      </c>
      <c r="F790" t="s">
        <v>32</v>
      </c>
      <c r="G790" t="s">
        <v>22</v>
      </c>
      <c r="H790" t="s">
        <v>68</v>
      </c>
      <c r="I790" t="s">
        <v>24</v>
      </c>
      <c r="J790">
        <v>105363</v>
      </c>
      <c r="K790">
        <v>0</v>
      </c>
      <c r="L790" t="s">
        <v>25</v>
      </c>
      <c r="M790" t="s">
        <v>26</v>
      </c>
      <c r="N790" t="s">
        <v>27</v>
      </c>
      <c r="O790" t="s">
        <v>35</v>
      </c>
      <c r="P790" t="s">
        <v>26</v>
      </c>
      <c r="Q790">
        <v>0</v>
      </c>
    </row>
    <row r="791" spans="1:17" x14ac:dyDescent="0.25">
      <c r="A791" t="s">
        <v>17</v>
      </c>
      <c r="B791" t="s">
        <v>36</v>
      </c>
      <c r="C791">
        <v>67500</v>
      </c>
      <c r="D791" t="s">
        <v>19</v>
      </c>
      <c r="E791" t="s">
        <v>20</v>
      </c>
      <c r="F791" t="s">
        <v>39</v>
      </c>
      <c r="G791" t="s">
        <v>22</v>
      </c>
      <c r="H791" t="s">
        <v>81</v>
      </c>
      <c r="I791" t="s">
        <v>24</v>
      </c>
      <c r="J791">
        <v>34938</v>
      </c>
      <c r="K791">
        <v>0</v>
      </c>
      <c r="L791" t="s">
        <v>45</v>
      </c>
      <c r="M791" t="s">
        <v>26</v>
      </c>
      <c r="N791" t="s">
        <v>27</v>
      </c>
      <c r="O791" t="s">
        <v>28</v>
      </c>
      <c r="P791" t="s">
        <v>26</v>
      </c>
      <c r="Q791">
        <v>0</v>
      </c>
    </row>
    <row r="792" spans="1:17" x14ac:dyDescent="0.25">
      <c r="A792" t="s">
        <v>29</v>
      </c>
      <c r="B792" t="s">
        <v>18</v>
      </c>
      <c r="C792">
        <v>180000</v>
      </c>
      <c r="D792" t="s">
        <v>19</v>
      </c>
      <c r="E792" t="s">
        <v>20</v>
      </c>
      <c r="F792" t="s">
        <v>39</v>
      </c>
      <c r="G792" t="s">
        <v>22</v>
      </c>
      <c r="H792" t="s">
        <v>33</v>
      </c>
      <c r="I792" t="s">
        <v>24</v>
      </c>
      <c r="J792">
        <v>22455</v>
      </c>
      <c r="K792">
        <v>2245.5</v>
      </c>
      <c r="L792" t="s">
        <v>38</v>
      </c>
      <c r="M792" t="s">
        <v>26</v>
      </c>
      <c r="N792" t="s">
        <v>27</v>
      </c>
      <c r="O792" t="s">
        <v>35</v>
      </c>
      <c r="P792" t="s">
        <v>26</v>
      </c>
      <c r="Q792">
        <v>0</v>
      </c>
    </row>
    <row r="793" spans="1:17" x14ac:dyDescent="0.25">
      <c r="A793" t="s">
        <v>17</v>
      </c>
      <c r="B793" t="s">
        <v>18</v>
      </c>
      <c r="C793">
        <v>135000</v>
      </c>
      <c r="D793" t="s">
        <v>44</v>
      </c>
      <c r="E793" t="s">
        <v>20</v>
      </c>
      <c r="F793" t="s">
        <v>21</v>
      </c>
      <c r="G793" t="s">
        <v>22</v>
      </c>
      <c r="H793" t="s">
        <v>23</v>
      </c>
      <c r="I793" t="s">
        <v>24</v>
      </c>
      <c r="J793">
        <v>20025</v>
      </c>
      <c r="K793">
        <v>0</v>
      </c>
      <c r="L793" t="s">
        <v>38</v>
      </c>
      <c r="M793" t="s">
        <v>26</v>
      </c>
      <c r="N793" t="s">
        <v>27</v>
      </c>
      <c r="O793" t="s">
        <v>35</v>
      </c>
      <c r="P793" t="s">
        <v>26</v>
      </c>
      <c r="Q793">
        <v>0</v>
      </c>
    </row>
    <row r="794" spans="1:17" x14ac:dyDescent="0.25">
      <c r="A794" t="s">
        <v>29</v>
      </c>
      <c r="B794" t="s">
        <v>36</v>
      </c>
      <c r="C794">
        <v>157500</v>
      </c>
      <c r="D794" t="s">
        <v>19</v>
      </c>
      <c r="E794" t="s">
        <v>20</v>
      </c>
      <c r="F794" t="s">
        <v>32</v>
      </c>
      <c r="G794" t="s">
        <v>22</v>
      </c>
      <c r="H794" t="s">
        <v>68</v>
      </c>
      <c r="I794" t="s">
        <v>24</v>
      </c>
      <c r="J794">
        <v>43200</v>
      </c>
      <c r="K794">
        <v>0</v>
      </c>
      <c r="L794" t="s">
        <v>51</v>
      </c>
      <c r="M794" t="s">
        <v>26</v>
      </c>
      <c r="N794" t="s">
        <v>27</v>
      </c>
      <c r="O794" t="s">
        <v>35</v>
      </c>
      <c r="P794" t="s">
        <v>26</v>
      </c>
      <c r="Q794">
        <v>0</v>
      </c>
    </row>
    <row r="795" spans="1:17" x14ac:dyDescent="0.25">
      <c r="A795" t="s">
        <v>29</v>
      </c>
      <c r="B795" t="s">
        <v>36</v>
      </c>
      <c r="C795">
        <v>157500</v>
      </c>
      <c r="D795" t="s">
        <v>19</v>
      </c>
      <c r="E795" t="s">
        <v>20</v>
      </c>
      <c r="F795" t="s">
        <v>32</v>
      </c>
      <c r="G795" t="s">
        <v>22</v>
      </c>
      <c r="H795" t="s">
        <v>68</v>
      </c>
      <c r="I795" t="s">
        <v>24</v>
      </c>
      <c r="J795">
        <v>100188</v>
      </c>
      <c r="K795">
        <v>0</v>
      </c>
      <c r="L795" t="s">
        <v>45</v>
      </c>
      <c r="M795" t="s">
        <v>26</v>
      </c>
      <c r="N795" t="s">
        <v>27</v>
      </c>
      <c r="O795" t="s">
        <v>35</v>
      </c>
      <c r="P795" t="s">
        <v>26</v>
      </c>
      <c r="Q795">
        <v>0</v>
      </c>
    </row>
    <row r="796" spans="1:17" x14ac:dyDescent="0.25">
      <c r="A796" t="s">
        <v>29</v>
      </c>
      <c r="B796" t="s">
        <v>36</v>
      </c>
      <c r="C796">
        <v>157500</v>
      </c>
      <c r="D796" t="s">
        <v>19</v>
      </c>
      <c r="E796" t="s">
        <v>20</v>
      </c>
      <c r="F796" t="s">
        <v>32</v>
      </c>
      <c r="G796" t="s">
        <v>22</v>
      </c>
      <c r="H796" t="s">
        <v>68</v>
      </c>
      <c r="I796" t="s">
        <v>24</v>
      </c>
      <c r="J796">
        <v>40068</v>
      </c>
      <c r="K796">
        <v>0</v>
      </c>
      <c r="L796" t="s">
        <v>34</v>
      </c>
      <c r="M796" t="s">
        <v>26</v>
      </c>
      <c r="N796" t="s">
        <v>27</v>
      </c>
      <c r="O796" t="s">
        <v>35</v>
      </c>
      <c r="P796" t="s">
        <v>26</v>
      </c>
      <c r="Q796">
        <v>0</v>
      </c>
    </row>
    <row r="797" spans="1:17" x14ac:dyDescent="0.25">
      <c r="A797" t="s">
        <v>29</v>
      </c>
      <c r="B797" t="s">
        <v>18</v>
      </c>
      <c r="C797">
        <v>247500</v>
      </c>
      <c r="D797" t="s">
        <v>19</v>
      </c>
      <c r="E797" t="s">
        <v>20</v>
      </c>
      <c r="F797" t="s">
        <v>69</v>
      </c>
      <c r="G797" t="s">
        <v>22</v>
      </c>
      <c r="H797" t="s">
        <v>75</v>
      </c>
      <c r="I797" t="s">
        <v>24</v>
      </c>
      <c r="J797">
        <v>68080.5</v>
      </c>
      <c r="K797">
        <v>6808.5</v>
      </c>
      <c r="L797" t="s">
        <v>43</v>
      </c>
      <c r="M797" t="s">
        <v>26</v>
      </c>
      <c r="N797" t="s">
        <v>27</v>
      </c>
      <c r="O797" t="s">
        <v>35</v>
      </c>
      <c r="P797" t="s">
        <v>26</v>
      </c>
      <c r="Q797">
        <v>0</v>
      </c>
    </row>
    <row r="798" spans="1:17" x14ac:dyDescent="0.25">
      <c r="A798" t="s">
        <v>29</v>
      </c>
      <c r="B798" t="s">
        <v>18</v>
      </c>
      <c r="C798">
        <v>135000</v>
      </c>
      <c r="D798" t="s">
        <v>19</v>
      </c>
      <c r="E798" t="s">
        <v>31</v>
      </c>
      <c r="F798" t="s">
        <v>32</v>
      </c>
      <c r="G798" t="s">
        <v>22</v>
      </c>
      <c r="H798" t="s">
        <v>57</v>
      </c>
      <c r="I798" t="s">
        <v>24</v>
      </c>
      <c r="J798">
        <v>47866.5</v>
      </c>
      <c r="K798">
        <v>14364</v>
      </c>
      <c r="L798" t="s">
        <v>51</v>
      </c>
      <c r="M798" t="s">
        <v>26</v>
      </c>
      <c r="N798" t="s">
        <v>27</v>
      </c>
      <c r="O798" t="s">
        <v>28</v>
      </c>
      <c r="P798" t="s">
        <v>26</v>
      </c>
      <c r="Q798">
        <v>0</v>
      </c>
    </row>
    <row r="799" spans="1:17" x14ac:dyDescent="0.25">
      <c r="A799" t="s">
        <v>17</v>
      </c>
      <c r="B799" t="s">
        <v>18</v>
      </c>
      <c r="C799">
        <v>112500</v>
      </c>
      <c r="D799" t="s">
        <v>19</v>
      </c>
      <c r="E799" t="s">
        <v>20</v>
      </c>
      <c r="F799" t="s">
        <v>32</v>
      </c>
      <c r="G799" t="s">
        <v>22</v>
      </c>
      <c r="H799" t="s">
        <v>106</v>
      </c>
      <c r="I799" t="s">
        <v>24</v>
      </c>
      <c r="J799">
        <v>32940</v>
      </c>
      <c r="K799">
        <v>0</v>
      </c>
      <c r="L799" t="s">
        <v>43</v>
      </c>
      <c r="M799" t="s">
        <v>26</v>
      </c>
      <c r="N799" t="s">
        <v>27</v>
      </c>
      <c r="O799" t="s">
        <v>28</v>
      </c>
      <c r="P799" t="s">
        <v>26</v>
      </c>
      <c r="Q799">
        <v>0</v>
      </c>
    </row>
    <row r="800" spans="1:17" x14ac:dyDescent="0.25">
      <c r="A800" t="s">
        <v>29</v>
      </c>
      <c r="B800" t="s">
        <v>18</v>
      </c>
      <c r="C800">
        <v>54000</v>
      </c>
      <c r="D800" t="s">
        <v>46</v>
      </c>
      <c r="E800" t="s">
        <v>20</v>
      </c>
      <c r="F800" t="s">
        <v>32</v>
      </c>
      <c r="G800" t="s">
        <v>22</v>
      </c>
      <c r="H800" t="s">
        <v>28</v>
      </c>
      <c r="I800" t="s">
        <v>24</v>
      </c>
      <c r="J800">
        <v>96075</v>
      </c>
      <c r="K800">
        <v>19215</v>
      </c>
      <c r="L800" t="s">
        <v>51</v>
      </c>
      <c r="M800" t="s">
        <v>26</v>
      </c>
      <c r="N800" t="s">
        <v>27</v>
      </c>
      <c r="O800" t="s">
        <v>35</v>
      </c>
      <c r="P800" t="s">
        <v>26</v>
      </c>
      <c r="Q800">
        <v>0</v>
      </c>
    </row>
    <row r="801" spans="1:17" x14ac:dyDescent="0.25">
      <c r="A801" t="s">
        <v>29</v>
      </c>
      <c r="B801" t="s">
        <v>18</v>
      </c>
      <c r="C801">
        <v>54000</v>
      </c>
      <c r="D801" t="s">
        <v>46</v>
      </c>
      <c r="E801" t="s">
        <v>20</v>
      </c>
      <c r="F801" t="s">
        <v>32</v>
      </c>
      <c r="G801" t="s">
        <v>22</v>
      </c>
      <c r="H801" t="s">
        <v>28</v>
      </c>
      <c r="I801" t="s">
        <v>24</v>
      </c>
      <c r="J801">
        <v>85495.5</v>
      </c>
      <c r="K801">
        <v>0</v>
      </c>
      <c r="L801" t="s">
        <v>38</v>
      </c>
      <c r="M801" t="s">
        <v>26</v>
      </c>
      <c r="N801" t="s">
        <v>27</v>
      </c>
      <c r="O801" t="s">
        <v>35</v>
      </c>
      <c r="P801" t="s">
        <v>26</v>
      </c>
      <c r="Q801">
        <v>0</v>
      </c>
    </row>
    <row r="802" spans="1:17" x14ac:dyDescent="0.25">
      <c r="A802" t="s">
        <v>29</v>
      </c>
      <c r="B802" t="s">
        <v>18</v>
      </c>
      <c r="C802">
        <v>189000</v>
      </c>
      <c r="D802" t="s">
        <v>19</v>
      </c>
      <c r="E802" t="s">
        <v>20</v>
      </c>
      <c r="F802" t="s">
        <v>39</v>
      </c>
      <c r="G802" t="s">
        <v>22</v>
      </c>
      <c r="H802" t="s">
        <v>49</v>
      </c>
      <c r="I802" t="s">
        <v>24</v>
      </c>
      <c r="J802">
        <v>53190</v>
      </c>
      <c r="K802">
        <v>0</v>
      </c>
      <c r="L802" t="s">
        <v>42</v>
      </c>
      <c r="M802" t="s">
        <v>26</v>
      </c>
      <c r="N802" t="s">
        <v>27</v>
      </c>
      <c r="O802" t="s">
        <v>35</v>
      </c>
      <c r="P802" t="s">
        <v>26</v>
      </c>
      <c r="Q802">
        <v>0</v>
      </c>
    </row>
    <row r="803" spans="1:17" x14ac:dyDescent="0.25">
      <c r="A803" t="s">
        <v>17</v>
      </c>
      <c r="B803" t="s">
        <v>36</v>
      </c>
      <c r="C803">
        <v>202500</v>
      </c>
      <c r="D803" t="s">
        <v>44</v>
      </c>
      <c r="E803" t="s">
        <v>31</v>
      </c>
      <c r="F803" t="s">
        <v>32</v>
      </c>
      <c r="G803" t="s">
        <v>22</v>
      </c>
      <c r="H803" t="s">
        <v>23</v>
      </c>
      <c r="I803" t="s">
        <v>24</v>
      </c>
      <c r="J803">
        <v>128236.5</v>
      </c>
      <c r="K803">
        <v>25650</v>
      </c>
      <c r="L803" t="s">
        <v>43</v>
      </c>
      <c r="M803" t="s">
        <v>26</v>
      </c>
      <c r="N803" t="s">
        <v>27</v>
      </c>
      <c r="O803" t="s">
        <v>35</v>
      </c>
      <c r="P803" t="s">
        <v>26</v>
      </c>
      <c r="Q803">
        <v>0</v>
      </c>
    </row>
    <row r="804" spans="1:17" x14ac:dyDescent="0.25">
      <c r="A804" t="s">
        <v>17</v>
      </c>
      <c r="B804" t="s">
        <v>36</v>
      </c>
      <c r="C804">
        <v>202500</v>
      </c>
      <c r="D804" t="s">
        <v>44</v>
      </c>
      <c r="E804" t="s">
        <v>31</v>
      </c>
      <c r="F804" t="s">
        <v>32</v>
      </c>
      <c r="G804" t="s">
        <v>22</v>
      </c>
      <c r="H804" t="s">
        <v>23</v>
      </c>
      <c r="I804" t="s">
        <v>24</v>
      </c>
      <c r="J804">
        <v>96142.5</v>
      </c>
      <c r="K804">
        <v>0</v>
      </c>
      <c r="L804" t="s">
        <v>38</v>
      </c>
      <c r="M804" t="s">
        <v>26</v>
      </c>
      <c r="N804" t="s">
        <v>27</v>
      </c>
      <c r="O804" t="s">
        <v>28</v>
      </c>
      <c r="P804" t="s">
        <v>26</v>
      </c>
      <c r="Q804">
        <v>0</v>
      </c>
    </row>
    <row r="805" spans="1:17" x14ac:dyDescent="0.25">
      <c r="A805" t="s">
        <v>17</v>
      </c>
      <c r="B805" t="s">
        <v>36</v>
      </c>
      <c r="C805">
        <v>202500</v>
      </c>
      <c r="D805" t="s">
        <v>44</v>
      </c>
      <c r="E805" t="s">
        <v>31</v>
      </c>
      <c r="F805" t="s">
        <v>32</v>
      </c>
      <c r="G805" t="s">
        <v>22</v>
      </c>
      <c r="H805" t="s">
        <v>23</v>
      </c>
      <c r="I805" t="s">
        <v>24</v>
      </c>
      <c r="J805">
        <v>118395</v>
      </c>
      <c r="K805">
        <v>0</v>
      </c>
      <c r="L805" t="s">
        <v>45</v>
      </c>
      <c r="M805" t="s">
        <v>26</v>
      </c>
      <c r="N805" t="s">
        <v>27</v>
      </c>
      <c r="O805" t="s">
        <v>35</v>
      </c>
      <c r="P805" t="s">
        <v>26</v>
      </c>
      <c r="Q805">
        <v>0</v>
      </c>
    </row>
    <row r="806" spans="1:17" x14ac:dyDescent="0.25">
      <c r="A806" t="s">
        <v>17</v>
      </c>
      <c r="B806" t="s">
        <v>36</v>
      </c>
      <c r="C806">
        <v>202500</v>
      </c>
      <c r="D806" t="s">
        <v>44</v>
      </c>
      <c r="E806" t="s">
        <v>31</v>
      </c>
      <c r="F806" t="s">
        <v>32</v>
      </c>
      <c r="G806" t="s">
        <v>22</v>
      </c>
      <c r="H806" t="s">
        <v>23</v>
      </c>
      <c r="I806" t="s">
        <v>24</v>
      </c>
      <c r="J806">
        <v>118399.5</v>
      </c>
      <c r="K806">
        <v>47362.5</v>
      </c>
      <c r="L806" t="s">
        <v>51</v>
      </c>
      <c r="M806" t="s">
        <v>26</v>
      </c>
      <c r="N806" t="s">
        <v>58</v>
      </c>
      <c r="O806" t="s">
        <v>35</v>
      </c>
      <c r="P806" t="s">
        <v>64</v>
      </c>
      <c r="Q806">
        <v>1</v>
      </c>
    </row>
    <row r="807" spans="1:17" x14ac:dyDescent="0.25">
      <c r="A807" t="s">
        <v>29</v>
      </c>
      <c r="B807" t="s">
        <v>18</v>
      </c>
      <c r="C807">
        <v>67500</v>
      </c>
      <c r="D807" t="s">
        <v>19</v>
      </c>
      <c r="E807" t="s">
        <v>20</v>
      </c>
      <c r="F807" t="s">
        <v>32</v>
      </c>
      <c r="G807" t="s">
        <v>22</v>
      </c>
      <c r="H807" t="s">
        <v>80</v>
      </c>
      <c r="I807" t="s">
        <v>24</v>
      </c>
      <c r="J807">
        <v>87655.5</v>
      </c>
      <c r="K807">
        <v>22500</v>
      </c>
      <c r="L807" t="s">
        <v>38</v>
      </c>
      <c r="M807" t="s">
        <v>26</v>
      </c>
      <c r="N807" t="s">
        <v>27</v>
      </c>
      <c r="O807" t="s">
        <v>35</v>
      </c>
      <c r="P807" t="s">
        <v>26</v>
      </c>
      <c r="Q807">
        <v>0</v>
      </c>
    </row>
    <row r="808" spans="1:17" x14ac:dyDescent="0.25">
      <c r="A808" t="s">
        <v>29</v>
      </c>
      <c r="B808" t="s">
        <v>18</v>
      </c>
      <c r="C808">
        <v>67500</v>
      </c>
      <c r="D808" t="s">
        <v>19</v>
      </c>
      <c r="E808" t="s">
        <v>20</v>
      </c>
      <c r="F808" t="s">
        <v>32</v>
      </c>
      <c r="G808" t="s">
        <v>22</v>
      </c>
      <c r="H808" t="s">
        <v>80</v>
      </c>
      <c r="I808" t="s">
        <v>24</v>
      </c>
      <c r="J808">
        <v>335002.5</v>
      </c>
      <c r="K808">
        <v>0</v>
      </c>
      <c r="L808" t="s">
        <v>34</v>
      </c>
      <c r="M808" t="s">
        <v>26</v>
      </c>
      <c r="N808" t="s">
        <v>27</v>
      </c>
      <c r="O808" t="s">
        <v>35</v>
      </c>
      <c r="P808" t="s">
        <v>26</v>
      </c>
      <c r="Q808">
        <v>0</v>
      </c>
    </row>
    <row r="809" spans="1:17" x14ac:dyDescent="0.25">
      <c r="A809" t="s">
        <v>29</v>
      </c>
      <c r="B809" t="s">
        <v>18</v>
      </c>
      <c r="C809">
        <v>67500</v>
      </c>
      <c r="D809" t="s">
        <v>19</v>
      </c>
      <c r="E809" t="s">
        <v>20</v>
      </c>
      <c r="F809" t="s">
        <v>32</v>
      </c>
      <c r="G809" t="s">
        <v>22</v>
      </c>
      <c r="H809" t="s">
        <v>80</v>
      </c>
      <c r="I809" t="s">
        <v>24</v>
      </c>
      <c r="J809">
        <v>97154.865000000005</v>
      </c>
      <c r="K809">
        <v>4.3650000000000002</v>
      </c>
      <c r="L809" t="s">
        <v>51</v>
      </c>
      <c r="M809" t="s">
        <v>26</v>
      </c>
      <c r="N809" t="s">
        <v>27</v>
      </c>
      <c r="O809" t="s">
        <v>35</v>
      </c>
      <c r="P809" t="s">
        <v>26</v>
      </c>
      <c r="Q809">
        <v>0</v>
      </c>
    </row>
    <row r="810" spans="1:17" x14ac:dyDescent="0.25">
      <c r="A810" t="s">
        <v>29</v>
      </c>
      <c r="B810" t="s">
        <v>18</v>
      </c>
      <c r="C810">
        <v>112500</v>
      </c>
      <c r="D810" t="s">
        <v>30</v>
      </c>
      <c r="E810" t="s">
        <v>20</v>
      </c>
      <c r="F810" t="s">
        <v>32</v>
      </c>
      <c r="G810" t="s">
        <v>22</v>
      </c>
      <c r="H810" t="s">
        <v>68</v>
      </c>
      <c r="I810" t="s">
        <v>24</v>
      </c>
      <c r="J810">
        <v>44955</v>
      </c>
      <c r="K810">
        <v>4500</v>
      </c>
      <c r="L810" t="s">
        <v>34</v>
      </c>
      <c r="M810" t="s">
        <v>26</v>
      </c>
      <c r="N810" t="s">
        <v>27</v>
      </c>
      <c r="O810" t="s">
        <v>35</v>
      </c>
      <c r="P810" t="s">
        <v>26</v>
      </c>
      <c r="Q810">
        <v>0</v>
      </c>
    </row>
    <row r="811" spans="1:17" x14ac:dyDescent="0.25">
      <c r="A811" t="s">
        <v>29</v>
      </c>
      <c r="B811" t="s">
        <v>18</v>
      </c>
      <c r="C811">
        <v>112500</v>
      </c>
      <c r="D811" t="s">
        <v>19</v>
      </c>
      <c r="E811" t="s">
        <v>20</v>
      </c>
      <c r="F811" t="s">
        <v>32</v>
      </c>
      <c r="G811" t="s">
        <v>22</v>
      </c>
      <c r="H811" t="s">
        <v>23</v>
      </c>
      <c r="I811" t="s">
        <v>24</v>
      </c>
      <c r="J811">
        <v>22149</v>
      </c>
      <c r="K811">
        <v>0</v>
      </c>
      <c r="L811" t="s">
        <v>42</v>
      </c>
      <c r="M811" t="s">
        <v>26</v>
      </c>
      <c r="N811" t="s">
        <v>27</v>
      </c>
      <c r="O811" t="s">
        <v>35</v>
      </c>
      <c r="P811" t="s">
        <v>26</v>
      </c>
      <c r="Q811">
        <v>0</v>
      </c>
    </row>
    <row r="812" spans="1:17" x14ac:dyDescent="0.25">
      <c r="A812" t="s">
        <v>29</v>
      </c>
      <c r="B812" t="s">
        <v>18</v>
      </c>
      <c r="C812">
        <v>112500</v>
      </c>
      <c r="D812" t="s">
        <v>19</v>
      </c>
      <c r="E812" t="s">
        <v>20</v>
      </c>
      <c r="F812" t="s">
        <v>32</v>
      </c>
      <c r="G812" t="s">
        <v>22</v>
      </c>
      <c r="H812" t="s">
        <v>23</v>
      </c>
      <c r="I812" t="s">
        <v>24</v>
      </c>
      <c r="J812">
        <v>35833.5</v>
      </c>
      <c r="K812">
        <v>0</v>
      </c>
      <c r="L812" t="s">
        <v>34</v>
      </c>
      <c r="M812" t="s">
        <v>26</v>
      </c>
      <c r="N812" t="s">
        <v>27</v>
      </c>
      <c r="O812" t="s">
        <v>35</v>
      </c>
      <c r="P812" t="s">
        <v>26</v>
      </c>
      <c r="Q812">
        <v>0</v>
      </c>
    </row>
    <row r="813" spans="1:17" x14ac:dyDescent="0.25">
      <c r="A813" t="s">
        <v>29</v>
      </c>
      <c r="B813" t="s">
        <v>18</v>
      </c>
      <c r="C813">
        <v>112500</v>
      </c>
      <c r="D813" t="s">
        <v>19</v>
      </c>
      <c r="E813" t="s">
        <v>20</v>
      </c>
      <c r="F813" t="s">
        <v>32</v>
      </c>
      <c r="G813" t="s">
        <v>22</v>
      </c>
      <c r="H813" t="s">
        <v>23</v>
      </c>
      <c r="I813" t="s">
        <v>24</v>
      </c>
      <c r="J813">
        <v>132660</v>
      </c>
      <c r="K813">
        <v>0</v>
      </c>
      <c r="L813" t="s">
        <v>34</v>
      </c>
      <c r="M813" t="s">
        <v>26</v>
      </c>
      <c r="N813" t="s">
        <v>27</v>
      </c>
      <c r="O813" t="s">
        <v>35</v>
      </c>
      <c r="P813" t="s">
        <v>26</v>
      </c>
      <c r="Q813">
        <v>0</v>
      </c>
    </row>
    <row r="814" spans="1:17" x14ac:dyDescent="0.25">
      <c r="A814" t="s">
        <v>17</v>
      </c>
      <c r="B814" t="s">
        <v>36</v>
      </c>
      <c r="C814">
        <v>135000</v>
      </c>
      <c r="D814" t="s">
        <v>19</v>
      </c>
      <c r="E814" t="s">
        <v>20</v>
      </c>
      <c r="F814" t="s">
        <v>21</v>
      </c>
      <c r="G814" t="s">
        <v>22</v>
      </c>
      <c r="H814" t="s">
        <v>48</v>
      </c>
      <c r="I814" t="s">
        <v>24</v>
      </c>
      <c r="J814">
        <v>38610</v>
      </c>
      <c r="K814">
        <v>0</v>
      </c>
      <c r="L814" t="s">
        <v>34</v>
      </c>
      <c r="M814" t="s">
        <v>26</v>
      </c>
      <c r="N814" t="s">
        <v>58</v>
      </c>
      <c r="O814" t="s">
        <v>35</v>
      </c>
      <c r="P814" t="s">
        <v>28</v>
      </c>
      <c r="Q814">
        <v>1</v>
      </c>
    </row>
    <row r="815" spans="1:17" x14ac:dyDescent="0.25">
      <c r="A815" t="s">
        <v>17</v>
      </c>
      <c r="B815" t="s">
        <v>36</v>
      </c>
      <c r="C815">
        <v>135000</v>
      </c>
      <c r="D815" t="s">
        <v>19</v>
      </c>
      <c r="E815" t="s">
        <v>20</v>
      </c>
      <c r="F815" t="s">
        <v>21</v>
      </c>
      <c r="G815" t="s">
        <v>22</v>
      </c>
      <c r="H815" t="s">
        <v>48</v>
      </c>
      <c r="I815" t="s">
        <v>24</v>
      </c>
      <c r="J815">
        <v>28350</v>
      </c>
      <c r="K815">
        <v>2835</v>
      </c>
      <c r="L815" t="s">
        <v>43</v>
      </c>
      <c r="M815" t="s">
        <v>26</v>
      </c>
      <c r="N815" t="s">
        <v>27</v>
      </c>
      <c r="O815" t="s">
        <v>35</v>
      </c>
      <c r="P815" t="s">
        <v>26</v>
      </c>
      <c r="Q815">
        <v>0</v>
      </c>
    </row>
    <row r="816" spans="1:17" x14ac:dyDescent="0.25">
      <c r="A816" t="s">
        <v>17</v>
      </c>
      <c r="B816" t="s">
        <v>36</v>
      </c>
      <c r="C816">
        <v>135000</v>
      </c>
      <c r="D816" t="s">
        <v>19</v>
      </c>
      <c r="E816" t="s">
        <v>20</v>
      </c>
      <c r="F816" t="s">
        <v>21</v>
      </c>
      <c r="G816" t="s">
        <v>22</v>
      </c>
      <c r="H816" t="s">
        <v>48</v>
      </c>
      <c r="I816" t="s">
        <v>24</v>
      </c>
      <c r="J816">
        <v>38610</v>
      </c>
      <c r="K816">
        <v>0</v>
      </c>
      <c r="L816" t="s">
        <v>34</v>
      </c>
      <c r="M816" t="s">
        <v>26</v>
      </c>
      <c r="N816" t="s">
        <v>58</v>
      </c>
      <c r="O816" t="s">
        <v>35</v>
      </c>
      <c r="P816" t="s">
        <v>28</v>
      </c>
      <c r="Q816">
        <v>1</v>
      </c>
    </row>
    <row r="817" spans="1:17" x14ac:dyDescent="0.25">
      <c r="A817" t="s">
        <v>17</v>
      </c>
      <c r="B817" t="s">
        <v>18</v>
      </c>
      <c r="C817">
        <v>45000</v>
      </c>
      <c r="D817" t="s">
        <v>46</v>
      </c>
      <c r="E817" t="s">
        <v>20</v>
      </c>
      <c r="F817" t="s">
        <v>32</v>
      </c>
      <c r="G817" t="s">
        <v>22</v>
      </c>
      <c r="H817" t="s">
        <v>28</v>
      </c>
      <c r="I817" t="s">
        <v>24</v>
      </c>
      <c r="J817">
        <v>68490</v>
      </c>
      <c r="K817">
        <v>0</v>
      </c>
      <c r="L817" t="s">
        <v>45</v>
      </c>
      <c r="M817" t="s">
        <v>26</v>
      </c>
      <c r="N817" t="s">
        <v>27</v>
      </c>
      <c r="O817" t="s">
        <v>28</v>
      </c>
      <c r="P817" t="s">
        <v>26</v>
      </c>
      <c r="Q817">
        <v>0</v>
      </c>
    </row>
    <row r="818" spans="1:17" x14ac:dyDescent="0.25">
      <c r="A818" t="s">
        <v>29</v>
      </c>
      <c r="B818" t="s">
        <v>18</v>
      </c>
      <c r="C818">
        <v>112500</v>
      </c>
      <c r="D818" t="s">
        <v>19</v>
      </c>
      <c r="E818" t="s">
        <v>70</v>
      </c>
      <c r="F818" t="s">
        <v>32</v>
      </c>
      <c r="G818" t="s">
        <v>22</v>
      </c>
      <c r="H818" t="s">
        <v>41</v>
      </c>
      <c r="I818" t="s">
        <v>24</v>
      </c>
      <c r="J818">
        <v>70650</v>
      </c>
      <c r="K818">
        <v>0</v>
      </c>
      <c r="L818" t="s">
        <v>25</v>
      </c>
      <c r="M818" t="s">
        <v>26</v>
      </c>
      <c r="N818" t="s">
        <v>27</v>
      </c>
      <c r="O818" t="s">
        <v>35</v>
      </c>
      <c r="P818" t="s">
        <v>26</v>
      </c>
      <c r="Q818">
        <v>0</v>
      </c>
    </row>
    <row r="819" spans="1:17" x14ac:dyDescent="0.25">
      <c r="A819" t="s">
        <v>29</v>
      </c>
      <c r="B819" t="s">
        <v>18</v>
      </c>
      <c r="C819">
        <v>135000</v>
      </c>
      <c r="D819" t="s">
        <v>44</v>
      </c>
      <c r="E819" t="s">
        <v>104</v>
      </c>
      <c r="F819" t="s">
        <v>32</v>
      </c>
      <c r="G819" t="s">
        <v>62</v>
      </c>
      <c r="H819" t="s">
        <v>71</v>
      </c>
      <c r="I819" t="s">
        <v>24</v>
      </c>
      <c r="J819">
        <v>83245.5</v>
      </c>
      <c r="K819">
        <v>0</v>
      </c>
      <c r="L819" t="s">
        <v>51</v>
      </c>
      <c r="M819" t="s">
        <v>26</v>
      </c>
      <c r="N819" t="s">
        <v>27</v>
      </c>
      <c r="O819" t="s">
        <v>83</v>
      </c>
      <c r="P819" t="s">
        <v>26</v>
      </c>
      <c r="Q819">
        <v>0</v>
      </c>
    </row>
    <row r="820" spans="1:17" x14ac:dyDescent="0.25">
      <c r="A820" t="s">
        <v>29</v>
      </c>
      <c r="B820" t="s">
        <v>18</v>
      </c>
      <c r="C820">
        <v>135000</v>
      </c>
      <c r="D820" t="s">
        <v>44</v>
      </c>
      <c r="E820" t="s">
        <v>104</v>
      </c>
      <c r="F820" t="s">
        <v>32</v>
      </c>
      <c r="G820" t="s">
        <v>62</v>
      </c>
      <c r="H820" t="s">
        <v>71</v>
      </c>
      <c r="I820" t="s">
        <v>24</v>
      </c>
      <c r="J820">
        <v>199507.5</v>
      </c>
      <c r="K820">
        <v>0</v>
      </c>
      <c r="L820" t="s">
        <v>43</v>
      </c>
      <c r="M820" t="s">
        <v>26</v>
      </c>
      <c r="N820" t="s">
        <v>27</v>
      </c>
      <c r="O820" t="s">
        <v>35</v>
      </c>
      <c r="P820" t="s">
        <v>26</v>
      </c>
      <c r="Q820">
        <v>0</v>
      </c>
    </row>
    <row r="821" spans="1:17" x14ac:dyDescent="0.25">
      <c r="A821" t="s">
        <v>29</v>
      </c>
      <c r="B821" t="s">
        <v>18</v>
      </c>
      <c r="C821">
        <v>135000</v>
      </c>
      <c r="D821" t="s">
        <v>44</v>
      </c>
      <c r="E821" t="s">
        <v>104</v>
      </c>
      <c r="F821" t="s">
        <v>32</v>
      </c>
      <c r="G821" t="s">
        <v>62</v>
      </c>
      <c r="H821" t="s">
        <v>71</v>
      </c>
      <c r="I821" t="s">
        <v>24</v>
      </c>
      <c r="J821">
        <v>18445.5</v>
      </c>
      <c r="K821">
        <v>1845</v>
      </c>
      <c r="L821" t="s">
        <v>38</v>
      </c>
      <c r="M821" t="s">
        <v>26</v>
      </c>
      <c r="N821" t="s">
        <v>27</v>
      </c>
      <c r="O821" t="s">
        <v>83</v>
      </c>
      <c r="P821" t="s">
        <v>26</v>
      </c>
      <c r="Q821">
        <v>0</v>
      </c>
    </row>
    <row r="822" spans="1:17" x14ac:dyDescent="0.25">
      <c r="A822" t="s">
        <v>29</v>
      </c>
      <c r="B822" t="s">
        <v>36</v>
      </c>
      <c r="C822">
        <v>157500</v>
      </c>
      <c r="D822" t="s">
        <v>19</v>
      </c>
      <c r="E822" t="s">
        <v>31</v>
      </c>
      <c r="F822" t="s">
        <v>32</v>
      </c>
      <c r="G822" t="s">
        <v>22</v>
      </c>
      <c r="H822" t="s">
        <v>53</v>
      </c>
      <c r="I822" t="s">
        <v>24</v>
      </c>
      <c r="J822">
        <v>28350</v>
      </c>
      <c r="K822">
        <v>2835</v>
      </c>
      <c r="L822" t="s">
        <v>43</v>
      </c>
      <c r="M822" t="s">
        <v>26</v>
      </c>
      <c r="N822" t="s">
        <v>27</v>
      </c>
      <c r="O822" t="s">
        <v>35</v>
      </c>
      <c r="P822" t="s">
        <v>26</v>
      </c>
      <c r="Q822">
        <v>0</v>
      </c>
    </row>
    <row r="823" spans="1:17" x14ac:dyDescent="0.25">
      <c r="A823" t="s">
        <v>29</v>
      </c>
      <c r="B823" t="s">
        <v>36</v>
      </c>
      <c r="C823">
        <v>157500</v>
      </c>
      <c r="D823" t="s">
        <v>19</v>
      </c>
      <c r="E823" t="s">
        <v>31</v>
      </c>
      <c r="F823" t="s">
        <v>32</v>
      </c>
      <c r="G823" t="s">
        <v>22</v>
      </c>
      <c r="H823" t="s">
        <v>53</v>
      </c>
      <c r="I823" t="s">
        <v>24</v>
      </c>
      <c r="J823">
        <v>26325</v>
      </c>
      <c r="K823">
        <v>2700</v>
      </c>
      <c r="L823" t="s">
        <v>43</v>
      </c>
      <c r="M823" t="s">
        <v>26</v>
      </c>
      <c r="N823" t="s">
        <v>27</v>
      </c>
      <c r="O823" t="s">
        <v>35</v>
      </c>
      <c r="P823" t="s">
        <v>26</v>
      </c>
      <c r="Q823">
        <v>0</v>
      </c>
    </row>
    <row r="824" spans="1:17" x14ac:dyDescent="0.25">
      <c r="A824" t="s">
        <v>17</v>
      </c>
      <c r="B824" t="s">
        <v>36</v>
      </c>
      <c r="C824">
        <v>202500</v>
      </c>
      <c r="D824" t="s">
        <v>46</v>
      </c>
      <c r="E824" t="s">
        <v>20</v>
      </c>
      <c r="F824" t="s">
        <v>32</v>
      </c>
      <c r="G824" t="s">
        <v>22</v>
      </c>
      <c r="H824" t="s">
        <v>28</v>
      </c>
      <c r="I824" t="s">
        <v>24</v>
      </c>
      <c r="J824">
        <v>59611.5</v>
      </c>
      <c r="K824">
        <v>3150</v>
      </c>
      <c r="L824" t="s">
        <v>42</v>
      </c>
      <c r="M824" t="s">
        <v>26</v>
      </c>
      <c r="N824" t="s">
        <v>27</v>
      </c>
      <c r="O824" t="s">
        <v>35</v>
      </c>
      <c r="P824" t="s">
        <v>26</v>
      </c>
      <c r="Q824">
        <v>0</v>
      </c>
    </row>
    <row r="825" spans="1:17" x14ac:dyDescent="0.25">
      <c r="A825" t="s">
        <v>17</v>
      </c>
      <c r="B825" t="s">
        <v>36</v>
      </c>
      <c r="C825">
        <v>202500</v>
      </c>
      <c r="D825" t="s">
        <v>46</v>
      </c>
      <c r="E825" t="s">
        <v>20</v>
      </c>
      <c r="F825" t="s">
        <v>32</v>
      </c>
      <c r="G825" t="s">
        <v>22</v>
      </c>
      <c r="H825" t="s">
        <v>28</v>
      </c>
      <c r="I825" t="s">
        <v>24</v>
      </c>
      <c r="J825">
        <v>45450</v>
      </c>
      <c r="K825">
        <v>4545</v>
      </c>
      <c r="L825" t="s">
        <v>42</v>
      </c>
      <c r="M825" t="s">
        <v>26</v>
      </c>
      <c r="N825" t="s">
        <v>27</v>
      </c>
      <c r="O825" t="s">
        <v>35</v>
      </c>
      <c r="P825" t="s">
        <v>26</v>
      </c>
      <c r="Q825">
        <v>0</v>
      </c>
    </row>
    <row r="826" spans="1:17" x14ac:dyDescent="0.25">
      <c r="A826" t="s">
        <v>17</v>
      </c>
      <c r="B826" t="s">
        <v>36</v>
      </c>
      <c r="C826">
        <v>121500</v>
      </c>
      <c r="D826" t="s">
        <v>44</v>
      </c>
      <c r="E826" t="s">
        <v>20</v>
      </c>
      <c r="F826" t="s">
        <v>32</v>
      </c>
      <c r="G826" t="s">
        <v>22</v>
      </c>
      <c r="H826" t="s">
        <v>23</v>
      </c>
      <c r="I826" t="s">
        <v>24</v>
      </c>
      <c r="J826">
        <v>76995</v>
      </c>
      <c r="K826">
        <v>0</v>
      </c>
      <c r="L826" t="s">
        <v>42</v>
      </c>
      <c r="M826" t="s">
        <v>26</v>
      </c>
      <c r="N826" t="s">
        <v>27</v>
      </c>
      <c r="O826" t="s">
        <v>35</v>
      </c>
      <c r="P826" t="s">
        <v>26</v>
      </c>
      <c r="Q826">
        <v>0</v>
      </c>
    </row>
    <row r="827" spans="1:17" x14ac:dyDescent="0.25">
      <c r="A827" t="s">
        <v>17</v>
      </c>
      <c r="B827" t="s">
        <v>36</v>
      </c>
      <c r="C827">
        <v>121500</v>
      </c>
      <c r="D827" t="s">
        <v>44</v>
      </c>
      <c r="E827" t="s">
        <v>20</v>
      </c>
      <c r="F827" t="s">
        <v>32</v>
      </c>
      <c r="G827" t="s">
        <v>22</v>
      </c>
      <c r="H827" t="s">
        <v>23</v>
      </c>
      <c r="I827" t="s">
        <v>24</v>
      </c>
      <c r="J827">
        <v>36270</v>
      </c>
      <c r="K827">
        <v>0</v>
      </c>
      <c r="L827" t="s">
        <v>25</v>
      </c>
      <c r="M827" t="s">
        <v>26</v>
      </c>
      <c r="N827" t="s">
        <v>27</v>
      </c>
      <c r="O827" t="s">
        <v>28</v>
      </c>
      <c r="P827" t="s">
        <v>26</v>
      </c>
      <c r="Q827">
        <v>0</v>
      </c>
    </row>
    <row r="828" spans="1:17" x14ac:dyDescent="0.25">
      <c r="A828" t="s">
        <v>17</v>
      </c>
      <c r="B828" t="s">
        <v>36</v>
      </c>
      <c r="C828">
        <v>121500</v>
      </c>
      <c r="D828" t="s">
        <v>44</v>
      </c>
      <c r="E828" t="s">
        <v>20</v>
      </c>
      <c r="F828" t="s">
        <v>32</v>
      </c>
      <c r="G828" t="s">
        <v>22</v>
      </c>
      <c r="H828" t="s">
        <v>23</v>
      </c>
      <c r="I828" t="s">
        <v>24</v>
      </c>
      <c r="J828">
        <v>39420</v>
      </c>
      <c r="K828">
        <v>0</v>
      </c>
      <c r="L828" t="s">
        <v>25</v>
      </c>
      <c r="M828" t="s">
        <v>26</v>
      </c>
      <c r="N828" t="s">
        <v>27</v>
      </c>
      <c r="O828" t="s">
        <v>28</v>
      </c>
      <c r="P828" t="s">
        <v>26</v>
      </c>
      <c r="Q828">
        <v>0</v>
      </c>
    </row>
    <row r="829" spans="1:17" x14ac:dyDescent="0.25">
      <c r="A829" t="s">
        <v>17</v>
      </c>
      <c r="B829" t="s">
        <v>36</v>
      </c>
      <c r="C829">
        <v>121500</v>
      </c>
      <c r="D829" t="s">
        <v>44</v>
      </c>
      <c r="E829" t="s">
        <v>20</v>
      </c>
      <c r="F829" t="s">
        <v>32</v>
      </c>
      <c r="G829" t="s">
        <v>22</v>
      </c>
      <c r="H829" t="s">
        <v>23</v>
      </c>
      <c r="I829" t="s">
        <v>24</v>
      </c>
      <c r="J829">
        <v>85495.5</v>
      </c>
      <c r="K829">
        <v>27000</v>
      </c>
      <c r="L829" t="s">
        <v>51</v>
      </c>
      <c r="M829" t="s">
        <v>26</v>
      </c>
      <c r="N829" t="s">
        <v>27</v>
      </c>
      <c r="O829" t="s">
        <v>35</v>
      </c>
      <c r="P829" t="s">
        <v>26</v>
      </c>
      <c r="Q829">
        <v>0</v>
      </c>
    </row>
    <row r="830" spans="1:17" x14ac:dyDescent="0.25">
      <c r="A830" t="s">
        <v>29</v>
      </c>
      <c r="B830" t="s">
        <v>36</v>
      </c>
      <c r="C830">
        <v>184500</v>
      </c>
      <c r="D830" t="s">
        <v>19</v>
      </c>
      <c r="E830" t="s">
        <v>31</v>
      </c>
      <c r="F830" t="s">
        <v>32</v>
      </c>
      <c r="G830" t="s">
        <v>22</v>
      </c>
      <c r="H830" t="s">
        <v>97</v>
      </c>
      <c r="I830" t="s">
        <v>24</v>
      </c>
      <c r="J830">
        <v>24367.5</v>
      </c>
      <c r="K830">
        <v>3690</v>
      </c>
      <c r="L830" t="s">
        <v>25</v>
      </c>
      <c r="M830" t="s">
        <v>26</v>
      </c>
      <c r="N830" t="s">
        <v>27</v>
      </c>
      <c r="O830" t="s">
        <v>35</v>
      </c>
      <c r="P830" t="s">
        <v>26</v>
      </c>
      <c r="Q830">
        <v>0</v>
      </c>
    </row>
    <row r="831" spans="1:17" x14ac:dyDescent="0.25">
      <c r="A831" t="s">
        <v>29</v>
      </c>
      <c r="B831" t="s">
        <v>18</v>
      </c>
      <c r="C831">
        <v>90000</v>
      </c>
      <c r="D831" t="s">
        <v>44</v>
      </c>
      <c r="E831" t="s">
        <v>20</v>
      </c>
      <c r="F831" t="s">
        <v>32</v>
      </c>
      <c r="G831" t="s">
        <v>22</v>
      </c>
      <c r="H831" t="s">
        <v>48</v>
      </c>
      <c r="I831" t="s">
        <v>24</v>
      </c>
      <c r="J831">
        <v>48375</v>
      </c>
      <c r="K831">
        <v>4860</v>
      </c>
      <c r="L831" t="s">
        <v>45</v>
      </c>
      <c r="M831" t="s">
        <v>26</v>
      </c>
      <c r="N831" t="s">
        <v>27</v>
      </c>
      <c r="O831" t="s">
        <v>35</v>
      </c>
      <c r="P831" t="s">
        <v>26</v>
      </c>
      <c r="Q831">
        <v>0</v>
      </c>
    </row>
    <row r="832" spans="1:17" x14ac:dyDescent="0.25">
      <c r="A832" t="s">
        <v>29</v>
      </c>
      <c r="B832" t="s">
        <v>36</v>
      </c>
      <c r="C832">
        <v>180000</v>
      </c>
      <c r="D832" t="s">
        <v>19</v>
      </c>
      <c r="E832" t="s">
        <v>20</v>
      </c>
      <c r="F832" t="s">
        <v>32</v>
      </c>
      <c r="G832" t="s">
        <v>22</v>
      </c>
      <c r="H832" t="s">
        <v>49</v>
      </c>
      <c r="I832" t="s">
        <v>24</v>
      </c>
      <c r="J832">
        <v>87615</v>
      </c>
      <c r="K832">
        <v>45000</v>
      </c>
      <c r="L832" t="s">
        <v>51</v>
      </c>
      <c r="M832" t="s">
        <v>26</v>
      </c>
      <c r="N832" t="s">
        <v>27</v>
      </c>
      <c r="O832" t="s">
        <v>35</v>
      </c>
      <c r="P832" t="s">
        <v>26</v>
      </c>
      <c r="Q832">
        <v>0</v>
      </c>
    </row>
    <row r="833" spans="1:17" x14ac:dyDescent="0.25">
      <c r="A833" t="s">
        <v>29</v>
      </c>
      <c r="B833" t="s">
        <v>36</v>
      </c>
      <c r="C833">
        <v>180000</v>
      </c>
      <c r="D833" t="s">
        <v>19</v>
      </c>
      <c r="E833" t="s">
        <v>20</v>
      </c>
      <c r="F833" t="s">
        <v>32</v>
      </c>
      <c r="G833" t="s">
        <v>22</v>
      </c>
      <c r="H833" t="s">
        <v>49</v>
      </c>
      <c r="I833" t="s">
        <v>24</v>
      </c>
      <c r="J833">
        <v>90000</v>
      </c>
      <c r="K833">
        <v>45000</v>
      </c>
      <c r="L833" t="s">
        <v>43</v>
      </c>
      <c r="M833" t="s">
        <v>26</v>
      </c>
      <c r="N833" t="s">
        <v>27</v>
      </c>
      <c r="O833" t="s">
        <v>35</v>
      </c>
      <c r="P833" t="s">
        <v>26</v>
      </c>
      <c r="Q833">
        <v>0</v>
      </c>
    </row>
    <row r="834" spans="1:17" x14ac:dyDescent="0.25">
      <c r="A834" t="s">
        <v>17</v>
      </c>
      <c r="B834" t="s">
        <v>36</v>
      </c>
      <c r="C834">
        <v>157500</v>
      </c>
      <c r="D834" t="s">
        <v>19</v>
      </c>
      <c r="E834" t="s">
        <v>20</v>
      </c>
      <c r="F834" t="s">
        <v>32</v>
      </c>
      <c r="G834" t="s">
        <v>22</v>
      </c>
      <c r="H834" t="s">
        <v>49</v>
      </c>
      <c r="I834" t="s">
        <v>24</v>
      </c>
      <c r="J834">
        <v>86107.5</v>
      </c>
      <c r="K834">
        <v>8613</v>
      </c>
      <c r="L834" t="s">
        <v>51</v>
      </c>
      <c r="M834" t="s">
        <v>26</v>
      </c>
      <c r="N834" t="s">
        <v>27</v>
      </c>
      <c r="O834" t="s">
        <v>35</v>
      </c>
      <c r="P834" t="s">
        <v>26</v>
      </c>
      <c r="Q834">
        <v>0</v>
      </c>
    </row>
    <row r="835" spans="1:17" x14ac:dyDescent="0.25">
      <c r="A835" t="s">
        <v>17</v>
      </c>
      <c r="B835" t="s">
        <v>36</v>
      </c>
      <c r="C835">
        <v>225000</v>
      </c>
      <c r="D835" t="s">
        <v>19</v>
      </c>
      <c r="E835" t="s">
        <v>20</v>
      </c>
      <c r="F835" t="s">
        <v>32</v>
      </c>
      <c r="G835" t="s">
        <v>22</v>
      </c>
      <c r="H835" t="s">
        <v>49</v>
      </c>
      <c r="I835" t="s">
        <v>24</v>
      </c>
      <c r="J835">
        <v>61155</v>
      </c>
      <c r="K835">
        <v>16155</v>
      </c>
      <c r="L835" t="s">
        <v>42</v>
      </c>
      <c r="M835" t="s">
        <v>26</v>
      </c>
      <c r="N835" t="s">
        <v>27</v>
      </c>
      <c r="O835" t="s">
        <v>35</v>
      </c>
      <c r="P835" t="s">
        <v>26</v>
      </c>
      <c r="Q835">
        <v>0</v>
      </c>
    </row>
    <row r="836" spans="1:17" x14ac:dyDescent="0.25">
      <c r="A836" t="s">
        <v>17</v>
      </c>
      <c r="B836" t="s">
        <v>18</v>
      </c>
      <c r="C836">
        <v>265500</v>
      </c>
      <c r="D836" t="s">
        <v>19</v>
      </c>
      <c r="E836" t="s">
        <v>20</v>
      </c>
      <c r="F836" t="s">
        <v>21</v>
      </c>
      <c r="G836" t="s">
        <v>22</v>
      </c>
      <c r="H836" t="s">
        <v>23</v>
      </c>
      <c r="I836" t="s">
        <v>24</v>
      </c>
      <c r="J836">
        <v>174125.61</v>
      </c>
      <c r="K836">
        <v>17413.11</v>
      </c>
      <c r="L836" t="s">
        <v>25</v>
      </c>
      <c r="M836" t="s">
        <v>26</v>
      </c>
      <c r="N836" t="s">
        <v>27</v>
      </c>
      <c r="O836" t="s">
        <v>35</v>
      </c>
      <c r="P836" t="s">
        <v>26</v>
      </c>
      <c r="Q836">
        <v>0</v>
      </c>
    </row>
    <row r="837" spans="1:17" x14ac:dyDescent="0.25">
      <c r="A837" t="s">
        <v>17</v>
      </c>
      <c r="B837" t="s">
        <v>18</v>
      </c>
      <c r="C837">
        <v>265500</v>
      </c>
      <c r="D837" t="s">
        <v>19</v>
      </c>
      <c r="E837" t="s">
        <v>20</v>
      </c>
      <c r="F837" t="s">
        <v>21</v>
      </c>
      <c r="G837" t="s">
        <v>22</v>
      </c>
      <c r="H837" t="s">
        <v>23</v>
      </c>
      <c r="I837" t="s">
        <v>24</v>
      </c>
      <c r="J837">
        <v>86094</v>
      </c>
      <c r="K837">
        <v>17221.5</v>
      </c>
      <c r="L837" t="s">
        <v>51</v>
      </c>
      <c r="M837" t="s">
        <v>26</v>
      </c>
      <c r="N837" t="s">
        <v>27</v>
      </c>
      <c r="O837" t="s">
        <v>28</v>
      </c>
      <c r="P837" t="s">
        <v>26</v>
      </c>
      <c r="Q837">
        <v>0</v>
      </c>
    </row>
    <row r="838" spans="1:17" x14ac:dyDescent="0.25">
      <c r="A838" t="s">
        <v>29</v>
      </c>
      <c r="B838" t="s">
        <v>18</v>
      </c>
      <c r="C838">
        <v>135000</v>
      </c>
      <c r="D838" t="s">
        <v>30</v>
      </c>
      <c r="E838" t="s">
        <v>31</v>
      </c>
      <c r="F838" t="s">
        <v>32</v>
      </c>
      <c r="G838" t="s">
        <v>22</v>
      </c>
      <c r="H838" t="s">
        <v>103</v>
      </c>
      <c r="I838" t="s">
        <v>24</v>
      </c>
      <c r="J838">
        <v>61596</v>
      </c>
      <c r="K838">
        <v>0</v>
      </c>
      <c r="L838" t="s">
        <v>34</v>
      </c>
      <c r="M838" t="s">
        <v>26</v>
      </c>
      <c r="N838" t="s">
        <v>27</v>
      </c>
      <c r="O838" t="s">
        <v>35</v>
      </c>
      <c r="P838" t="s">
        <v>26</v>
      </c>
      <c r="Q838">
        <v>0</v>
      </c>
    </row>
    <row r="839" spans="1:17" x14ac:dyDescent="0.25">
      <c r="A839" t="s">
        <v>29</v>
      </c>
      <c r="B839" t="s">
        <v>18</v>
      </c>
      <c r="C839">
        <v>135000</v>
      </c>
      <c r="D839" t="s">
        <v>30</v>
      </c>
      <c r="E839" t="s">
        <v>31</v>
      </c>
      <c r="F839" t="s">
        <v>32</v>
      </c>
      <c r="G839" t="s">
        <v>22</v>
      </c>
      <c r="H839" t="s">
        <v>103</v>
      </c>
      <c r="I839" t="s">
        <v>24</v>
      </c>
      <c r="J839">
        <v>145219.5</v>
      </c>
      <c r="K839">
        <v>0</v>
      </c>
      <c r="L839" t="s">
        <v>25</v>
      </c>
      <c r="M839" t="s">
        <v>26</v>
      </c>
      <c r="N839" t="s">
        <v>27</v>
      </c>
      <c r="O839" t="s">
        <v>35</v>
      </c>
      <c r="P839" t="s">
        <v>26</v>
      </c>
      <c r="Q839">
        <v>0</v>
      </c>
    </row>
    <row r="840" spans="1:17" x14ac:dyDescent="0.25">
      <c r="A840" t="s">
        <v>29</v>
      </c>
      <c r="B840" t="s">
        <v>18</v>
      </c>
      <c r="C840">
        <v>135000</v>
      </c>
      <c r="D840" t="s">
        <v>30</v>
      </c>
      <c r="E840" t="s">
        <v>31</v>
      </c>
      <c r="F840" t="s">
        <v>32</v>
      </c>
      <c r="G840" t="s">
        <v>22</v>
      </c>
      <c r="H840" t="s">
        <v>103</v>
      </c>
      <c r="I840" t="s">
        <v>24</v>
      </c>
      <c r="J840">
        <v>171450</v>
      </c>
      <c r="K840">
        <v>0</v>
      </c>
      <c r="L840" t="s">
        <v>45</v>
      </c>
      <c r="M840" t="s">
        <v>26</v>
      </c>
      <c r="N840" t="s">
        <v>27</v>
      </c>
      <c r="O840" t="s">
        <v>28</v>
      </c>
      <c r="P840" t="s">
        <v>26</v>
      </c>
      <c r="Q840">
        <v>0</v>
      </c>
    </row>
    <row r="841" spans="1:17" x14ac:dyDescent="0.25">
      <c r="A841" t="s">
        <v>17</v>
      </c>
      <c r="B841" t="s">
        <v>36</v>
      </c>
      <c r="C841">
        <v>243000</v>
      </c>
      <c r="D841" t="s">
        <v>19</v>
      </c>
      <c r="E841" t="s">
        <v>20</v>
      </c>
      <c r="F841" t="s">
        <v>32</v>
      </c>
      <c r="G841" t="s">
        <v>22</v>
      </c>
      <c r="H841" t="s">
        <v>100</v>
      </c>
      <c r="I841" t="s">
        <v>24</v>
      </c>
      <c r="J841">
        <v>39555</v>
      </c>
      <c r="K841">
        <v>3955.5</v>
      </c>
      <c r="L841" t="s">
        <v>42</v>
      </c>
      <c r="M841" t="s">
        <v>26</v>
      </c>
      <c r="N841" t="s">
        <v>27</v>
      </c>
      <c r="O841" t="s">
        <v>35</v>
      </c>
      <c r="P841" t="s">
        <v>26</v>
      </c>
      <c r="Q841">
        <v>0</v>
      </c>
    </row>
    <row r="842" spans="1:17" x14ac:dyDescent="0.25">
      <c r="A842" t="s">
        <v>17</v>
      </c>
      <c r="B842" t="s">
        <v>36</v>
      </c>
      <c r="C842">
        <v>243000</v>
      </c>
      <c r="D842" t="s">
        <v>19</v>
      </c>
      <c r="E842" t="s">
        <v>20</v>
      </c>
      <c r="F842" t="s">
        <v>32</v>
      </c>
      <c r="G842" t="s">
        <v>22</v>
      </c>
      <c r="H842" t="s">
        <v>100</v>
      </c>
      <c r="I842" t="s">
        <v>24</v>
      </c>
      <c r="J842">
        <v>60939.45</v>
      </c>
      <c r="K842">
        <v>0</v>
      </c>
      <c r="L842" t="s">
        <v>45</v>
      </c>
      <c r="M842" t="s">
        <v>26</v>
      </c>
      <c r="N842" t="s">
        <v>27</v>
      </c>
      <c r="O842" t="s">
        <v>35</v>
      </c>
      <c r="P842" t="s">
        <v>26</v>
      </c>
      <c r="Q842">
        <v>0</v>
      </c>
    </row>
    <row r="843" spans="1:17" x14ac:dyDescent="0.25">
      <c r="A843" t="s">
        <v>29</v>
      </c>
      <c r="B843" t="s">
        <v>18</v>
      </c>
      <c r="C843">
        <v>135000</v>
      </c>
      <c r="D843" t="s">
        <v>19</v>
      </c>
      <c r="E843" t="s">
        <v>20</v>
      </c>
      <c r="F843" t="s">
        <v>32</v>
      </c>
      <c r="G843" t="s">
        <v>62</v>
      </c>
      <c r="H843" t="s">
        <v>65</v>
      </c>
      <c r="I843" t="s">
        <v>24</v>
      </c>
      <c r="J843">
        <v>129420</v>
      </c>
      <c r="K843">
        <v>0</v>
      </c>
      <c r="L843" t="s">
        <v>38</v>
      </c>
      <c r="M843" t="s">
        <v>26</v>
      </c>
      <c r="N843" t="s">
        <v>27</v>
      </c>
      <c r="O843" t="s">
        <v>35</v>
      </c>
      <c r="P843" t="s">
        <v>26</v>
      </c>
      <c r="Q843">
        <v>0</v>
      </c>
    </row>
    <row r="844" spans="1:17" x14ac:dyDescent="0.25">
      <c r="A844" t="s">
        <v>17</v>
      </c>
      <c r="B844" t="s">
        <v>18</v>
      </c>
      <c r="C844">
        <v>225000</v>
      </c>
      <c r="D844" t="s">
        <v>19</v>
      </c>
      <c r="E844" t="s">
        <v>20</v>
      </c>
      <c r="F844" t="s">
        <v>32</v>
      </c>
      <c r="G844" t="s">
        <v>22</v>
      </c>
      <c r="H844" t="s">
        <v>23</v>
      </c>
      <c r="I844" t="s">
        <v>24</v>
      </c>
      <c r="J844">
        <v>116491.5</v>
      </c>
      <c r="K844">
        <v>0</v>
      </c>
      <c r="L844" t="s">
        <v>34</v>
      </c>
      <c r="M844" t="s">
        <v>26</v>
      </c>
      <c r="N844" t="s">
        <v>27</v>
      </c>
      <c r="O844" t="s">
        <v>35</v>
      </c>
      <c r="P844" t="s">
        <v>26</v>
      </c>
      <c r="Q844">
        <v>0</v>
      </c>
    </row>
    <row r="845" spans="1:17" x14ac:dyDescent="0.25">
      <c r="A845" t="s">
        <v>29</v>
      </c>
      <c r="B845" t="s">
        <v>18</v>
      </c>
      <c r="C845">
        <v>81000</v>
      </c>
      <c r="D845" t="s">
        <v>30</v>
      </c>
      <c r="E845" t="s">
        <v>70</v>
      </c>
      <c r="F845" t="s">
        <v>32</v>
      </c>
      <c r="G845" t="s">
        <v>22</v>
      </c>
      <c r="H845" t="s">
        <v>68</v>
      </c>
      <c r="I845" t="s">
        <v>24</v>
      </c>
      <c r="J845">
        <v>73876.5</v>
      </c>
      <c r="K845">
        <v>7389</v>
      </c>
      <c r="L845" t="s">
        <v>43</v>
      </c>
      <c r="M845" t="s">
        <v>26</v>
      </c>
      <c r="N845" t="s">
        <v>27</v>
      </c>
      <c r="O845" t="s">
        <v>35</v>
      </c>
      <c r="P845" t="s">
        <v>26</v>
      </c>
      <c r="Q845">
        <v>0</v>
      </c>
    </row>
    <row r="846" spans="1:17" x14ac:dyDescent="0.25">
      <c r="A846" t="s">
        <v>29</v>
      </c>
      <c r="B846" t="s">
        <v>18</v>
      </c>
      <c r="C846">
        <v>90000</v>
      </c>
      <c r="D846" t="s">
        <v>19</v>
      </c>
      <c r="E846" t="s">
        <v>20</v>
      </c>
      <c r="F846" t="s">
        <v>32</v>
      </c>
      <c r="G846" t="s">
        <v>22</v>
      </c>
      <c r="H846" t="s">
        <v>41</v>
      </c>
      <c r="I846" t="s">
        <v>24</v>
      </c>
      <c r="J846">
        <v>25110</v>
      </c>
      <c r="K846">
        <v>2511</v>
      </c>
      <c r="L846" t="s">
        <v>45</v>
      </c>
      <c r="M846" t="s">
        <v>26</v>
      </c>
      <c r="N846" t="s">
        <v>27</v>
      </c>
      <c r="O846" t="s">
        <v>35</v>
      </c>
      <c r="P846" t="s">
        <v>26</v>
      </c>
      <c r="Q846">
        <v>0</v>
      </c>
    </row>
    <row r="847" spans="1:17" x14ac:dyDescent="0.25">
      <c r="A847" t="s">
        <v>29</v>
      </c>
      <c r="B847" t="s">
        <v>18</v>
      </c>
      <c r="C847">
        <v>135000</v>
      </c>
      <c r="D847" t="s">
        <v>46</v>
      </c>
      <c r="E847" t="s">
        <v>20</v>
      </c>
      <c r="F847" t="s">
        <v>32</v>
      </c>
      <c r="G847" t="s">
        <v>22</v>
      </c>
      <c r="H847" t="s">
        <v>28</v>
      </c>
      <c r="I847" t="s">
        <v>24</v>
      </c>
      <c r="J847">
        <v>119925</v>
      </c>
      <c r="K847">
        <v>0</v>
      </c>
      <c r="L847" t="s">
        <v>34</v>
      </c>
      <c r="M847" t="s">
        <v>26</v>
      </c>
      <c r="N847" t="s">
        <v>27</v>
      </c>
      <c r="O847" t="s">
        <v>35</v>
      </c>
      <c r="P847" t="s">
        <v>26</v>
      </c>
      <c r="Q847">
        <v>0</v>
      </c>
    </row>
    <row r="848" spans="1:17" x14ac:dyDescent="0.25">
      <c r="A848" t="s">
        <v>29</v>
      </c>
      <c r="B848" t="s">
        <v>18</v>
      </c>
      <c r="C848">
        <v>135000</v>
      </c>
      <c r="D848" t="s">
        <v>46</v>
      </c>
      <c r="E848" t="s">
        <v>20</v>
      </c>
      <c r="F848" t="s">
        <v>32</v>
      </c>
      <c r="G848" t="s">
        <v>22</v>
      </c>
      <c r="H848" t="s">
        <v>28</v>
      </c>
      <c r="I848" t="s">
        <v>24</v>
      </c>
      <c r="J848">
        <v>43560</v>
      </c>
      <c r="K848">
        <v>4356</v>
      </c>
      <c r="L848" t="s">
        <v>45</v>
      </c>
      <c r="M848" t="s">
        <v>26</v>
      </c>
      <c r="N848" t="s">
        <v>58</v>
      </c>
      <c r="O848" t="s">
        <v>35</v>
      </c>
      <c r="P848" t="s">
        <v>59</v>
      </c>
      <c r="Q848">
        <v>1</v>
      </c>
    </row>
    <row r="849" spans="1:17" x14ac:dyDescent="0.25">
      <c r="A849" t="s">
        <v>29</v>
      </c>
      <c r="B849" t="s">
        <v>18</v>
      </c>
      <c r="C849">
        <v>135000</v>
      </c>
      <c r="D849" t="s">
        <v>46</v>
      </c>
      <c r="E849" t="s">
        <v>20</v>
      </c>
      <c r="F849" t="s">
        <v>32</v>
      </c>
      <c r="G849" t="s">
        <v>22</v>
      </c>
      <c r="H849" t="s">
        <v>28</v>
      </c>
      <c r="I849" t="s">
        <v>24</v>
      </c>
      <c r="J849">
        <v>18855</v>
      </c>
      <c r="K849">
        <v>1885.5</v>
      </c>
      <c r="L849" t="s">
        <v>43</v>
      </c>
      <c r="M849" t="s">
        <v>26</v>
      </c>
      <c r="N849" t="s">
        <v>27</v>
      </c>
      <c r="O849" t="s">
        <v>35</v>
      </c>
      <c r="P849" t="s">
        <v>26</v>
      </c>
      <c r="Q849">
        <v>0</v>
      </c>
    </row>
    <row r="850" spans="1:17" x14ac:dyDescent="0.25">
      <c r="A850" t="s">
        <v>29</v>
      </c>
      <c r="B850" t="s">
        <v>18</v>
      </c>
      <c r="C850">
        <v>135000</v>
      </c>
      <c r="D850" t="s">
        <v>46</v>
      </c>
      <c r="E850" t="s">
        <v>20</v>
      </c>
      <c r="F850" t="s">
        <v>32</v>
      </c>
      <c r="G850" t="s">
        <v>22</v>
      </c>
      <c r="H850" t="s">
        <v>28</v>
      </c>
      <c r="I850" t="s">
        <v>24</v>
      </c>
      <c r="J850">
        <v>62055</v>
      </c>
      <c r="K850">
        <v>0</v>
      </c>
      <c r="L850" t="s">
        <v>43</v>
      </c>
      <c r="M850" t="s">
        <v>26</v>
      </c>
      <c r="N850" t="s">
        <v>27</v>
      </c>
      <c r="O850" t="s">
        <v>35</v>
      </c>
      <c r="P850" t="s">
        <v>26</v>
      </c>
      <c r="Q850">
        <v>0</v>
      </c>
    </row>
    <row r="851" spans="1:17" x14ac:dyDescent="0.25">
      <c r="A851" t="s">
        <v>29</v>
      </c>
      <c r="B851" t="s">
        <v>18</v>
      </c>
      <c r="C851">
        <v>135000</v>
      </c>
      <c r="D851" t="s">
        <v>46</v>
      </c>
      <c r="E851" t="s">
        <v>20</v>
      </c>
      <c r="F851" t="s">
        <v>32</v>
      </c>
      <c r="G851" t="s">
        <v>22</v>
      </c>
      <c r="H851" t="s">
        <v>28</v>
      </c>
      <c r="I851" t="s">
        <v>24</v>
      </c>
      <c r="J851">
        <v>19755</v>
      </c>
      <c r="K851">
        <v>2025</v>
      </c>
      <c r="L851" t="s">
        <v>42</v>
      </c>
      <c r="M851" t="s">
        <v>26</v>
      </c>
      <c r="N851" t="s">
        <v>27</v>
      </c>
      <c r="O851" t="s">
        <v>35</v>
      </c>
      <c r="P851" t="s">
        <v>26</v>
      </c>
      <c r="Q851">
        <v>0</v>
      </c>
    </row>
    <row r="852" spans="1:17" x14ac:dyDescent="0.25">
      <c r="A852" t="s">
        <v>17</v>
      </c>
      <c r="B852" t="s">
        <v>18</v>
      </c>
      <c r="C852">
        <v>157500</v>
      </c>
      <c r="D852" t="s">
        <v>44</v>
      </c>
      <c r="E852" t="s">
        <v>20</v>
      </c>
      <c r="F852" t="s">
        <v>21</v>
      </c>
      <c r="G852" t="s">
        <v>22</v>
      </c>
      <c r="H852" t="s">
        <v>23</v>
      </c>
      <c r="I852" t="s">
        <v>24</v>
      </c>
      <c r="J852">
        <v>384259.5</v>
      </c>
      <c r="K852">
        <v>0</v>
      </c>
      <c r="L852" t="s">
        <v>25</v>
      </c>
      <c r="M852" t="s">
        <v>26</v>
      </c>
      <c r="N852" t="s">
        <v>27</v>
      </c>
      <c r="O852" t="s">
        <v>35</v>
      </c>
      <c r="P852" t="s">
        <v>26</v>
      </c>
      <c r="Q852">
        <v>0</v>
      </c>
    </row>
    <row r="853" spans="1:17" x14ac:dyDescent="0.25">
      <c r="A853" t="s">
        <v>29</v>
      </c>
      <c r="B853" t="s">
        <v>18</v>
      </c>
      <c r="C853">
        <v>157500</v>
      </c>
      <c r="D853" t="s">
        <v>44</v>
      </c>
      <c r="E853" t="s">
        <v>31</v>
      </c>
      <c r="F853" t="s">
        <v>32</v>
      </c>
      <c r="G853" t="s">
        <v>22</v>
      </c>
      <c r="H853" t="s">
        <v>49</v>
      </c>
      <c r="I853" t="s">
        <v>24</v>
      </c>
      <c r="J853">
        <v>80955</v>
      </c>
      <c r="K853">
        <v>16191</v>
      </c>
      <c r="L853" t="s">
        <v>42</v>
      </c>
      <c r="M853" t="s">
        <v>26</v>
      </c>
      <c r="N853" t="s">
        <v>27</v>
      </c>
      <c r="O853" t="s">
        <v>35</v>
      </c>
      <c r="P853" t="s">
        <v>26</v>
      </c>
      <c r="Q853">
        <v>0</v>
      </c>
    </row>
    <row r="854" spans="1:17" x14ac:dyDescent="0.25">
      <c r="A854" t="s">
        <v>29</v>
      </c>
      <c r="B854" t="s">
        <v>18</v>
      </c>
      <c r="C854">
        <v>67500</v>
      </c>
      <c r="D854" t="s">
        <v>46</v>
      </c>
      <c r="E854" t="s">
        <v>20</v>
      </c>
      <c r="F854" t="s">
        <v>32</v>
      </c>
      <c r="G854" t="s">
        <v>22</v>
      </c>
      <c r="H854" t="s">
        <v>28</v>
      </c>
      <c r="I854" t="s">
        <v>24</v>
      </c>
      <c r="J854">
        <v>31405.5</v>
      </c>
      <c r="K854">
        <v>0</v>
      </c>
      <c r="L854" t="s">
        <v>43</v>
      </c>
      <c r="M854" t="s">
        <v>26</v>
      </c>
      <c r="N854" t="s">
        <v>58</v>
      </c>
      <c r="O854" t="s">
        <v>28</v>
      </c>
      <c r="P854" t="s">
        <v>28</v>
      </c>
      <c r="Q854">
        <v>1</v>
      </c>
    </row>
    <row r="855" spans="1:17" x14ac:dyDescent="0.25">
      <c r="A855" t="s">
        <v>29</v>
      </c>
      <c r="B855" t="s">
        <v>36</v>
      </c>
      <c r="C855">
        <v>112500</v>
      </c>
      <c r="D855" t="s">
        <v>46</v>
      </c>
      <c r="E855" t="s">
        <v>20</v>
      </c>
      <c r="F855" t="s">
        <v>32</v>
      </c>
      <c r="G855" t="s">
        <v>22</v>
      </c>
      <c r="H855" t="s">
        <v>28</v>
      </c>
      <c r="I855" t="s">
        <v>24</v>
      </c>
      <c r="J855">
        <v>134730</v>
      </c>
      <c r="K855">
        <v>9000</v>
      </c>
      <c r="L855" t="s">
        <v>43</v>
      </c>
      <c r="M855" t="s">
        <v>26</v>
      </c>
      <c r="N855" t="s">
        <v>27</v>
      </c>
      <c r="O855" t="s">
        <v>35</v>
      </c>
      <c r="P855" t="s">
        <v>26</v>
      </c>
      <c r="Q855">
        <v>0</v>
      </c>
    </row>
    <row r="856" spans="1:17" x14ac:dyDescent="0.25">
      <c r="A856" t="s">
        <v>29</v>
      </c>
      <c r="B856" t="s">
        <v>36</v>
      </c>
      <c r="C856">
        <v>112500</v>
      </c>
      <c r="D856" t="s">
        <v>46</v>
      </c>
      <c r="E856" t="s">
        <v>20</v>
      </c>
      <c r="F856" t="s">
        <v>32</v>
      </c>
      <c r="G856" t="s">
        <v>22</v>
      </c>
      <c r="H856" t="s">
        <v>28</v>
      </c>
      <c r="I856" t="s">
        <v>24</v>
      </c>
      <c r="J856">
        <v>80725.5</v>
      </c>
      <c r="K856">
        <v>8073</v>
      </c>
      <c r="L856" t="s">
        <v>38</v>
      </c>
      <c r="M856" t="s">
        <v>26</v>
      </c>
      <c r="N856" t="s">
        <v>27</v>
      </c>
      <c r="O856" t="s">
        <v>35</v>
      </c>
      <c r="P856" t="s">
        <v>26</v>
      </c>
      <c r="Q856">
        <v>0</v>
      </c>
    </row>
    <row r="857" spans="1:17" x14ac:dyDescent="0.25">
      <c r="A857" t="s">
        <v>29</v>
      </c>
      <c r="B857" t="s">
        <v>18</v>
      </c>
      <c r="C857">
        <v>90000</v>
      </c>
      <c r="D857" t="s">
        <v>30</v>
      </c>
      <c r="E857" t="s">
        <v>31</v>
      </c>
      <c r="F857" t="s">
        <v>32</v>
      </c>
      <c r="G857" t="s">
        <v>22</v>
      </c>
      <c r="H857" t="s">
        <v>41</v>
      </c>
      <c r="I857" t="s">
        <v>24</v>
      </c>
      <c r="J857">
        <v>54000</v>
      </c>
      <c r="K857">
        <v>5400</v>
      </c>
      <c r="L857" t="s">
        <v>51</v>
      </c>
      <c r="M857" t="s">
        <v>26</v>
      </c>
      <c r="N857" t="s">
        <v>27</v>
      </c>
      <c r="O857" t="s">
        <v>35</v>
      </c>
      <c r="P857" t="s">
        <v>26</v>
      </c>
      <c r="Q857">
        <v>0</v>
      </c>
    </row>
    <row r="858" spans="1:17" x14ac:dyDescent="0.25">
      <c r="A858" t="s">
        <v>17</v>
      </c>
      <c r="B858" t="s">
        <v>18</v>
      </c>
      <c r="C858">
        <v>135000</v>
      </c>
      <c r="D858" t="s">
        <v>46</v>
      </c>
      <c r="E858" t="s">
        <v>31</v>
      </c>
      <c r="F858" t="s">
        <v>32</v>
      </c>
      <c r="G858" t="s">
        <v>22</v>
      </c>
      <c r="H858" t="s">
        <v>28</v>
      </c>
      <c r="I858" t="s">
        <v>66</v>
      </c>
      <c r="J858">
        <v>112500</v>
      </c>
      <c r="K858">
        <v>0</v>
      </c>
      <c r="L858" t="s">
        <v>43</v>
      </c>
      <c r="M858" t="s">
        <v>28</v>
      </c>
      <c r="N858" t="s">
        <v>27</v>
      </c>
      <c r="O858" t="s">
        <v>35</v>
      </c>
      <c r="P858" t="s">
        <v>26</v>
      </c>
      <c r="Q858">
        <v>0</v>
      </c>
    </row>
    <row r="859" spans="1:17" x14ac:dyDescent="0.25">
      <c r="A859" t="s">
        <v>29</v>
      </c>
      <c r="B859" t="s">
        <v>18</v>
      </c>
      <c r="C859">
        <v>135000</v>
      </c>
      <c r="D859" t="s">
        <v>44</v>
      </c>
      <c r="E859" t="s">
        <v>20</v>
      </c>
      <c r="F859" t="s">
        <v>69</v>
      </c>
      <c r="G859" t="s">
        <v>22</v>
      </c>
      <c r="H859" t="s">
        <v>68</v>
      </c>
      <c r="I859" t="s">
        <v>24</v>
      </c>
      <c r="J859">
        <v>87165</v>
      </c>
      <c r="K859">
        <v>8721</v>
      </c>
      <c r="L859" t="s">
        <v>42</v>
      </c>
      <c r="M859" t="s">
        <v>26</v>
      </c>
      <c r="N859" t="s">
        <v>27</v>
      </c>
      <c r="O859" t="s">
        <v>35</v>
      </c>
      <c r="P859" t="s">
        <v>26</v>
      </c>
      <c r="Q859">
        <v>0</v>
      </c>
    </row>
    <row r="860" spans="1:17" x14ac:dyDescent="0.25">
      <c r="A860" t="s">
        <v>29</v>
      </c>
      <c r="B860" t="s">
        <v>18</v>
      </c>
      <c r="C860">
        <v>135000</v>
      </c>
      <c r="D860" t="s">
        <v>44</v>
      </c>
      <c r="E860" t="s">
        <v>20</v>
      </c>
      <c r="F860" t="s">
        <v>69</v>
      </c>
      <c r="G860" t="s">
        <v>22</v>
      </c>
      <c r="H860" t="s">
        <v>68</v>
      </c>
      <c r="I860" t="s">
        <v>24</v>
      </c>
      <c r="J860">
        <v>118782</v>
      </c>
      <c r="K860">
        <v>0</v>
      </c>
      <c r="L860" t="s">
        <v>34</v>
      </c>
      <c r="M860" t="s">
        <v>26</v>
      </c>
      <c r="N860" t="s">
        <v>76</v>
      </c>
      <c r="O860" t="s">
        <v>35</v>
      </c>
      <c r="P860" t="s">
        <v>77</v>
      </c>
      <c r="Q860">
        <v>0</v>
      </c>
    </row>
    <row r="861" spans="1:17" x14ac:dyDescent="0.25">
      <c r="A861" t="s">
        <v>29</v>
      </c>
      <c r="B861" t="s">
        <v>18</v>
      </c>
      <c r="C861">
        <v>135000</v>
      </c>
      <c r="D861" t="s">
        <v>44</v>
      </c>
      <c r="E861" t="s">
        <v>20</v>
      </c>
      <c r="F861" t="s">
        <v>69</v>
      </c>
      <c r="G861" t="s">
        <v>22</v>
      </c>
      <c r="H861" t="s">
        <v>68</v>
      </c>
      <c r="I861" t="s">
        <v>24</v>
      </c>
      <c r="J861">
        <v>118782</v>
      </c>
      <c r="K861">
        <v>11880</v>
      </c>
      <c r="L861" t="s">
        <v>34</v>
      </c>
      <c r="M861" t="s">
        <v>26</v>
      </c>
      <c r="N861" t="s">
        <v>27</v>
      </c>
      <c r="O861" t="s">
        <v>35</v>
      </c>
      <c r="P861" t="s">
        <v>26</v>
      </c>
      <c r="Q861">
        <v>0</v>
      </c>
    </row>
    <row r="862" spans="1:17" x14ac:dyDescent="0.25">
      <c r="A862" t="s">
        <v>29</v>
      </c>
      <c r="B862" t="s">
        <v>18</v>
      </c>
      <c r="C862">
        <v>135000</v>
      </c>
      <c r="D862" t="s">
        <v>44</v>
      </c>
      <c r="E862" t="s">
        <v>20</v>
      </c>
      <c r="F862" t="s">
        <v>69</v>
      </c>
      <c r="G862" t="s">
        <v>22</v>
      </c>
      <c r="H862" t="s">
        <v>68</v>
      </c>
      <c r="I862" t="s">
        <v>24</v>
      </c>
      <c r="J862">
        <v>36616.5</v>
      </c>
      <c r="K862">
        <v>3663</v>
      </c>
      <c r="L862" t="s">
        <v>51</v>
      </c>
      <c r="M862" t="s">
        <v>26</v>
      </c>
      <c r="N862" t="s">
        <v>27</v>
      </c>
      <c r="O862" t="s">
        <v>35</v>
      </c>
      <c r="P862" t="s">
        <v>26</v>
      </c>
      <c r="Q862">
        <v>0</v>
      </c>
    </row>
    <row r="863" spans="1:17" x14ac:dyDescent="0.25">
      <c r="A863" t="s">
        <v>29</v>
      </c>
      <c r="B863" t="s">
        <v>18</v>
      </c>
      <c r="C863">
        <v>135000</v>
      </c>
      <c r="D863" t="s">
        <v>44</v>
      </c>
      <c r="E863" t="s">
        <v>20</v>
      </c>
      <c r="F863" t="s">
        <v>69</v>
      </c>
      <c r="G863" t="s">
        <v>22</v>
      </c>
      <c r="H863" t="s">
        <v>68</v>
      </c>
      <c r="I863" t="s">
        <v>24</v>
      </c>
      <c r="J863">
        <v>46021.5</v>
      </c>
      <c r="K863">
        <v>2295</v>
      </c>
      <c r="L863" t="s">
        <v>43</v>
      </c>
      <c r="M863" t="s">
        <v>26</v>
      </c>
      <c r="N863" t="s">
        <v>27</v>
      </c>
      <c r="O863" t="s">
        <v>35</v>
      </c>
      <c r="P863" t="s">
        <v>26</v>
      </c>
      <c r="Q863">
        <v>0</v>
      </c>
    </row>
    <row r="864" spans="1:17" x14ac:dyDescent="0.25">
      <c r="A864" t="s">
        <v>29</v>
      </c>
      <c r="B864" t="s">
        <v>18</v>
      </c>
      <c r="C864">
        <v>135000</v>
      </c>
      <c r="D864" t="s">
        <v>44</v>
      </c>
      <c r="E864" t="s">
        <v>20</v>
      </c>
      <c r="F864" t="s">
        <v>69</v>
      </c>
      <c r="G864" t="s">
        <v>22</v>
      </c>
      <c r="H864" t="s">
        <v>68</v>
      </c>
      <c r="I864" t="s">
        <v>24</v>
      </c>
      <c r="J864">
        <v>132192</v>
      </c>
      <c r="K864">
        <v>0</v>
      </c>
      <c r="L864" t="s">
        <v>38</v>
      </c>
      <c r="M864" t="s">
        <v>26</v>
      </c>
      <c r="N864" t="s">
        <v>27</v>
      </c>
      <c r="O864" t="s">
        <v>35</v>
      </c>
      <c r="P864" t="s">
        <v>26</v>
      </c>
      <c r="Q864">
        <v>0</v>
      </c>
    </row>
    <row r="865" spans="1:17" x14ac:dyDescent="0.25">
      <c r="A865" t="s">
        <v>17</v>
      </c>
      <c r="B865" t="s">
        <v>36</v>
      </c>
      <c r="C865">
        <v>157500</v>
      </c>
      <c r="D865" t="s">
        <v>19</v>
      </c>
      <c r="E865" t="s">
        <v>20</v>
      </c>
      <c r="F865" t="s">
        <v>32</v>
      </c>
      <c r="G865" t="s">
        <v>22</v>
      </c>
      <c r="H865" t="s">
        <v>71</v>
      </c>
      <c r="I865" t="s">
        <v>24</v>
      </c>
      <c r="J865">
        <v>54634.5</v>
      </c>
      <c r="K865">
        <v>0</v>
      </c>
      <c r="L865" t="s">
        <v>42</v>
      </c>
      <c r="M865" t="s">
        <v>26</v>
      </c>
      <c r="N865" t="s">
        <v>27</v>
      </c>
      <c r="O865" t="s">
        <v>35</v>
      </c>
      <c r="P865" t="s">
        <v>26</v>
      </c>
      <c r="Q865">
        <v>0</v>
      </c>
    </row>
    <row r="866" spans="1:17" x14ac:dyDescent="0.25">
      <c r="A866" t="s">
        <v>17</v>
      </c>
      <c r="B866" t="s">
        <v>36</v>
      </c>
      <c r="C866">
        <v>157500</v>
      </c>
      <c r="D866" t="s">
        <v>19</v>
      </c>
      <c r="E866" t="s">
        <v>20</v>
      </c>
      <c r="F866" t="s">
        <v>32</v>
      </c>
      <c r="G866" t="s">
        <v>22</v>
      </c>
      <c r="H866" t="s">
        <v>71</v>
      </c>
      <c r="I866" t="s">
        <v>24</v>
      </c>
      <c r="J866">
        <v>37386</v>
      </c>
      <c r="K866">
        <v>0</v>
      </c>
      <c r="L866" t="s">
        <v>34</v>
      </c>
      <c r="M866" t="s">
        <v>26</v>
      </c>
      <c r="N866" t="s">
        <v>27</v>
      </c>
      <c r="O866" t="s">
        <v>35</v>
      </c>
      <c r="P866" t="s">
        <v>26</v>
      </c>
      <c r="Q866">
        <v>0</v>
      </c>
    </row>
    <row r="867" spans="1:17" x14ac:dyDescent="0.25">
      <c r="A867" t="s">
        <v>17</v>
      </c>
      <c r="B867" t="s">
        <v>36</v>
      </c>
      <c r="C867">
        <v>180000</v>
      </c>
      <c r="D867" t="s">
        <v>19</v>
      </c>
      <c r="E867" t="s">
        <v>31</v>
      </c>
      <c r="F867" t="s">
        <v>32</v>
      </c>
      <c r="G867" t="s">
        <v>22</v>
      </c>
      <c r="H867" t="s">
        <v>23</v>
      </c>
      <c r="I867" t="s">
        <v>24</v>
      </c>
      <c r="J867">
        <v>169884</v>
      </c>
      <c r="K867">
        <v>45000</v>
      </c>
      <c r="L867" t="s">
        <v>45</v>
      </c>
      <c r="M867" t="s">
        <v>26</v>
      </c>
      <c r="N867" t="s">
        <v>58</v>
      </c>
      <c r="O867" t="s">
        <v>35</v>
      </c>
      <c r="P867" t="s">
        <v>59</v>
      </c>
      <c r="Q867">
        <v>1</v>
      </c>
    </row>
    <row r="868" spans="1:17" x14ac:dyDescent="0.25">
      <c r="A868" t="s">
        <v>17</v>
      </c>
      <c r="B868" t="s">
        <v>36</v>
      </c>
      <c r="C868">
        <v>180000</v>
      </c>
      <c r="D868" t="s">
        <v>19</v>
      </c>
      <c r="E868" t="s">
        <v>31</v>
      </c>
      <c r="F868" t="s">
        <v>32</v>
      </c>
      <c r="G868" t="s">
        <v>22</v>
      </c>
      <c r="H868" t="s">
        <v>23</v>
      </c>
      <c r="I868" t="s">
        <v>24</v>
      </c>
      <c r="J868">
        <v>80149.5</v>
      </c>
      <c r="K868">
        <v>45000</v>
      </c>
      <c r="L868" t="s">
        <v>45</v>
      </c>
      <c r="M868" t="s">
        <v>26</v>
      </c>
      <c r="N868" t="s">
        <v>27</v>
      </c>
      <c r="O868" t="s">
        <v>35</v>
      </c>
      <c r="P868" t="s">
        <v>26</v>
      </c>
      <c r="Q868">
        <v>0</v>
      </c>
    </row>
    <row r="869" spans="1:17" x14ac:dyDescent="0.25">
      <c r="A869" t="s">
        <v>17</v>
      </c>
      <c r="B869" t="s">
        <v>36</v>
      </c>
      <c r="C869">
        <v>180000</v>
      </c>
      <c r="D869" t="s">
        <v>19</v>
      </c>
      <c r="E869" t="s">
        <v>31</v>
      </c>
      <c r="F869" t="s">
        <v>32</v>
      </c>
      <c r="G869" t="s">
        <v>22</v>
      </c>
      <c r="H869" t="s">
        <v>23</v>
      </c>
      <c r="I869" t="s">
        <v>24</v>
      </c>
      <c r="J869">
        <v>80149.5</v>
      </c>
      <c r="K869">
        <v>16033.5</v>
      </c>
      <c r="L869" t="s">
        <v>45</v>
      </c>
      <c r="M869" t="s">
        <v>26</v>
      </c>
      <c r="N869" t="s">
        <v>58</v>
      </c>
      <c r="O869" t="s">
        <v>35</v>
      </c>
      <c r="P869" t="s">
        <v>59</v>
      </c>
      <c r="Q869">
        <v>1</v>
      </c>
    </row>
    <row r="870" spans="1:17" x14ac:dyDescent="0.25">
      <c r="A870" t="s">
        <v>17</v>
      </c>
      <c r="B870" t="s">
        <v>18</v>
      </c>
      <c r="C870">
        <v>540000</v>
      </c>
      <c r="D870" t="s">
        <v>19</v>
      </c>
      <c r="E870" t="s">
        <v>31</v>
      </c>
      <c r="F870" t="s">
        <v>32</v>
      </c>
      <c r="G870" t="s">
        <v>22</v>
      </c>
      <c r="H870" t="s">
        <v>23</v>
      </c>
      <c r="I870" t="s">
        <v>24</v>
      </c>
      <c r="J870">
        <v>92596.5</v>
      </c>
      <c r="K870">
        <v>9261</v>
      </c>
      <c r="L870" t="s">
        <v>34</v>
      </c>
      <c r="M870" t="s">
        <v>26</v>
      </c>
      <c r="N870" t="s">
        <v>27</v>
      </c>
      <c r="O870" t="s">
        <v>35</v>
      </c>
      <c r="P870" t="s">
        <v>26</v>
      </c>
      <c r="Q870">
        <v>0</v>
      </c>
    </row>
    <row r="871" spans="1:17" x14ac:dyDescent="0.25">
      <c r="A871" t="s">
        <v>29</v>
      </c>
      <c r="B871" t="s">
        <v>18</v>
      </c>
      <c r="C871">
        <v>180000</v>
      </c>
      <c r="D871" t="s">
        <v>19</v>
      </c>
      <c r="E871" t="s">
        <v>31</v>
      </c>
      <c r="F871" t="s">
        <v>32</v>
      </c>
      <c r="G871" t="s">
        <v>22</v>
      </c>
      <c r="H871" t="s">
        <v>89</v>
      </c>
      <c r="I871" t="s">
        <v>24</v>
      </c>
      <c r="J871">
        <v>40005</v>
      </c>
      <c r="K871">
        <v>4005</v>
      </c>
      <c r="L871" t="s">
        <v>34</v>
      </c>
      <c r="M871" t="s">
        <v>26</v>
      </c>
      <c r="N871" t="s">
        <v>27</v>
      </c>
      <c r="O871" t="s">
        <v>35</v>
      </c>
      <c r="P871" t="s">
        <v>26</v>
      </c>
      <c r="Q871">
        <v>0</v>
      </c>
    </row>
    <row r="872" spans="1:17" x14ac:dyDescent="0.25">
      <c r="A872" t="s">
        <v>29</v>
      </c>
      <c r="B872" t="s">
        <v>18</v>
      </c>
      <c r="C872">
        <v>99000</v>
      </c>
      <c r="D872" t="s">
        <v>46</v>
      </c>
      <c r="E872" t="s">
        <v>20</v>
      </c>
      <c r="F872" t="s">
        <v>32</v>
      </c>
      <c r="G872" t="s">
        <v>22</v>
      </c>
      <c r="H872" t="s">
        <v>28</v>
      </c>
      <c r="I872" t="s">
        <v>24</v>
      </c>
      <c r="J872">
        <v>86940</v>
      </c>
      <c r="K872">
        <v>0</v>
      </c>
      <c r="L872" t="s">
        <v>42</v>
      </c>
      <c r="M872" t="s">
        <v>26</v>
      </c>
      <c r="N872" t="s">
        <v>27</v>
      </c>
      <c r="O872" t="s">
        <v>83</v>
      </c>
      <c r="P872" t="s">
        <v>26</v>
      </c>
      <c r="Q872">
        <v>0</v>
      </c>
    </row>
    <row r="873" spans="1:17" x14ac:dyDescent="0.25">
      <c r="A873" t="s">
        <v>29</v>
      </c>
      <c r="B873" t="s">
        <v>18</v>
      </c>
      <c r="C873">
        <v>99000</v>
      </c>
      <c r="D873" t="s">
        <v>46</v>
      </c>
      <c r="E873" t="s">
        <v>20</v>
      </c>
      <c r="F873" t="s">
        <v>32</v>
      </c>
      <c r="G873" t="s">
        <v>22</v>
      </c>
      <c r="H873" t="s">
        <v>28</v>
      </c>
      <c r="I873" t="s">
        <v>24</v>
      </c>
      <c r="J873">
        <v>72751.5</v>
      </c>
      <c r="K873">
        <v>0</v>
      </c>
      <c r="L873" t="s">
        <v>38</v>
      </c>
      <c r="M873" t="s">
        <v>26</v>
      </c>
      <c r="N873" t="s">
        <v>27</v>
      </c>
      <c r="O873" t="s">
        <v>35</v>
      </c>
      <c r="P873" t="s">
        <v>26</v>
      </c>
      <c r="Q873">
        <v>0</v>
      </c>
    </row>
    <row r="874" spans="1:17" x14ac:dyDescent="0.25">
      <c r="A874" t="s">
        <v>29</v>
      </c>
      <c r="B874" t="s">
        <v>36</v>
      </c>
      <c r="C874">
        <v>135000</v>
      </c>
      <c r="D874" t="s">
        <v>44</v>
      </c>
      <c r="E874" t="s">
        <v>20</v>
      </c>
      <c r="F874" t="s">
        <v>32</v>
      </c>
      <c r="G874" t="s">
        <v>62</v>
      </c>
      <c r="H874" t="s">
        <v>23</v>
      </c>
      <c r="I874" t="s">
        <v>24</v>
      </c>
      <c r="J874">
        <v>129825</v>
      </c>
      <c r="K874">
        <v>0</v>
      </c>
      <c r="L874" t="s">
        <v>38</v>
      </c>
      <c r="M874" t="s">
        <v>26</v>
      </c>
      <c r="N874" t="s">
        <v>27</v>
      </c>
      <c r="O874" t="s">
        <v>35</v>
      </c>
      <c r="P874" t="s">
        <v>26</v>
      </c>
      <c r="Q874">
        <v>0</v>
      </c>
    </row>
    <row r="875" spans="1:17" x14ac:dyDescent="0.25">
      <c r="A875" t="s">
        <v>29</v>
      </c>
      <c r="B875" t="s">
        <v>36</v>
      </c>
      <c r="C875">
        <v>135000</v>
      </c>
      <c r="D875" t="s">
        <v>44</v>
      </c>
      <c r="E875" t="s">
        <v>20</v>
      </c>
      <c r="F875" t="s">
        <v>32</v>
      </c>
      <c r="G875" t="s">
        <v>62</v>
      </c>
      <c r="H875" t="s">
        <v>23</v>
      </c>
      <c r="I875" t="s">
        <v>24</v>
      </c>
      <c r="J875">
        <v>65880</v>
      </c>
      <c r="K875">
        <v>6750</v>
      </c>
      <c r="L875" t="s">
        <v>51</v>
      </c>
      <c r="M875" t="s">
        <v>26</v>
      </c>
      <c r="N875" t="s">
        <v>27</v>
      </c>
      <c r="O875" t="s">
        <v>35</v>
      </c>
      <c r="P875" t="s">
        <v>26</v>
      </c>
      <c r="Q875">
        <v>0</v>
      </c>
    </row>
    <row r="876" spans="1:17" x14ac:dyDescent="0.25">
      <c r="A876" t="s">
        <v>29</v>
      </c>
      <c r="B876" t="s">
        <v>36</v>
      </c>
      <c r="C876">
        <v>135000</v>
      </c>
      <c r="D876" t="s">
        <v>44</v>
      </c>
      <c r="E876" t="s">
        <v>20</v>
      </c>
      <c r="F876" t="s">
        <v>32</v>
      </c>
      <c r="G876" t="s">
        <v>62</v>
      </c>
      <c r="H876" t="s">
        <v>23</v>
      </c>
      <c r="I876" t="s">
        <v>24</v>
      </c>
      <c r="J876">
        <v>161460</v>
      </c>
      <c r="K876">
        <v>0</v>
      </c>
      <c r="L876" t="s">
        <v>43</v>
      </c>
      <c r="M876" t="s">
        <v>26</v>
      </c>
      <c r="N876" t="s">
        <v>27</v>
      </c>
      <c r="O876" t="s">
        <v>35</v>
      </c>
      <c r="P876" t="s">
        <v>26</v>
      </c>
      <c r="Q876">
        <v>0</v>
      </c>
    </row>
    <row r="877" spans="1:17" x14ac:dyDescent="0.25">
      <c r="A877" t="s">
        <v>17</v>
      </c>
      <c r="B877" t="s">
        <v>18</v>
      </c>
      <c r="C877">
        <v>135000</v>
      </c>
      <c r="D877" t="s">
        <v>19</v>
      </c>
      <c r="E877" t="s">
        <v>20</v>
      </c>
      <c r="F877" t="s">
        <v>39</v>
      </c>
      <c r="G877" t="s">
        <v>22</v>
      </c>
      <c r="H877" t="s">
        <v>100</v>
      </c>
      <c r="I877" t="s">
        <v>24</v>
      </c>
      <c r="J877">
        <v>24255</v>
      </c>
      <c r="K877">
        <v>0</v>
      </c>
      <c r="L877" t="s">
        <v>43</v>
      </c>
      <c r="M877" t="s">
        <v>26</v>
      </c>
      <c r="N877" t="s">
        <v>27</v>
      </c>
      <c r="O877" t="s">
        <v>35</v>
      </c>
      <c r="P877" t="s">
        <v>26</v>
      </c>
      <c r="Q877">
        <v>0</v>
      </c>
    </row>
    <row r="878" spans="1:17" x14ac:dyDescent="0.25">
      <c r="A878" t="s">
        <v>17</v>
      </c>
      <c r="B878" t="s">
        <v>18</v>
      </c>
      <c r="C878">
        <v>135000</v>
      </c>
      <c r="D878" t="s">
        <v>19</v>
      </c>
      <c r="E878" t="s">
        <v>20</v>
      </c>
      <c r="F878" t="s">
        <v>39</v>
      </c>
      <c r="G878" t="s">
        <v>22</v>
      </c>
      <c r="H878" t="s">
        <v>100</v>
      </c>
      <c r="I878" t="s">
        <v>24</v>
      </c>
      <c r="J878">
        <v>79650</v>
      </c>
      <c r="K878">
        <v>0</v>
      </c>
      <c r="L878" t="s">
        <v>51</v>
      </c>
      <c r="M878" t="s">
        <v>26</v>
      </c>
      <c r="N878" t="s">
        <v>58</v>
      </c>
      <c r="O878" t="s">
        <v>35</v>
      </c>
      <c r="P878" t="s">
        <v>64</v>
      </c>
      <c r="Q878">
        <v>1</v>
      </c>
    </row>
    <row r="879" spans="1:17" x14ac:dyDescent="0.25">
      <c r="A879" t="s">
        <v>29</v>
      </c>
      <c r="B879" t="s">
        <v>18</v>
      </c>
      <c r="C879">
        <v>234000</v>
      </c>
      <c r="D879" t="s">
        <v>44</v>
      </c>
      <c r="E879" t="s">
        <v>31</v>
      </c>
      <c r="F879" t="s">
        <v>32</v>
      </c>
      <c r="G879" t="s">
        <v>22</v>
      </c>
      <c r="H879" t="s">
        <v>55</v>
      </c>
      <c r="I879" t="s">
        <v>24</v>
      </c>
      <c r="J879">
        <v>37255.5</v>
      </c>
      <c r="K879">
        <v>0</v>
      </c>
      <c r="L879" t="s">
        <v>43</v>
      </c>
      <c r="M879" t="s">
        <v>26</v>
      </c>
      <c r="N879" t="s">
        <v>27</v>
      </c>
      <c r="O879" t="s">
        <v>35</v>
      </c>
      <c r="P879" t="s">
        <v>26</v>
      </c>
      <c r="Q879">
        <v>0</v>
      </c>
    </row>
    <row r="880" spans="1:17" x14ac:dyDescent="0.25">
      <c r="A880" t="s">
        <v>29</v>
      </c>
      <c r="B880" t="s">
        <v>18</v>
      </c>
      <c r="C880">
        <v>90000</v>
      </c>
      <c r="D880" t="s">
        <v>19</v>
      </c>
      <c r="E880" t="s">
        <v>20</v>
      </c>
      <c r="F880" t="s">
        <v>39</v>
      </c>
      <c r="G880" t="s">
        <v>22</v>
      </c>
      <c r="H880" t="s">
        <v>68</v>
      </c>
      <c r="I880" t="s">
        <v>24</v>
      </c>
      <c r="J880">
        <v>44955</v>
      </c>
      <c r="K880">
        <v>0</v>
      </c>
      <c r="L880" t="s">
        <v>42</v>
      </c>
      <c r="M880" t="s">
        <v>26</v>
      </c>
      <c r="N880" t="s">
        <v>27</v>
      </c>
      <c r="O880" t="s">
        <v>35</v>
      </c>
      <c r="P880" t="s">
        <v>26</v>
      </c>
      <c r="Q880">
        <v>0</v>
      </c>
    </row>
    <row r="881" spans="1:17" x14ac:dyDescent="0.25">
      <c r="A881" t="s">
        <v>29</v>
      </c>
      <c r="B881" t="s">
        <v>18</v>
      </c>
      <c r="C881">
        <v>90000</v>
      </c>
      <c r="D881" t="s">
        <v>19</v>
      </c>
      <c r="E881" t="s">
        <v>20</v>
      </c>
      <c r="F881" t="s">
        <v>39</v>
      </c>
      <c r="G881" t="s">
        <v>22</v>
      </c>
      <c r="H881" t="s">
        <v>68</v>
      </c>
      <c r="I881" t="s">
        <v>24</v>
      </c>
      <c r="J881">
        <v>71280</v>
      </c>
      <c r="K881">
        <v>0</v>
      </c>
      <c r="L881" t="s">
        <v>51</v>
      </c>
      <c r="M881" t="s">
        <v>26</v>
      </c>
      <c r="N881" t="s">
        <v>27</v>
      </c>
      <c r="O881" t="s">
        <v>35</v>
      </c>
      <c r="P881" t="s">
        <v>26</v>
      </c>
      <c r="Q881">
        <v>0</v>
      </c>
    </row>
    <row r="882" spans="1:17" x14ac:dyDescent="0.25">
      <c r="A882" t="s">
        <v>29</v>
      </c>
      <c r="B882" t="s">
        <v>36</v>
      </c>
      <c r="C882">
        <v>216000</v>
      </c>
      <c r="D882" t="s">
        <v>46</v>
      </c>
      <c r="E882" t="s">
        <v>20</v>
      </c>
      <c r="F882" t="s">
        <v>32</v>
      </c>
      <c r="G882" t="s">
        <v>22</v>
      </c>
      <c r="H882" t="s">
        <v>28</v>
      </c>
      <c r="I882" t="s">
        <v>24</v>
      </c>
      <c r="J882">
        <v>152046</v>
      </c>
      <c r="K882">
        <v>0</v>
      </c>
      <c r="L882" t="s">
        <v>51</v>
      </c>
      <c r="M882" t="s">
        <v>26</v>
      </c>
      <c r="N882" t="s">
        <v>27</v>
      </c>
      <c r="O882" t="s">
        <v>35</v>
      </c>
      <c r="P882" t="s">
        <v>26</v>
      </c>
      <c r="Q882">
        <v>0</v>
      </c>
    </row>
    <row r="883" spans="1:17" x14ac:dyDescent="0.25">
      <c r="A883" t="s">
        <v>17</v>
      </c>
      <c r="B883" t="s">
        <v>36</v>
      </c>
      <c r="C883">
        <v>540000</v>
      </c>
      <c r="D883" t="s">
        <v>19</v>
      </c>
      <c r="E883" t="s">
        <v>20</v>
      </c>
      <c r="F883" t="s">
        <v>32</v>
      </c>
      <c r="G883" t="s">
        <v>22</v>
      </c>
      <c r="H883" t="s">
        <v>81</v>
      </c>
      <c r="I883" t="s">
        <v>24</v>
      </c>
      <c r="J883">
        <v>54202.5</v>
      </c>
      <c r="K883">
        <v>5422.5</v>
      </c>
      <c r="L883" t="s">
        <v>42</v>
      </c>
      <c r="M883" t="s">
        <v>26</v>
      </c>
      <c r="N883" t="s">
        <v>58</v>
      </c>
      <c r="O883" t="s">
        <v>28</v>
      </c>
      <c r="P883" t="s">
        <v>59</v>
      </c>
      <c r="Q883">
        <v>1</v>
      </c>
    </row>
    <row r="884" spans="1:17" x14ac:dyDescent="0.25">
      <c r="A884" t="s">
        <v>29</v>
      </c>
      <c r="B884" t="s">
        <v>36</v>
      </c>
      <c r="C884">
        <v>112500</v>
      </c>
      <c r="D884" t="s">
        <v>19</v>
      </c>
      <c r="E884" t="s">
        <v>31</v>
      </c>
      <c r="F884" t="s">
        <v>32</v>
      </c>
      <c r="G884" t="s">
        <v>22</v>
      </c>
      <c r="H884" t="s">
        <v>23</v>
      </c>
      <c r="I884" t="s">
        <v>24</v>
      </c>
      <c r="J884">
        <v>133006.5</v>
      </c>
      <c r="K884">
        <v>0</v>
      </c>
      <c r="L884" t="s">
        <v>25</v>
      </c>
      <c r="M884" t="s">
        <v>26</v>
      </c>
      <c r="N884" t="s">
        <v>27</v>
      </c>
      <c r="O884" t="s">
        <v>35</v>
      </c>
      <c r="P884" t="s">
        <v>26</v>
      </c>
      <c r="Q884">
        <v>0</v>
      </c>
    </row>
    <row r="885" spans="1:17" x14ac:dyDescent="0.25">
      <c r="A885" t="s">
        <v>17</v>
      </c>
      <c r="B885" t="s">
        <v>36</v>
      </c>
      <c r="C885">
        <v>202500</v>
      </c>
      <c r="D885" t="s">
        <v>19</v>
      </c>
      <c r="E885" t="s">
        <v>20</v>
      </c>
      <c r="F885" t="s">
        <v>32</v>
      </c>
      <c r="G885" t="s">
        <v>22</v>
      </c>
      <c r="H885" t="s">
        <v>23</v>
      </c>
      <c r="I885" t="s">
        <v>24</v>
      </c>
      <c r="J885">
        <v>32850</v>
      </c>
      <c r="K885">
        <v>0</v>
      </c>
      <c r="L885" t="s">
        <v>43</v>
      </c>
      <c r="M885" t="s">
        <v>26</v>
      </c>
      <c r="N885" t="s">
        <v>27</v>
      </c>
      <c r="O885" t="s">
        <v>35</v>
      </c>
      <c r="P885" t="s">
        <v>26</v>
      </c>
      <c r="Q885">
        <v>0</v>
      </c>
    </row>
    <row r="886" spans="1:17" x14ac:dyDescent="0.25">
      <c r="A886" t="s">
        <v>17</v>
      </c>
      <c r="B886" t="s">
        <v>36</v>
      </c>
      <c r="C886">
        <v>202500</v>
      </c>
      <c r="D886" t="s">
        <v>19</v>
      </c>
      <c r="E886" t="s">
        <v>20</v>
      </c>
      <c r="F886" t="s">
        <v>32</v>
      </c>
      <c r="G886" t="s">
        <v>22</v>
      </c>
      <c r="H886" t="s">
        <v>23</v>
      </c>
      <c r="I886" t="s">
        <v>24</v>
      </c>
      <c r="J886">
        <v>20340</v>
      </c>
      <c r="K886">
        <v>5085</v>
      </c>
      <c r="L886" t="s">
        <v>43</v>
      </c>
      <c r="M886" t="s">
        <v>26</v>
      </c>
      <c r="N886" t="s">
        <v>27</v>
      </c>
      <c r="O886" t="s">
        <v>35</v>
      </c>
      <c r="P886" t="s">
        <v>26</v>
      </c>
      <c r="Q886">
        <v>0</v>
      </c>
    </row>
    <row r="887" spans="1:17" x14ac:dyDescent="0.25">
      <c r="A887" t="s">
        <v>29</v>
      </c>
      <c r="B887" t="s">
        <v>36</v>
      </c>
      <c r="C887">
        <v>112500</v>
      </c>
      <c r="D887" t="s">
        <v>19</v>
      </c>
      <c r="E887" t="s">
        <v>20</v>
      </c>
      <c r="F887" t="s">
        <v>69</v>
      </c>
      <c r="G887" t="s">
        <v>22</v>
      </c>
      <c r="H887" t="s">
        <v>49</v>
      </c>
      <c r="I887" t="s">
        <v>24</v>
      </c>
      <c r="J887">
        <v>28755</v>
      </c>
      <c r="K887">
        <v>2880</v>
      </c>
      <c r="L887" t="s">
        <v>45</v>
      </c>
      <c r="M887" t="s">
        <v>26</v>
      </c>
      <c r="N887" t="s">
        <v>27</v>
      </c>
      <c r="O887" t="s">
        <v>35</v>
      </c>
      <c r="P887" t="s">
        <v>26</v>
      </c>
      <c r="Q887">
        <v>0</v>
      </c>
    </row>
    <row r="888" spans="1:17" x14ac:dyDescent="0.25">
      <c r="A888" t="s">
        <v>29</v>
      </c>
      <c r="B888" t="s">
        <v>18</v>
      </c>
      <c r="C888">
        <v>112500</v>
      </c>
      <c r="D888" t="s">
        <v>44</v>
      </c>
      <c r="E888" t="s">
        <v>20</v>
      </c>
      <c r="F888" t="s">
        <v>39</v>
      </c>
      <c r="G888" t="s">
        <v>62</v>
      </c>
      <c r="H888" t="s">
        <v>68</v>
      </c>
      <c r="I888" t="s">
        <v>66</v>
      </c>
      <c r="J888">
        <v>180000</v>
      </c>
      <c r="K888">
        <v>0</v>
      </c>
      <c r="L888" t="s">
        <v>34</v>
      </c>
      <c r="M888" t="s">
        <v>28</v>
      </c>
      <c r="N888" t="s">
        <v>27</v>
      </c>
      <c r="O888" t="s">
        <v>35</v>
      </c>
      <c r="P888" t="s">
        <v>26</v>
      </c>
      <c r="Q888">
        <v>0</v>
      </c>
    </row>
    <row r="889" spans="1:17" x14ac:dyDescent="0.25">
      <c r="A889" t="s">
        <v>29</v>
      </c>
      <c r="B889" t="s">
        <v>18</v>
      </c>
      <c r="C889">
        <v>112500</v>
      </c>
      <c r="D889" t="s">
        <v>44</v>
      </c>
      <c r="E889" t="s">
        <v>20</v>
      </c>
      <c r="F889" t="s">
        <v>39</v>
      </c>
      <c r="G889" t="s">
        <v>62</v>
      </c>
      <c r="H889" t="s">
        <v>68</v>
      </c>
      <c r="I889" t="s">
        <v>66</v>
      </c>
      <c r="J889">
        <v>180000</v>
      </c>
      <c r="K889">
        <v>0</v>
      </c>
      <c r="L889" t="s">
        <v>42</v>
      </c>
      <c r="M889" t="s">
        <v>107</v>
      </c>
      <c r="N889" t="s">
        <v>58</v>
      </c>
      <c r="O889" t="s">
        <v>35</v>
      </c>
      <c r="P889" t="s">
        <v>64</v>
      </c>
      <c r="Q889">
        <v>1</v>
      </c>
    </row>
    <row r="890" spans="1:17" x14ac:dyDescent="0.25">
      <c r="A890" t="s">
        <v>29</v>
      </c>
      <c r="B890" t="s">
        <v>18</v>
      </c>
      <c r="C890">
        <v>315000</v>
      </c>
      <c r="D890" t="s">
        <v>44</v>
      </c>
      <c r="E890" t="s">
        <v>31</v>
      </c>
      <c r="F890" t="s">
        <v>32</v>
      </c>
      <c r="G890" t="s">
        <v>22</v>
      </c>
      <c r="H890" t="s">
        <v>75</v>
      </c>
      <c r="I890" t="s">
        <v>24</v>
      </c>
      <c r="J890">
        <v>62955</v>
      </c>
      <c r="K890">
        <v>6295.5</v>
      </c>
      <c r="L890" t="s">
        <v>25</v>
      </c>
      <c r="M890" t="s">
        <v>26</v>
      </c>
      <c r="N890" t="s">
        <v>27</v>
      </c>
      <c r="O890" t="s">
        <v>28</v>
      </c>
      <c r="P890" t="s">
        <v>26</v>
      </c>
      <c r="Q890">
        <v>0</v>
      </c>
    </row>
    <row r="891" spans="1:17" x14ac:dyDescent="0.25">
      <c r="A891" t="s">
        <v>29</v>
      </c>
      <c r="B891" t="s">
        <v>36</v>
      </c>
      <c r="C891">
        <v>112500</v>
      </c>
      <c r="D891" t="s">
        <v>19</v>
      </c>
      <c r="E891" t="s">
        <v>20</v>
      </c>
      <c r="F891" t="s">
        <v>32</v>
      </c>
      <c r="G891" t="s">
        <v>22</v>
      </c>
      <c r="H891" t="s">
        <v>48</v>
      </c>
      <c r="I891" t="s">
        <v>24</v>
      </c>
      <c r="J891">
        <v>33210</v>
      </c>
      <c r="K891">
        <v>3330</v>
      </c>
      <c r="L891" t="s">
        <v>43</v>
      </c>
      <c r="M891" t="s">
        <v>26</v>
      </c>
      <c r="N891" t="s">
        <v>27</v>
      </c>
      <c r="O891" t="s">
        <v>35</v>
      </c>
      <c r="P891" t="s">
        <v>26</v>
      </c>
      <c r="Q891">
        <v>0</v>
      </c>
    </row>
    <row r="892" spans="1:17" x14ac:dyDescent="0.25">
      <c r="A892" t="s">
        <v>29</v>
      </c>
      <c r="B892" t="s">
        <v>36</v>
      </c>
      <c r="C892">
        <v>112500</v>
      </c>
      <c r="D892" t="s">
        <v>19</v>
      </c>
      <c r="E892" t="s">
        <v>20</v>
      </c>
      <c r="F892" t="s">
        <v>32</v>
      </c>
      <c r="G892" t="s">
        <v>22</v>
      </c>
      <c r="H892" t="s">
        <v>48</v>
      </c>
      <c r="I892" t="s">
        <v>24</v>
      </c>
      <c r="J892">
        <v>69216.615000000005</v>
      </c>
      <c r="K892">
        <v>0</v>
      </c>
      <c r="L892" t="s">
        <v>42</v>
      </c>
      <c r="M892" t="s">
        <v>26</v>
      </c>
      <c r="N892" t="s">
        <v>27</v>
      </c>
      <c r="O892" t="s">
        <v>35</v>
      </c>
      <c r="P892" t="s">
        <v>26</v>
      </c>
      <c r="Q892">
        <v>0</v>
      </c>
    </row>
    <row r="893" spans="1:17" x14ac:dyDescent="0.25">
      <c r="A893" t="s">
        <v>29</v>
      </c>
      <c r="B893" t="s">
        <v>18</v>
      </c>
      <c r="C893">
        <v>225000</v>
      </c>
      <c r="D893" t="s">
        <v>19</v>
      </c>
      <c r="E893" t="s">
        <v>70</v>
      </c>
      <c r="F893" t="s">
        <v>32</v>
      </c>
      <c r="G893" t="s">
        <v>22</v>
      </c>
      <c r="H893" t="s">
        <v>63</v>
      </c>
      <c r="I893" t="s">
        <v>24</v>
      </c>
      <c r="J893">
        <v>109894.5</v>
      </c>
      <c r="K893">
        <v>0</v>
      </c>
      <c r="L893" t="s">
        <v>42</v>
      </c>
      <c r="M893" t="s">
        <v>26</v>
      </c>
      <c r="N893" t="s">
        <v>27</v>
      </c>
      <c r="O893" t="s">
        <v>35</v>
      </c>
      <c r="P893" t="s">
        <v>26</v>
      </c>
      <c r="Q893">
        <v>0</v>
      </c>
    </row>
    <row r="894" spans="1:17" x14ac:dyDescent="0.25">
      <c r="A894" t="s">
        <v>29</v>
      </c>
      <c r="B894" t="s">
        <v>18</v>
      </c>
      <c r="C894">
        <v>157500</v>
      </c>
      <c r="D894" t="s">
        <v>19</v>
      </c>
      <c r="E894" t="s">
        <v>70</v>
      </c>
      <c r="F894" t="s">
        <v>32</v>
      </c>
      <c r="G894" t="s">
        <v>22</v>
      </c>
      <c r="H894" t="s">
        <v>108</v>
      </c>
      <c r="I894" t="s">
        <v>24</v>
      </c>
      <c r="J894">
        <v>76500</v>
      </c>
      <c r="K894">
        <v>22500</v>
      </c>
      <c r="L894" t="s">
        <v>45</v>
      </c>
      <c r="M894" t="s">
        <v>26</v>
      </c>
      <c r="N894" t="s">
        <v>27</v>
      </c>
      <c r="O894" t="s">
        <v>35</v>
      </c>
      <c r="P894" t="s">
        <v>26</v>
      </c>
      <c r="Q894">
        <v>0</v>
      </c>
    </row>
    <row r="895" spans="1:17" x14ac:dyDescent="0.25">
      <c r="A895" t="s">
        <v>29</v>
      </c>
      <c r="B895" t="s">
        <v>36</v>
      </c>
      <c r="C895">
        <v>157500</v>
      </c>
      <c r="D895" t="s">
        <v>19</v>
      </c>
      <c r="E895" t="s">
        <v>20</v>
      </c>
      <c r="F895" t="s">
        <v>32</v>
      </c>
      <c r="G895" t="s">
        <v>22</v>
      </c>
      <c r="H895" t="s">
        <v>86</v>
      </c>
      <c r="I895" t="s">
        <v>24</v>
      </c>
      <c r="J895">
        <v>41976</v>
      </c>
      <c r="K895">
        <v>0</v>
      </c>
      <c r="L895" t="s">
        <v>51</v>
      </c>
      <c r="M895" t="s">
        <v>26</v>
      </c>
      <c r="N895" t="s">
        <v>27</v>
      </c>
      <c r="O895" t="s">
        <v>35</v>
      </c>
      <c r="P895" t="s">
        <v>26</v>
      </c>
      <c r="Q895">
        <v>0</v>
      </c>
    </row>
    <row r="896" spans="1:17" x14ac:dyDescent="0.25">
      <c r="A896" t="s">
        <v>29</v>
      </c>
      <c r="B896" t="s">
        <v>36</v>
      </c>
      <c r="C896">
        <v>157500</v>
      </c>
      <c r="D896" t="s">
        <v>19</v>
      </c>
      <c r="E896" t="s">
        <v>20</v>
      </c>
      <c r="F896" t="s">
        <v>32</v>
      </c>
      <c r="G896" t="s">
        <v>22</v>
      </c>
      <c r="H896" t="s">
        <v>86</v>
      </c>
      <c r="I896" t="s">
        <v>66</v>
      </c>
      <c r="J896">
        <v>45000</v>
      </c>
      <c r="K896">
        <v>0</v>
      </c>
      <c r="L896" t="s">
        <v>25</v>
      </c>
      <c r="M896" t="s">
        <v>28</v>
      </c>
      <c r="N896" t="s">
        <v>27</v>
      </c>
      <c r="O896" t="s">
        <v>35</v>
      </c>
      <c r="P896" t="s">
        <v>26</v>
      </c>
      <c r="Q896">
        <v>0</v>
      </c>
    </row>
    <row r="897" spans="1:17" x14ac:dyDescent="0.25">
      <c r="A897" t="s">
        <v>29</v>
      </c>
      <c r="B897" t="s">
        <v>36</v>
      </c>
      <c r="C897">
        <v>157500</v>
      </c>
      <c r="D897" t="s">
        <v>19</v>
      </c>
      <c r="E897" t="s">
        <v>20</v>
      </c>
      <c r="F897" t="s">
        <v>32</v>
      </c>
      <c r="G897" t="s">
        <v>22</v>
      </c>
      <c r="H897" t="s">
        <v>86</v>
      </c>
      <c r="I897" t="s">
        <v>24</v>
      </c>
      <c r="J897">
        <v>26289</v>
      </c>
      <c r="K897">
        <v>0</v>
      </c>
      <c r="L897" t="s">
        <v>34</v>
      </c>
      <c r="M897" t="s">
        <v>26</v>
      </c>
      <c r="N897" t="s">
        <v>27</v>
      </c>
      <c r="O897" t="s">
        <v>35</v>
      </c>
      <c r="P897" t="s">
        <v>26</v>
      </c>
      <c r="Q897">
        <v>0</v>
      </c>
    </row>
    <row r="898" spans="1:17" x14ac:dyDescent="0.25">
      <c r="A898" t="s">
        <v>29</v>
      </c>
      <c r="B898" t="s">
        <v>36</v>
      </c>
      <c r="C898">
        <v>292500</v>
      </c>
      <c r="D898" t="s">
        <v>19</v>
      </c>
      <c r="E898" t="s">
        <v>20</v>
      </c>
      <c r="F898" t="s">
        <v>32</v>
      </c>
      <c r="G898" t="s">
        <v>22</v>
      </c>
      <c r="H898" t="s">
        <v>68</v>
      </c>
      <c r="I898" t="s">
        <v>24</v>
      </c>
      <c r="J898">
        <v>31306.5</v>
      </c>
      <c r="K898">
        <v>0</v>
      </c>
      <c r="L898" t="s">
        <v>43</v>
      </c>
      <c r="M898" t="s">
        <v>26</v>
      </c>
      <c r="N898" t="s">
        <v>27</v>
      </c>
      <c r="O898" t="s">
        <v>35</v>
      </c>
      <c r="P898" t="s">
        <v>26</v>
      </c>
      <c r="Q898">
        <v>0</v>
      </c>
    </row>
    <row r="899" spans="1:17" x14ac:dyDescent="0.25">
      <c r="A899" t="s">
        <v>17</v>
      </c>
      <c r="B899" t="s">
        <v>36</v>
      </c>
      <c r="C899">
        <v>112500</v>
      </c>
      <c r="D899" t="s">
        <v>44</v>
      </c>
      <c r="E899" t="s">
        <v>20</v>
      </c>
      <c r="F899" t="s">
        <v>32</v>
      </c>
      <c r="G899" t="s">
        <v>22</v>
      </c>
      <c r="H899" t="s">
        <v>55</v>
      </c>
      <c r="I899" t="s">
        <v>24</v>
      </c>
      <c r="J899">
        <v>62280</v>
      </c>
      <c r="K899">
        <v>6210</v>
      </c>
      <c r="L899" t="s">
        <v>34</v>
      </c>
      <c r="M899" t="s">
        <v>26</v>
      </c>
      <c r="N899" t="s">
        <v>27</v>
      </c>
      <c r="O899" t="s">
        <v>35</v>
      </c>
      <c r="P899" t="s">
        <v>26</v>
      </c>
      <c r="Q899">
        <v>0</v>
      </c>
    </row>
    <row r="900" spans="1:17" x14ac:dyDescent="0.25">
      <c r="A900" t="s">
        <v>17</v>
      </c>
      <c r="B900" t="s">
        <v>36</v>
      </c>
      <c r="C900">
        <v>112500</v>
      </c>
      <c r="D900" t="s">
        <v>44</v>
      </c>
      <c r="E900" t="s">
        <v>20</v>
      </c>
      <c r="F900" t="s">
        <v>32</v>
      </c>
      <c r="G900" t="s">
        <v>22</v>
      </c>
      <c r="H900" t="s">
        <v>55</v>
      </c>
      <c r="I900" t="s">
        <v>24</v>
      </c>
      <c r="J900">
        <v>44330.22</v>
      </c>
      <c r="K900">
        <v>4500.72</v>
      </c>
      <c r="L900" t="s">
        <v>25</v>
      </c>
      <c r="M900" t="s">
        <v>26</v>
      </c>
      <c r="N900" t="s">
        <v>27</v>
      </c>
      <c r="O900" t="s">
        <v>28</v>
      </c>
      <c r="P900" t="s">
        <v>26</v>
      </c>
      <c r="Q900">
        <v>0</v>
      </c>
    </row>
    <row r="901" spans="1:17" x14ac:dyDescent="0.25">
      <c r="A901" t="s">
        <v>17</v>
      </c>
      <c r="B901" t="s">
        <v>36</v>
      </c>
      <c r="C901">
        <v>112500</v>
      </c>
      <c r="D901" t="s">
        <v>44</v>
      </c>
      <c r="E901" t="s">
        <v>20</v>
      </c>
      <c r="F901" t="s">
        <v>32</v>
      </c>
      <c r="G901" t="s">
        <v>22</v>
      </c>
      <c r="H901" t="s">
        <v>55</v>
      </c>
      <c r="I901" t="s">
        <v>24</v>
      </c>
      <c r="J901">
        <v>43605</v>
      </c>
      <c r="K901">
        <v>9000</v>
      </c>
      <c r="L901" t="s">
        <v>42</v>
      </c>
      <c r="M901" t="s">
        <v>26</v>
      </c>
      <c r="N901" t="s">
        <v>27</v>
      </c>
      <c r="O901" t="s">
        <v>35</v>
      </c>
      <c r="P901" t="s">
        <v>26</v>
      </c>
      <c r="Q901">
        <v>0</v>
      </c>
    </row>
    <row r="902" spans="1:17" x14ac:dyDescent="0.25">
      <c r="A902" t="s">
        <v>17</v>
      </c>
      <c r="B902" t="s">
        <v>36</v>
      </c>
      <c r="C902">
        <v>112500</v>
      </c>
      <c r="D902" t="s">
        <v>44</v>
      </c>
      <c r="E902" t="s">
        <v>20</v>
      </c>
      <c r="F902" t="s">
        <v>32</v>
      </c>
      <c r="G902" t="s">
        <v>22</v>
      </c>
      <c r="H902" t="s">
        <v>55</v>
      </c>
      <c r="I902" t="s">
        <v>24</v>
      </c>
      <c r="J902">
        <v>41175</v>
      </c>
      <c r="K902">
        <v>0</v>
      </c>
      <c r="L902" t="s">
        <v>25</v>
      </c>
      <c r="M902" t="s">
        <v>26</v>
      </c>
      <c r="N902" t="s">
        <v>76</v>
      </c>
      <c r="O902" t="s">
        <v>35</v>
      </c>
      <c r="P902" t="s">
        <v>77</v>
      </c>
      <c r="Q902">
        <v>0</v>
      </c>
    </row>
    <row r="903" spans="1:17" x14ac:dyDescent="0.25">
      <c r="A903" t="s">
        <v>29</v>
      </c>
      <c r="B903" t="s">
        <v>18</v>
      </c>
      <c r="C903">
        <v>112500</v>
      </c>
      <c r="D903" t="s">
        <v>46</v>
      </c>
      <c r="E903" t="s">
        <v>20</v>
      </c>
      <c r="F903" t="s">
        <v>69</v>
      </c>
      <c r="G903" t="s">
        <v>22</v>
      </c>
      <c r="H903" t="s">
        <v>28</v>
      </c>
      <c r="I903" t="s">
        <v>24</v>
      </c>
      <c r="J903">
        <v>167377.5</v>
      </c>
      <c r="K903">
        <v>50215.5</v>
      </c>
      <c r="L903" t="s">
        <v>34</v>
      </c>
      <c r="M903" t="s">
        <v>26</v>
      </c>
      <c r="N903" t="s">
        <v>27</v>
      </c>
      <c r="O903" t="s">
        <v>35</v>
      </c>
      <c r="P903" t="s">
        <v>26</v>
      </c>
      <c r="Q903">
        <v>0</v>
      </c>
    </row>
    <row r="904" spans="1:17" x14ac:dyDescent="0.25">
      <c r="A904" t="s">
        <v>29</v>
      </c>
      <c r="B904" t="s">
        <v>18</v>
      </c>
      <c r="C904">
        <v>135000</v>
      </c>
      <c r="D904" t="s">
        <v>19</v>
      </c>
      <c r="E904" t="s">
        <v>20</v>
      </c>
      <c r="F904" t="s">
        <v>32</v>
      </c>
      <c r="G904" t="s">
        <v>22</v>
      </c>
      <c r="H904" t="s">
        <v>49</v>
      </c>
      <c r="I904" t="s">
        <v>24</v>
      </c>
      <c r="J904">
        <v>677601</v>
      </c>
      <c r="K904">
        <v>67761</v>
      </c>
      <c r="L904" t="s">
        <v>42</v>
      </c>
      <c r="M904" t="s">
        <v>26</v>
      </c>
      <c r="N904" t="s">
        <v>27</v>
      </c>
      <c r="O904" t="s">
        <v>35</v>
      </c>
      <c r="P904" t="s">
        <v>26</v>
      </c>
      <c r="Q904">
        <v>0</v>
      </c>
    </row>
    <row r="905" spans="1:17" x14ac:dyDescent="0.25">
      <c r="A905" t="s">
        <v>17</v>
      </c>
      <c r="B905" t="s">
        <v>36</v>
      </c>
      <c r="C905">
        <v>90000</v>
      </c>
      <c r="D905" t="s">
        <v>44</v>
      </c>
      <c r="E905" t="s">
        <v>20</v>
      </c>
      <c r="F905" t="s">
        <v>21</v>
      </c>
      <c r="G905" t="s">
        <v>62</v>
      </c>
      <c r="H905" t="s">
        <v>23</v>
      </c>
      <c r="I905" t="s">
        <v>24</v>
      </c>
      <c r="J905">
        <v>32535</v>
      </c>
      <c r="K905">
        <v>0</v>
      </c>
      <c r="L905" t="s">
        <v>42</v>
      </c>
      <c r="M905" t="s">
        <v>26</v>
      </c>
      <c r="N905" t="s">
        <v>27</v>
      </c>
      <c r="O905" t="s">
        <v>35</v>
      </c>
      <c r="P905" t="s">
        <v>26</v>
      </c>
      <c r="Q905">
        <v>0</v>
      </c>
    </row>
    <row r="906" spans="1:17" x14ac:dyDescent="0.25">
      <c r="A906" t="s">
        <v>17</v>
      </c>
      <c r="B906" t="s">
        <v>36</v>
      </c>
      <c r="C906">
        <v>90000</v>
      </c>
      <c r="D906" t="s">
        <v>44</v>
      </c>
      <c r="E906" t="s">
        <v>20</v>
      </c>
      <c r="F906" t="s">
        <v>21</v>
      </c>
      <c r="G906" t="s">
        <v>62</v>
      </c>
      <c r="H906" t="s">
        <v>23</v>
      </c>
      <c r="I906" t="s">
        <v>24</v>
      </c>
      <c r="J906">
        <v>15030</v>
      </c>
      <c r="K906">
        <v>0</v>
      </c>
      <c r="L906" t="s">
        <v>38</v>
      </c>
      <c r="M906" t="s">
        <v>26</v>
      </c>
      <c r="N906" t="s">
        <v>27</v>
      </c>
      <c r="O906" t="s">
        <v>28</v>
      </c>
      <c r="P906" t="s">
        <v>26</v>
      </c>
      <c r="Q906">
        <v>0</v>
      </c>
    </row>
    <row r="907" spans="1:17" x14ac:dyDescent="0.25">
      <c r="A907" t="s">
        <v>17</v>
      </c>
      <c r="B907" t="s">
        <v>36</v>
      </c>
      <c r="C907">
        <v>171000</v>
      </c>
      <c r="D907" t="s">
        <v>46</v>
      </c>
      <c r="E907" t="s">
        <v>31</v>
      </c>
      <c r="F907" t="s">
        <v>32</v>
      </c>
      <c r="G907" t="s">
        <v>22</v>
      </c>
      <c r="H907" t="s">
        <v>28</v>
      </c>
      <c r="I907" t="s">
        <v>24</v>
      </c>
      <c r="J907">
        <v>146265.61499999999</v>
      </c>
      <c r="K907">
        <v>2.1150000000000002</v>
      </c>
      <c r="L907" t="s">
        <v>34</v>
      </c>
      <c r="M907" t="s">
        <v>26</v>
      </c>
      <c r="N907" t="s">
        <v>27</v>
      </c>
      <c r="O907" t="s">
        <v>35</v>
      </c>
      <c r="P907" t="s">
        <v>26</v>
      </c>
      <c r="Q907">
        <v>0</v>
      </c>
    </row>
    <row r="908" spans="1:17" x14ac:dyDescent="0.25">
      <c r="A908" t="s">
        <v>17</v>
      </c>
      <c r="B908" t="s">
        <v>36</v>
      </c>
      <c r="C908">
        <v>171000</v>
      </c>
      <c r="D908" t="s">
        <v>46</v>
      </c>
      <c r="E908" t="s">
        <v>31</v>
      </c>
      <c r="F908" t="s">
        <v>32</v>
      </c>
      <c r="G908" t="s">
        <v>22</v>
      </c>
      <c r="H908" t="s">
        <v>28</v>
      </c>
      <c r="I908" t="s">
        <v>24</v>
      </c>
      <c r="J908">
        <v>32341.5</v>
      </c>
      <c r="K908">
        <v>3235.5</v>
      </c>
      <c r="L908" t="s">
        <v>42</v>
      </c>
      <c r="M908" t="s">
        <v>26</v>
      </c>
      <c r="N908" t="s">
        <v>58</v>
      </c>
      <c r="O908" t="s">
        <v>35</v>
      </c>
      <c r="P908" t="s">
        <v>60</v>
      </c>
      <c r="Q908">
        <v>1</v>
      </c>
    </row>
    <row r="909" spans="1:17" x14ac:dyDescent="0.25">
      <c r="A909" t="s">
        <v>17</v>
      </c>
      <c r="B909" t="s">
        <v>36</v>
      </c>
      <c r="C909">
        <v>171000</v>
      </c>
      <c r="D909" t="s">
        <v>46</v>
      </c>
      <c r="E909" t="s">
        <v>31</v>
      </c>
      <c r="F909" t="s">
        <v>32</v>
      </c>
      <c r="G909" t="s">
        <v>22</v>
      </c>
      <c r="H909" t="s">
        <v>28</v>
      </c>
      <c r="I909" t="s">
        <v>24</v>
      </c>
      <c r="J909">
        <v>26100</v>
      </c>
      <c r="K909">
        <v>2610</v>
      </c>
      <c r="L909" t="s">
        <v>25</v>
      </c>
      <c r="M909" t="s">
        <v>26</v>
      </c>
      <c r="N909" t="s">
        <v>27</v>
      </c>
      <c r="O909" t="s">
        <v>35</v>
      </c>
      <c r="P909" t="s">
        <v>26</v>
      </c>
      <c r="Q909">
        <v>0</v>
      </c>
    </row>
    <row r="910" spans="1:17" x14ac:dyDescent="0.25">
      <c r="A910" t="s">
        <v>17</v>
      </c>
      <c r="B910" t="s">
        <v>36</v>
      </c>
      <c r="C910">
        <v>171000</v>
      </c>
      <c r="D910" t="s">
        <v>46</v>
      </c>
      <c r="E910" t="s">
        <v>31</v>
      </c>
      <c r="F910" t="s">
        <v>32</v>
      </c>
      <c r="G910" t="s">
        <v>22</v>
      </c>
      <c r="H910" t="s">
        <v>28</v>
      </c>
      <c r="I910" t="s">
        <v>24</v>
      </c>
      <c r="J910">
        <v>55431</v>
      </c>
      <c r="K910">
        <v>0</v>
      </c>
      <c r="L910" t="s">
        <v>51</v>
      </c>
      <c r="M910" t="s">
        <v>26</v>
      </c>
      <c r="N910" t="s">
        <v>27</v>
      </c>
      <c r="O910" t="s">
        <v>35</v>
      </c>
      <c r="P910" t="s">
        <v>26</v>
      </c>
      <c r="Q910">
        <v>0</v>
      </c>
    </row>
    <row r="911" spans="1:17" x14ac:dyDescent="0.25">
      <c r="A911" t="s">
        <v>17</v>
      </c>
      <c r="B911" t="s">
        <v>36</v>
      </c>
      <c r="C911">
        <v>171000</v>
      </c>
      <c r="D911" t="s">
        <v>46</v>
      </c>
      <c r="E911" t="s">
        <v>31</v>
      </c>
      <c r="F911" t="s">
        <v>32</v>
      </c>
      <c r="G911" t="s">
        <v>22</v>
      </c>
      <c r="H911" t="s">
        <v>28</v>
      </c>
      <c r="I911" t="s">
        <v>24</v>
      </c>
      <c r="J911">
        <v>32341.5</v>
      </c>
      <c r="K911">
        <v>0</v>
      </c>
      <c r="L911" t="s">
        <v>42</v>
      </c>
      <c r="M911" t="s">
        <v>26</v>
      </c>
      <c r="N911" t="s">
        <v>58</v>
      </c>
      <c r="O911" t="s">
        <v>35</v>
      </c>
      <c r="P911" t="s">
        <v>60</v>
      </c>
      <c r="Q911">
        <v>1</v>
      </c>
    </row>
    <row r="912" spans="1:17" x14ac:dyDescent="0.25">
      <c r="A912" t="s">
        <v>29</v>
      </c>
      <c r="B912" t="s">
        <v>36</v>
      </c>
      <c r="C912">
        <v>103500</v>
      </c>
      <c r="D912" t="s">
        <v>19</v>
      </c>
      <c r="E912" t="s">
        <v>31</v>
      </c>
      <c r="F912" t="s">
        <v>32</v>
      </c>
      <c r="G912" t="s">
        <v>22</v>
      </c>
      <c r="H912" t="s">
        <v>49</v>
      </c>
      <c r="I912" t="s">
        <v>24</v>
      </c>
      <c r="J912">
        <v>53550</v>
      </c>
      <c r="K912">
        <v>5400</v>
      </c>
      <c r="L912" t="s">
        <v>34</v>
      </c>
      <c r="M912" t="s">
        <v>26</v>
      </c>
      <c r="N912" t="s">
        <v>27</v>
      </c>
      <c r="O912" t="s">
        <v>35</v>
      </c>
      <c r="P912" t="s">
        <v>26</v>
      </c>
      <c r="Q912">
        <v>0</v>
      </c>
    </row>
    <row r="913" spans="1:17" x14ac:dyDescent="0.25">
      <c r="A913" t="s">
        <v>29</v>
      </c>
      <c r="B913" t="s">
        <v>36</v>
      </c>
      <c r="C913">
        <v>103500</v>
      </c>
      <c r="D913" t="s">
        <v>19</v>
      </c>
      <c r="E913" t="s">
        <v>31</v>
      </c>
      <c r="F913" t="s">
        <v>32</v>
      </c>
      <c r="G913" t="s">
        <v>22</v>
      </c>
      <c r="H913" t="s">
        <v>49</v>
      </c>
      <c r="I913" t="s">
        <v>24</v>
      </c>
      <c r="J913">
        <v>143154</v>
      </c>
      <c r="K913">
        <v>0</v>
      </c>
      <c r="L913" t="s">
        <v>42</v>
      </c>
      <c r="M913" t="s">
        <v>26</v>
      </c>
      <c r="N913" t="s">
        <v>27</v>
      </c>
      <c r="O913" t="s">
        <v>35</v>
      </c>
      <c r="P913" t="s">
        <v>26</v>
      </c>
      <c r="Q913">
        <v>0</v>
      </c>
    </row>
    <row r="914" spans="1:17" x14ac:dyDescent="0.25">
      <c r="A914" t="s">
        <v>29</v>
      </c>
      <c r="B914" t="s">
        <v>36</v>
      </c>
      <c r="C914">
        <v>103500</v>
      </c>
      <c r="D914" t="s">
        <v>19</v>
      </c>
      <c r="E914" t="s">
        <v>31</v>
      </c>
      <c r="F914" t="s">
        <v>32</v>
      </c>
      <c r="G914" t="s">
        <v>22</v>
      </c>
      <c r="H914" t="s">
        <v>49</v>
      </c>
      <c r="I914" t="s">
        <v>24</v>
      </c>
      <c r="J914">
        <v>65695.5</v>
      </c>
      <c r="K914">
        <v>0</v>
      </c>
      <c r="L914" t="s">
        <v>38</v>
      </c>
      <c r="M914" t="s">
        <v>26</v>
      </c>
      <c r="N914" t="s">
        <v>58</v>
      </c>
      <c r="O914" t="s">
        <v>35</v>
      </c>
      <c r="P914" t="s">
        <v>59</v>
      </c>
      <c r="Q914">
        <v>1</v>
      </c>
    </row>
    <row r="915" spans="1:17" x14ac:dyDescent="0.25">
      <c r="A915" t="s">
        <v>29</v>
      </c>
      <c r="B915" t="s">
        <v>36</v>
      </c>
      <c r="C915">
        <v>103500</v>
      </c>
      <c r="D915" t="s">
        <v>19</v>
      </c>
      <c r="E915" t="s">
        <v>31</v>
      </c>
      <c r="F915" t="s">
        <v>32</v>
      </c>
      <c r="G915" t="s">
        <v>22</v>
      </c>
      <c r="H915" t="s">
        <v>49</v>
      </c>
      <c r="I915" t="s">
        <v>24</v>
      </c>
      <c r="J915">
        <v>65695.5</v>
      </c>
      <c r="K915">
        <v>0</v>
      </c>
      <c r="L915" t="s">
        <v>38</v>
      </c>
      <c r="M915" t="s">
        <v>26</v>
      </c>
      <c r="N915" t="s">
        <v>58</v>
      </c>
      <c r="O915" t="s">
        <v>35</v>
      </c>
      <c r="P915" t="s">
        <v>59</v>
      </c>
      <c r="Q915">
        <v>1</v>
      </c>
    </row>
    <row r="916" spans="1:17" x14ac:dyDescent="0.25">
      <c r="A916" t="s">
        <v>29</v>
      </c>
      <c r="B916" t="s">
        <v>36</v>
      </c>
      <c r="C916">
        <v>103500</v>
      </c>
      <c r="D916" t="s">
        <v>19</v>
      </c>
      <c r="E916" t="s">
        <v>31</v>
      </c>
      <c r="F916" t="s">
        <v>32</v>
      </c>
      <c r="G916" t="s">
        <v>22</v>
      </c>
      <c r="H916" t="s">
        <v>49</v>
      </c>
      <c r="I916" t="s">
        <v>24</v>
      </c>
      <c r="J916">
        <v>23962.5</v>
      </c>
      <c r="K916">
        <v>4792.5</v>
      </c>
      <c r="L916" t="s">
        <v>25</v>
      </c>
      <c r="M916" t="s">
        <v>26</v>
      </c>
      <c r="N916" t="s">
        <v>27</v>
      </c>
      <c r="O916" t="s">
        <v>35</v>
      </c>
      <c r="P916" t="s">
        <v>26</v>
      </c>
      <c r="Q916">
        <v>0</v>
      </c>
    </row>
    <row r="917" spans="1:17" x14ac:dyDescent="0.25">
      <c r="A917" t="s">
        <v>29</v>
      </c>
      <c r="B917" t="s">
        <v>18</v>
      </c>
      <c r="C917">
        <v>171000</v>
      </c>
      <c r="D917" t="s">
        <v>19</v>
      </c>
      <c r="E917" t="s">
        <v>31</v>
      </c>
      <c r="F917" t="s">
        <v>32</v>
      </c>
      <c r="G917" t="s">
        <v>22</v>
      </c>
      <c r="H917" t="s">
        <v>49</v>
      </c>
      <c r="I917" t="s">
        <v>24</v>
      </c>
      <c r="J917">
        <v>58014</v>
      </c>
      <c r="K917">
        <v>11605.5</v>
      </c>
      <c r="L917" t="s">
        <v>51</v>
      </c>
      <c r="M917" t="s">
        <v>26</v>
      </c>
      <c r="N917" t="s">
        <v>27</v>
      </c>
      <c r="O917" t="s">
        <v>35</v>
      </c>
      <c r="P917" t="s">
        <v>26</v>
      </c>
      <c r="Q917">
        <v>0</v>
      </c>
    </row>
    <row r="918" spans="1:17" x14ac:dyDescent="0.25">
      <c r="A918" t="s">
        <v>29</v>
      </c>
      <c r="B918" t="s">
        <v>18</v>
      </c>
      <c r="C918">
        <v>171000</v>
      </c>
      <c r="D918" t="s">
        <v>19</v>
      </c>
      <c r="E918" t="s">
        <v>31</v>
      </c>
      <c r="F918" t="s">
        <v>32</v>
      </c>
      <c r="G918" t="s">
        <v>22</v>
      </c>
      <c r="H918" t="s">
        <v>49</v>
      </c>
      <c r="I918" t="s">
        <v>24</v>
      </c>
      <c r="J918">
        <v>137700</v>
      </c>
      <c r="K918">
        <v>0</v>
      </c>
      <c r="L918" t="s">
        <v>45</v>
      </c>
      <c r="M918" t="s">
        <v>26</v>
      </c>
      <c r="N918" t="s">
        <v>27</v>
      </c>
      <c r="O918" t="s">
        <v>35</v>
      </c>
      <c r="P918" t="s">
        <v>26</v>
      </c>
      <c r="Q918">
        <v>0</v>
      </c>
    </row>
    <row r="919" spans="1:17" x14ac:dyDescent="0.25">
      <c r="A919" t="s">
        <v>29</v>
      </c>
      <c r="B919" t="s">
        <v>18</v>
      </c>
      <c r="C919">
        <v>121500</v>
      </c>
      <c r="D919" t="s">
        <v>19</v>
      </c>
      <c r="E919" t="s">
        <v>20</v>
      </c>
      <c r="F919" t="s">
        <v>39</v>
      </c>
      <c r="G919" t="s">
        <v>22</v>
      </c>
      <c r="H919" t="s">
        <v>23</v>
      </c>
      <c r="I919" t="s">
        <v>24</v>
      </c>
      <c r="J919">
        <v>53545.5</v>
      </c>
      <c r="K919">
        <v>0</v>
      </c>
      <c r="L919" t="s">
        <v>34</v>
      </c>
      <c r="M919" t="s">
        <v>26</v>
      </c>
      <c r="N919" t="s">
        <v>27</v>
      </c>
      <c r="O919" t="s">
        <v>35</v>
      </c>
      <c r="P919" t="s">
        <v>26</v>
      </c>
      <c r="Q919">
        <v>0</v>
      </c>
    </row>
    <row r="920" spans="1:17" x14ac:dyDescent="0.25">
      <c r="A920" t="s">
        <v>29</v>
      </c>
      <c r="B920" t="s">
        <v>18</v>
      </c>
      <c r="C920">
        <v>121500</v>
      </c>
      <c r="D920" t="s">
        <v>19</v>
      </c>
      <c r="E920" t="s">
        <v>20</v>
      </c>
      <c r="F920" t="s">
        <v>39</v>
      </c>
      <c r="G920" t="s">
        <v>22</v>
      </c>
      <c r="H920" t="s">
        <v>23</v>
      </c>
      <c r="I920" t="s">
        <v>24</v>
      </c>
      <c r="J920">
        <v>18981</v>
      </c>
      <c r="K920">
        <v>3798</v>
      </c>
      <c r="L920" t="s">
        <v>51</v>
      </c>
      <c r="M920" t="s">
        <v>26</v>
      </c>
      <c r="N920" t="s">
        <v>27</v>
      </c>
      <c r="O920" t="s">
        <v>28</v>
      </c>
      <c r="P920" t="s">
        <v>26</v>
      </c>
      <c r="Q920">
        <v>0</v>
      </c>
    </row>
    <row r="921" spans="1:17" x14ac:dyDescent="0.25">
      <c r="A921" t="s">
        <v>29</v>
      </c>
      <c r="B921" t="s">
        <v>18</v>
      </c>
      <c r="C921">
        <v>90000</v>
      </c>
      <c r="D921" t="s">
        <v>44</v>
      </c>
      <c r="E921" t="s">
        <v>20</v>
      </c>
      <c r="F921" t="s">
        <v>39</v>
      </c>
      <c r="G921" t="s">
        <v>22</v>
      </c>
      <c r="H921" t="s">
        <v>23</v>
      </c>
      <c r="I921" t="s">
        <v>24</v>
      </c>
      <c r="J921">
        <v>40500</v>
      </c>
      <c r="K921">
        <v>0</v>
      </c>
      <c r="L921" t="s">
        <v>43</v>
      </c>
      <c r="M921" t="s">
        <v>26</v>
      </c>
      <c r="N921" t="s">
        <v>27</v>
      </c>
      <c r="O921" t="s">
        <v>35</v>
      </c>
      <c r="P921" t="s">
        <v>26</v>
      </c>
      <c r="Q921">
        <v>0</v>
      </c>
    </row>
    <row r="922" spans="1:17" x14ac:dyDescent="0.25">
      <c r="A922" t="s">
        <v>29</v>
      </c>
      <c r="B922" t="s">
        <v>18</v>
      </c>
      <c r="C922">
        <v>202500</v>
      </c>
      <c r="D922" t="s">
        <v>19</v>
      </c>
      <c r="E922" t="s">
        <v>31</v>
      </c>
      <c r="F922" t="s">
        <v>32</v>
      </c>
      <c r="G922" t="s">
        <v>22</v>
      </c>
      <c r="H922" t="s">
        <v>37</v>
      </c>
      <c r="I922" t="s">
        <v>24</v>
      </c>
      <c r="J922">
        <v>78745.5</v>
      </c>
      <c r="K922">
        <v>0</v>
      </c>
      <c r="L922" t="s">
        <v>43</v>
      </c>
      <c r="M922" t="s">
        <v>26</v>
      </c>
      <c r="N922" t="s">
        <v>27</v>
      </c>
      <c r="O922" t="s">
        <v>35</v>
      </c>
      <c r="P922" t="s">
        <v>26</v>
      </c>
      <c r="Q922">
        <v>0</v>
      </c>
    </row>
    <row r="923" spans="1:17" x14ac:dyDescent="0.25">
      <c r="A923" t="s">
        <v>29</v>
      </c>
      <c r="B923" t="s">
        <v>18</v>
      </c>
      <c r="C923">
        <v>180000</v>
      </c>
      <c r="D923" t="s">
        <v>19</v>
      </c>
      <c r="E923" t="s">
        <v>20</v>
      </c>
      <c r="F923" t="s">
        <v>39</v>
      </c>
      <c r="G923" t="s">
        <v>22</v>
      </c>
      <c r="H923" t="s">
        <v>23</v>
      </c>
      <c r="I923" t="s">
        <v>24</v>
      </c>
      <c r="J923">
        <v>314820</v>
      </c>
      <c r="K923">
        <v>0</v>
      </c>
      <c r="L923" t="s">
        <v>38</v>
      </c>
      <c r="M923" t="s">
        <v>26</v>
      </c>
      <c r="N923" t="s">
        <v>27</v>
      </c>
      <c r="O923" t="s">
        <v>35</v>
      </c>
      <c r="P923" t="s">
        <v>26</v>
      </c>
      <c r="Q923">
        <v>0</v>
      </c>
    </row>
    <row r="924" spans="1:17" x14ac:dyDescent="0.25">
      <c r="A924" t="s">
        <v>29</v>
      </c>
      <c r="B924" t="s">
        <v>18</v>
      </c>
      <c r="C924">
        <v>225000</v>
      </c>
      <c r="D924" t="s">
        <v>44</v>
      </c>
      <c r="E924" t="s">
        <v>31</v>
      </c>
      <c r="F924" t="s">
        <v>39</v>
      </c>
      <c r="G924" t="s">
        <v>22</v>
      </c>
      <c r="H924" t="s">
        <v>63</v>
      </c>
      <c r="I924" t="s">
        <v>24</v>
      </c>
      <c r="J924">
        <v>179550</v>
      </c>
      <c r="K924">
        <v>45000</v>
      </c>
      <c r="L924" t="s">
        <v>51</v>
      </c>
      <c r="M924" t="s">
        <v>26</v>
      </c>
      <c r="N924" t="s">
        <v>27</v>
      </c>
      <c r="O924" t="s">
        <v>35</v>
      </c>
      <c r="P924" t="s">
        <v>26</v>
      </c>
      <c r="Q924">
        <v>0</v>
      </c>
    </row>
    <row r="925" spans="1:17" x14ac:dyDescent="0.25">
      <c r="A925" t="s">
        <v>17</v>
      </c>
      <c r="B925" t="s">
        <v>36</v>
      </c>
      <c r="C925">
        <v>135000</v>
      </c>
      <c r="D925" t="s">
        <v>19</v>
      </c>
      <c r="E925" t="s">
        <v>31</v>
      </c>
      <c r="F925" t="s">
        <v>32</v>
      </c>
      <c r="G925" t="s">
        <v>22</v>
      </c>
      <c r="H925" t="s">
        <v>101</v>
      </c>
      <c r="I925" t="s">
        <v>24</v>
      </c>
      <c r="J925">
        <v>89955</v>
      </c>
      <c r="K925">
        <v>17991</v>
      </c>
      <c r="L925" t="s">
        <v>38</v>
      </c>
      <c r="M925" t="s">
        <v>26</v>
      </c>
      <c r="N925" t="s">
        <v>27</v>
      </c>
      <c r="O925" t="s">
        <v>35</v>
      </c>
      <c r="P925" t="s">
        <v>26</v>
      </c>
      <c r="Q925">
        <v>0</v>
      </c>
    </row>
    <row r="926" spans="1:17" x14ac:dyDescent="0.25">
      <c r="A926" t="s">
        <v>17</v>
      </c>
      <c r="B926" t="s">
        <v>36</v>
      </c>
      <c r="C926">
        <v>126000</v>
      </c>
      <c r="D926" t="s">
        <v>19</v>
      </c>
      <c r="E926" t="s">
        <v>20</v>
      </c>
      <c r="F926" t="s">
        <v>32</v>
      </c>
      <c r="G926" t="s">
        <v>22</v>
      </c>
      <c r="H926" t="s">
        <v>23</v>
      </c>
      <c r="I926" t="s">
        <v>24</v>
      </c>
      <c r="J926">
        <v>49518</v>
      </c>
      <c r="K926">
        <v>0</v>
      </c>
      <c r="L926" t="s">
        <v>25</v>
      </c>
      <c r="M926" t="s">
        <v>26</v>
      </c>
      <c r="N926" t="s">
        <v>27</v>
      </c>
      <c r="O926" t="s">
        <v>35</v>
      </c>
      <c r="P926" t="s">
        <v>26</v>
      </c>
      <c r="Q926">
        <v>0</v>
      </c>
    </row>
    <row r="927" spans="1:17" x14ac:dyDescent="0.25">
      <c r="A927" t="s">
        <v>17</v>
      </c>
      <c r="B927" t="s">
        <v>18</v>
      </c>
      <c r="C927">
        <v>157500</v>
      </c>
      <c r="D927" t="s">
        <v>44</v>
      </c>
      <c r="E927" t="s">
        <v>20</v>
      </c>
      <c r="F927" t="s">
        <v>39</v>
      </c>
      <c r="G927" t="s">
        <v>22</v>
      </c>
      <c r="H927" t="s">
        <v>41</v>
      </c>
      <c r="I927" t="s">
        <v>24</v>
      </c>
      <c r="J927">
        <v>173610</v>
      </c>
      <c r="K927">
        <v>0</v>
      </c>
      <c r="L927" t="s">
        <v>38</v>
      </c>
      <c r="M927" t="s">
        <v>26</v>
      </c>
      <c r="N927" t="s">
        <v>58</v>
      </c>
      <c r="O927" t="s">
        <v>35</v>
      </c>
      <c r="P927" t="s">
        <v>59</v>
      </c>
      <c r="Q927">
        <v>1</v>
      </c>
    </row>
    <row r="928" spans="1:17" x14ac:dyDescent="0.25">
      <c r="A928" t="s">
        <v>17</v>
      </c>
      <c r="B928" t="s">
        <v>36</v>
      </c>
      <c r="C928">
        <v>112500</v>
      </c>
      <c r="D928" t="s">
        <v>19</v>
      </c>
      <c r="E928" t="s">
        <v>20</v>
      </c>
      <c r="F928" t="s">
        <v>32</v>
      </c>
      <c r="G928" t="s">
        <v>22</v>
      </c>
      <c r="H928" t="s">
        <v>23</v>
      </c>
      <c r="I928" t="s">
        <v>24</v>
      </c>
      <c r="J928">
        <v>21109.275000000001</v>
      </c>
      <c r="K928">
        <v>2114.7750000000001</v>
      </c>
      <c r="L928" t="s">
        <v>51</v>
      </c>
      <c r="M928" t="s">
        <v>26</v>
      </c>
      <c r="N928" t="s">
        <v>27</v>
      </c>
      <c r="O928" t="s">
        <v>35</v>
      </c>
      <c r="P928" t="s">
        <v>26</v>
      </c>
      <c r="Q928">
        <v>0</v>
      </c>
    </row>
    <row r="929" spans="1:17" x14ac:dyDescent="0.25">
      <c r="A929" t="s">
        <v>17</v>
      </c>
      <c r="B929" t="s">
        <v>36</v>
      </c>
      <c r="C929">
        <v>112500</v>
      </c>
      <c r="D929" t="s">
        <v>19</v>
      </c>
      <c r="E929" t="s">
        <v>20</v>
      </c>
      <c r="F929" t="s">
        <v>32</v>
      </c>
      <c r="G929" t="s">
        <v>22</v>
      </c>
      <c r="H929" t="s">
        <v>23</v>
      </c>
      <c r="I929" t="s">
        <v>24</v>
      </c>
      <c r="J929">
        <v>76369.5</v>
      </c>
      <c r="K929">
        <v>0</v>
      </c>
      <c r="L929" t="s">
        <v>34</v>
      </c>
      <c r="M929" t="s">
        <v>26</v>
      </c>
      <c r="N929" t="s">
        <v>27</v>
      </c>
      <c r="O929" t="s">
        <v>35</v>
      </c>
      <c r="P929" t="s">
        <v>26</v>
      </c>
      <c r="Q929">
        <v>0</v>
      </c>
    </row>
    <row r="930" spans="1:17" x14ac:dyDescent="0.25">
      <c r="A930" t="s">
        <v>17</v>
      </c>
      <c r="B930" t="s">
        <v>36</v>
      </c>
      <c r="C930">
        <v>112500</v>
      </c>
      <c r="D930" t="s">
        <v>19</v>
      </c>
      <c r="E930" t="s">
        <v>20</v>
      </c>
      <c r="F930" t="s">
        <v>32</v>
      </c>
      <c r="G930" t="s">
        <v>22</v>
      </c>
      <c r="H930" t="s">
        <v>23</v>
      </c>
      <c r="I930" t="s">
        <v>24</v>
      </c>
      <c r="J930">
        <v>63837</v>
      </c>
      <c r="K930">
        <v>3240</v>
      </c>
      <c r="L930" t="s">
        <v>38</v>
      </c>
      <c r="M930" t="s">
        <v>26</v>
      </c>
      <c r="N930" t="s">
        <v>27</v>
      </c>
      <c r="O930" t="s">
        <v>35</v>
      </c>
      <c r="P930" t="s">
        <v>26</v>
      </c>
      <c r="Q930">
        <v>0</v>
      </c>
    </row>
    <row r="931" spans="1:17" x14ac:dyDescent="0.25">
      <c r="A931" t="s">
        <v>17</v>
      </c>
      <c r="B931" t="s">
        <v>18</v>
      </c>
      <c r="C931">
        <v>247500</v>
      </c>
      <c r="D931" t="s">
        <v>19</v>
      </c>
      <c r="E931" t="s">
        <v>31</v>
      </c>
      <c r="F931" t="s">
        <v>32</v>
      </c>
      <c r="G931" t="s">
        <v>22</v>
      </c>
      <c r="H931" t="s">
        <v>65</v>
      </c>
      <c r="I931" t="s">
        <v>24</v>
      </c>
      <c r="J931">
        <v>118827.9</v>
      </c>
      <c r="K931">
        <v>0</v>
      </c>
      <c r="L931" t="s">
        <v>25</v>
      </c>
      <c r="M931" t="s">
        <v>26</v>
      </c>
      <c r="N931" t="s">
        <v>27</v>
      </c>
      <c r="O931" t="s">
        <v>35</v>
      </c>
      <c r="P931" t="s">
        <v>26</v>
      </c>
      <c r="Q931">
        <v>0</v>
      </c>
    </row>
    <row r="932" spans="1:17" x14ac:dyDescent="0.25">
      <c r="A932" t="s">
        <v>17</v>
      </c>
      <c r="B932" t="s">
        <v>18</v>
      </c>
      <c r="C932">
        <v>288000</v>
      </c>
      <c r="D932" t="s">
        <v>19</v>
      </c>
      <c r="E932" t="s">
        <v>31</v>
      </c>
      <c r="F932" t="s">
        <v>32</v>
      </c>
      <c r="G932" t="s">
        <v>22</v>
      </c>
      <c r="H932" t="s">
        <v>93</v>
      </c>
      <c r="I932" t="s">
        <v>24</v>
      </c>
      <c r="J932">
        <v>114480</v>
      </c>
      <c r="K932">
        <v>11448</v>
      </c>
      <c r="L932" t="s">
        <v>43</v>
      </c>
      <c r="M932" t="s">
        <v>26</v>
      </c>
      <c r="N932" t="s">
        <v>27</v>
      </c>
      <c r="O932" t="s">
        <v>35</v>
      </c>
      <c r="P932" t="s">
        <v>26</v>
      </c>
      <c r="Q932">
        <v>0</v>
      </c>
    </row>
    <row r="933" spans="1:17" x14ac:dyDescent="0.25">
      <c r="A933" t="s">
        <v>29</v>
      </c>
      <c r="B933" t="s">
        <v>18</v>
      </c>
      <c r="C933">
        <v>112500</v>
      </c>
      <c r="D933" t="s">
        <v>46</v>
      </c>
      <c r="E933" t="s">
        <v>20</v>
      </c>
      <c r="F933" t="s">
        <v>54</v>
      </c>
      <c r="G933" t="s">
        <v>22</v>
      </c>
      <c r="H933" t="s">
        <v>28</v>
      </c>
      <c r="I933" t="s">
        <v>24</v>
      </c>
      <c r="J933">
        <v>153495</v>
      </c>
      <c r="K933">
        <v>15349.5</v>
      </c>
      <c r="L933" t="s">
        <v>51</v>
      </c>
      <c r="M933" t="s">
        <v>26</v>
      </c>
      <c r="N933" t="s">
        <v>58</v>
      </c>
      <c r="O933" t="s">
        <v>35</v>
      </c>
      <c r="P933" t="s">
        <v>60</v>
      </c>
      <c r="Q933">
        <v>1</v>
      </c>
    </row>
    <row r="934" spans="1:17" x14ac:dyDescent="0.25">
      <c r="A934" t="s">
        <v>29</v>
      </c>
      <c r="B934" t="s">
        <v>18</v>
      </c>
      <c r="C934">
        <v>112500</v>
      </c>
      <c r="D934" t="s">
        <v>46</v>
      </c>
      <c r="E934" t="s">
        <v>20</v>
      </c>
      <c r="F934" t="s">
        <v>54</v>
      </c>
      <c r="G934" t="s">
        <v>22</v>
      </c>
      <c r="H934" t="s">
        <v>28</v>
      </c>
      <c r="I934" t="s">
        <v>24</v>
      </c>
      <c r="J934">
        <v>153495</v>
      </c>
      <c r="K934">
        <v>15349.5</v>
      </c>
      <c r="L934" t="s">
        <v>51</v>
      </c>
      <c r="M934" t="s">
        <v>26</v>
      </c>
      <c r="N934" t="s">
        <v>27</v>
      </c>
      <c r="O934" t="s">
        <v>35</v>
      </c>
      <c r="P934" t="s">
        <v>26</v>
      </c>
      <c r="Q934">
        <v>0</v>
      </c>
    </row>
    <row r="935" spans="1:17" x14ac:dyDescent="0.25">
      <c r="A935" t="s">
        <v>29</v>
      </c>
      <c r="B935" t="s">
        <v>18</v>
      </c>
      <c r="C935">
        <v>112500</v>
      </c>
      <c r="D935" t="s">
        <v>46</v>
      </c>
      <c r="E935" t="s">
        <v>20</v>
      </c>
      <c r="F935" t="s">
        <v>54</v>
      </c>
      <c r="G935" t="s">
        <v>22</v>
      </c>
      <c r="H935" t="s">
        <v>28</v>
      </c>
      <c r="I935" t="s">
        <v>24</v>
      </c>
      <c r="J935">
        <v>64722.15</v>
      </c>
      <c r="K935">
        <v>6474.15</v>
      </c>
      <c r="L935" t="s">
        <v>43</v>
      </c>
      <c r="M935" t="s">
        <v>26</v>
      </c>
      <c r="N935" t="s">
        <v>27</v>
      </c>
      <c r="O935" t="s">
        <v>35</v>
      </c>
      <c r="P935" t="s">
        <v>26</v>
      </c>
      <c r="Q935">
        <v>0</v>
      </c>
    </row>
    <row r="936" spans="1:17" x14ac:dyDescent="0.25">
      <c r="A936" t="s">
        <v>29</v>
      </c>
      <c r="B936" t="s">
        <v>18</v>
      </c>
      <c r="C936">
        <v>112500</v>
      </c>
      <c r="D936" t="s">
        <v>46</v>
      </c>
      <c r="E936" t="s">
        <v>20</v>
      </c>
      <c r="F936" t="s">
        <v>54</v>
      </c>
      <c r="G936" t="s">
        <v>22</v>
      </c>
      <c r="H936" t="s">
        <v>28</v>
      </c>
      <c r="I936" t="s">
        <v>24</v>
      </c>
      <c r="J936">
        <v>17415</v>
      </c>
      <c r="K936">
        <v>0</v>
      </c>
      <c r="L936" t="s">
        <v>42</v>
      </c>
      <c r="M936" t="s">
        <v>26</v>
      </c>
      <c r="N936" t="s">
        <v>27</v>
      </c>
      <c r="O936" t="s">
        <v>35</v>
      </c>
      <c r="P936" t="s">
        <v>26</v>
      </c>
      <c r="Q936">
        <v>0</v>
      </c>
    </row>
    <row r="937" spans="1:17" x14ac:dyDescent="0.25">
      <c r="A937" t="s">
        <v>29</v>
      </c>
      <c r="B937" t="s">
        <v>18</v>
      </c>
      <c r="C937">
        <v>90000</v>
      </c>
      <c r="D937" t="s">
        <v>19</v>
      </c>
      <c r="E937" t="s">
        <v>20</v>
      </c>
      <c r="F937" t="s">
        <v>32</v>
      </c>
      <c r="G937" t="s">
        <v>22</v>
      </c>
      <c r="H937" t="s">
        <v>49</v>
      </c>
      <c r="I937" t="s">
        <v>24</v>
      </c>
      <c r="J937">
        <v>143955</v>
      </c>
      <c r="K937">
        <v>28791</v>
      </c>
      <c r="L937" t="s">
        <v>51</v>
      </c>
      <c r="M937" t="s">
        <v>26</v>
      </c>
      <c r="N937" t="s">
        <v>27</v>
      </c>
      <c r="O937" t="s">
        <v>35</v>
      </c>
      <c r="P937" t="s">
        <v>26</v>
      </c>
      <c r="Q937">
        <v>0</v>
      </c>
    </row>
    <row r="938" spans="1:17" x14ac:dyDescent="0.25">
      <c r="A938" t="s">
        <v>29</v>
      </c>
      <c r="B938" t="s">
        <v>18</v>
      </c>
      <c r="C938">
        <v>90000</v>
      </c>
      <c r="D938" t="s">
        <v>19</v>
      </c>
      <c r="E938" t="s">
        <v>20</v>
      </c>
      <c r="F938" t="s">
        <v>32</v>
      </c>
      <c r="G938" t="s">
        <v>22</v>
      </c>
      <c r="H938" t="s">
        <v>49</v>
      </c>
      <c r="I938" t="s">
        <v>24</v>
      </c>
      <c r="J938">
        <v>25933.5</v>
      </c>
      <c r="K938">
        <v>2596.5</v>
      </c>
      <c r="L938" t="s">
        <v>43</v>
      </c>
      <c r="M938" t="s">
        <v>26</v>
      </c>
      <c r="N938" t="s">
        <v>27</v>
      </c>
      <c r="O938" t="s">
        <v>35</v>
      </c>
      <c r="P938" t="s">
        <v>26</v>
      </c>
      <c r="Q938">
        <v>0</v>
      </c>
    </row>
    <row r="939" spans="1:17" x14ac:dyDescent="0.25">
      <c r="A939" t="s">
        <v>17</v>
      </c>
      <c r="B939" t="s">
        <v>36</v>
      </c>
      <c r="C939">
        <v>112500</v>
      </c>
      <c r="D939" t="s">
        <v>19</v>
      </c>
      <c r="E939" t="s">
        <v>20</v>
      </c>
      <c r="F939" t="s">
        <v>21</v>
      </c>
      <c r="G939" t="s">
        <v>22</v>
      </c>
      <c r="H939" t="s">
        <v>93</v>
      </c>
      <c r="I939" t="s">
        <v>24</v>
      </c>
      <c r="J939">
        <v>31182.93</v>
      </c>
      <c r="K939">
        <v>0</v>
      </c>
      <c r="L939" t="s">
        <v>43</v>
      </c>
      <c r="M939" t="s">
        <v>26</v>
      </c>
      <c r="N939" t="s">
        <v>27</v>
      </c>
      <c r="O939" t="s">
        <v>35</v>
      </c>
      <c r="P939" t="s">
        <v>26</v>
      </c>
      <c r="Q939">
        <v>0</v>
      </c>
    </row>
    <row r="940" spans="1:17" x14ac:dyDescent="0.25">
      <c r="A940" t="s">
        <v>29</v>
      </c>
      <c r="B940" t="s">
        <v>18</v>
      </c>
      <c r="C940">
        <v>225000</v>
      </c>
      <c r="D940" t="s">
        <v>44</v>
      </c>
      <c r="E940" t="s">
        <v>31</v>
      </c>
      <c r="F940" t="s">
        <v>32</v>
      </c>
      <c r="G940" t="s">
        <v>22</v>
      </c>
      <c r="H940" t="s">
        <v>49</v>
      </c>
      <c r="I940" t="s">
        <v>24</v>
      </c>
      <c r="J940">
        <v>14530.5</v>
      </c>
      <c r="K940">
        <v>0</v>
      </c>
      <c r="L940" t="s">
        <v>38</v>
      </c>
      <c r="M940" t="s">
        <v>26</v>
      </c>
      <c r="N940" t="s">
        <v>27</v>
      </c>
      <c r="O940" t="s">
        <v>35</v>
      </c>
      <c r="P940" t="s">
        <v>26</v>
      </c>
      <c r="Q940">
        <v>0</v>
      </c>
    </row>
    <row r="941" spans="1:17" x14ac:dyDescent="0.25">
      <c r="A941" t="s">
        <v>29</v>
      </c>
      <c r="B941" t="s">
        <v>18</v>
      </c>
      <c r="C941">
        <v>225000</v>
      </c>
      <c r="D941" t="s">
        <v>44</v>
      </c>
      <c r="E941" t="s">
        <v>31</v>
      </c>
      <c r="F941" t="s">
        <v>32</v>
      </c>
      <c r="G941" t="s">
        <v>22</v>
      </c>
      <c r="H941" t="s">
        <v>49</v>
      </c>
      <c r="I941" t="s">
        <v>24</v>
      </c>
      <c r="J941">
        <v>64395</v>
      </c>
      <c r="K941">
        <v>0</v>
      </c>
      <c r="L941" t="s">
        <v>42</v>
      </c>
      <c r="M941" t="s">
        <v>26</v>
      </c>
      <c r="N941" t="s">
        <v>27</v>
      </c>
      <c r="O941" t="s">
        <v>35</v>
      </c>
      <c r="P941" t="s">
        <v>26</v>
      </c>
      <c r="Q941">
        <v>0</v>
      </c>
    </row>
    <row r="942" spans="1:17" x14ac:dyDescent="0.25">
      <c r="A942" t="s">
        <v>17</v>
      </c>
      <c r="B942" t="s">
        <v>36</v>
      </c>
      <c r="C942">
        <v>202500</v>
      </c>
      <c r="D942" t="s">
        <v>44</v>
      </c>
      <c r="E942" t="s">
        <v>20</v>
      </c>
      <c r="F942" t="s">
        <v>32</v>
      </c>
      <c r="G942" t="s">
        <v>22</v>
      </c>
      <c r="H942" t="s">
        <v>61</v>
      </c>
      <c r="I942" t="s">
        <v>24</v>
      </c>
      <c r="J942">
        <v>121716</v>
      </c>
      <c r="K942">
        <v>12172.5</v>
      </c>
      <c r="L942" t="s">
        <v>38</v>
      </c>
      <c r="M942" t="s">
        <v>26</v>
      </c>
      <c r="N942" t="s">
        <v>58</v>
      </c>
      <c r="O942" t="s">
        <v>35</v>
      </c>
      <c r="P942" t="s">
        <v>60</v>
      </c>
      <c r="Q942">
        <v>1</v>
      </c>
    </row>
    <row r="943" spans="1:17" x14ac:dyDescent="0.25">
      <c r="A943" t="s">
        <v>17</v>
      </c>
      <c r="B943" t="s">
        <v>36</v>
      </c>
      <c r="C943">
        <v>202500</v>
      </c>
      <c r="D943" t="s">
        <v>44</v>
      </c>
      <c r="E943" t="s">
        <v>20</v>
      </c>
      <c r="F943" t="s">
        <v>32</v>
      </c>
      <c r="G943" t="s">
        <v>22</v>
      </c>
      <c r="H943" t="s">
        <v>61</v>
      </c>
      <c r="I943" t="s">
        <v>24</v>
      </c>
      <c r="J943">
        <v>121716</v>
      </c>
      <c r="K943">
        <v>0</v>
      </c>
      <c r="L943" t="s">
        <v>38</v>
      </c>
      <c r="M943" t="s">
        <v>26</v>
      </c>
      <c r="N943" t="s">
        <v>58</v>
      </c>
      <c r="O943" t="s">
        <v>35</v>
      </c>
      <c r="P943" t="s">
        <v>60</v>
      </c>
      <c r="Q943">
        <v>1</v>
      </c>
    </row>
    <row r="944" spans="1:17" x14ac:dyDescent="0.25">
      <c r="A944" t="s">
        <v>29</v>
      </c>
      <c r="B944" t="s">
        <v>18</v>
      </c>
      <c r="C944">
        <v>135000</v>
      </c>
      <c r="D944" t="s">
        <v>19</v>
      </c>
      <c r="E944" t="s">
        <v>20</v>
      </c>
      <c r="F944" t="s">
        <v>32</v>
      </c>
      <c r="G944" t="s">
        <v>22</v>
      </c>
      <c r="H944" t="s">
        <v>48</v>
      </c>
      <c r="I944" t="s">
        <v>24</v>
      </c>
      <c r="J944">
        <v>21600</v>
      </c>
      <c r="K944">
        <v>2160</v>
      </c>
      <c r="L944" t="s">
        <v>38</v>
      </c>
      <c r="M944" t="s">
        <v>26</v>
      </c>
      <c r="N944" t="s">
        <v>27</v>
      </c>
      <c r="O944" t="s">
        <v>35</v>
      </c>
      <c r="P944" t="s">
        <v>26</v>
      </c>
      <c r="Q944">
        <v>0</v>
      </c>
    </row>
    <row r="945" spans="1:17" x14ac:dyDescent="0.25">
      <c r="A945" t="s">
        <v>29</v>
      </c>
      <c r="B945" t="s">
        <v>18</v>
      </c>
      <c r="C945">
        <v>112500</v>
      </c>
      <c r="D945" t="s">
        <v>19</v>
      </c>
      <c r="E945" t="s">
        <v>31</v>
      </c>
      <c r="F945" t="s">
        <v>32</v>
      </c>
      <c r="G945" t="s">
        <v>22</v>
      </c>
      <c r="H945" t="s">
        <v>49</v>
      </c>
      <c r="I945" t="s">
        <v>24</v>
      </c>
      <c r="J945">
        <v>153900</v>
      </c>
      <c r="K945">
        <v>0</v>
      </c>
      <c r="L945" t="s">
        <v>38</v>
      </c>
      <c r="M945" t="s">
        <v>26</v>
      </c>
      <c r="N945" t="s">
        <v>27</v>
      </c>
      <c r="O945" t="s">
        <v>35</v>
      </c>
      <c r="P945" t="s">
        <v>26</v>
      </c>
      <c r="Q945">
        <v>0</v>
      </c>
    </row>
    <row r="946" spans="1:17" x14ac:dyDescent="0.25">
      <c r="A946" t="s">
        <v>17</v>
      </c>
      <c r="B946" t="s">
        <v>36</v>
      </c>
      <c r="C946">
        <v>405000</v>
      </c>
      <c r="D946" t="s">
        <v>44</v>
      </c>
      <c r="E946" t="s">
        <v>31</v>
      </c>
      <c r="F946" t="s">
        <v>32</v>
      </c>
      <c r="G946" t="s">
        <v>22</v>
      </c>
      <c r="H946" t="s">
        <v>49</v>
      </c>
      <c r="I946" t="s">
        <v>24</v>
      </c>
      <c r="J946">
        <v>89995.5</v>
      </c>
      <c r="K946">
        <v>0</v>
      </c>
      <c r="L946" t="s">
        <v>45</v>
      </c>
      <c r="M946" t="s">
        <v>26</v>
      </c>
      <c r="N946" t="s">
        <v>27</v>
      </c>
      <c r="O946" t="s">
        <v>35</v>
      </c>
      <c r="P946" t="s">
        <v>26</v>
      </c>
      <c r="Q946">
        <v>0</v>
      </c>
    </row>
    <row r="947" spans="1:17" x14ac:dyDescent="0.25">
      <c r="A947" t="s">
        <v>17</v>
      </c>
      <c r="B947" t="s">
        <v>18</v>
      </c>
      <c r="C947">
        <v>225000</v>
      </c>
      <c r="D947" t="s">
        <v>19</v>
      </c>
      <c r="E947" t="s">
        <v>20</v>
      </c>
      <c r="F947" t="s">
        <v>32</v>
      </c>
      <c r="G947" t="s">
        <v>22</v>
      </c>
      <c r="H947" t="s">
        <v>37</v>
      </c>
      <c r="I947" t="s">
        <v>24</v>
      </c>
      <c r="J947">
        <v>45067.5</v>
      </c>
      <c r="K947">
        <v>13500</v>
      </c>
      <c r="L947" t="s">
        <v>45</v>
      </c>
      <c r="M947" t="s">
        <v>26</v>
      </c>
      <c r="N947" t="s">
        <v>27</v>
      </c>
      <c r="O947" t="s">
        <v>83</v>
      </c>
      <c r="P947" t="s">
        <v>26</v>
      </c>
      <c r="Q947">
        <v>0</v>
      </c>
    </row>
    <row r="948" spans="1:17" x14ac:dyDescent="0.25">
      <c r="A948" t="s">
        <v>17</v>
      </c>
      <c r="B948" t="s">
        <v>18</v>
      </c>
      <c r="C948">
        <v>225000</v>
      </c>
      <c r="D948" t="s">
        <v>19</v>
      </c>
      <c r="E948" t="s">
        <v>20</v>
      </c>
      <c r="F948" t="s">
        <v>32</v>
      </c>
      <c r="G948" t="s">
        <v>22</v>
      </c>
      <c r="H948" t="s">
        <v>37</v>
      </c>
      <c r="I948" t="s">
        <v>24</v>
      </c>
      <c r="J948">
        <v>19345.5</v>
      </c>
      <c r="K948">
        <v>2250</v>
      </c>
      <c r="L948" t="s">
        <v>45</v>
      </c>
      <c r="M948" t="s">
        <v>26</v>
      </c>
      <c r="N948" t="s">
        <v>27</v>
      </c>
      <c r="O948" t="s">
        <v>35</v>
      </c>
      <c r="P948" t="s">
        <v>26</v>
      </c>
      <c r="Q948">
        <v>0</v>
      </c>
    </row>
    <row r="949" spans="1:17" x14ac:dyDescent="0.25">
      <c r="A949" t="s">
        <v>17</v>
      </c>
      <c r="B949" t="s">
        <v>18</v>
      </c>
      <c r="C949">
        <v>135000</v>
      </c>
      <c r="D949" t="s">
        <v>44</v>
      </c>
      <c r="E949" t="s">
        <v>20</v>
      </c>
      <c r="F949" t="s">
        <v>39</v>
      </c>
      <c r="G949" t="s">
        <v>62</v>
      </c>
      <c r="H949" t="s">
        <v>49</v>
      </c>
      <c r="I949" t="s">
        <v>24</v>
      </c>
      <c r="J949">
        <v>54000</v>
      </c>
      <c r="K949">
        <v>5400</v>
      </c>
      <c r="L949" t="s">
        <v>34</v>
      </c>
      <c r="M949" t="s">
        <v>26</v>
      </c>
      <c r="N949" t="s">
        <v>27</v>
      </c>
      <c r="O949" t="s">
        <v>35</v>
      </c>
      <c r="P949" t="s">
        <v>26</v>
      </c>
      <c r="Q949">
        <v>0</v>
      </c>
    </row>
    <row r="950" spans="1:17" x14ac:dyDescent="0.25">
      <c r="A950" t="s">
        <v>29</v>
      </c>
      <c r="B950" t="s">
        <v>18</v>
      </c>
      <c r="C950">
        <v>54000</v>
      </c>
      <c r="D950" t="s">
        <v>46</v>
      </c>
      <c r="E950" t="s">
        <v>20</v>
      </c>
      <c r="F950" t="s">
        <v>32</v>
      </c>
      <c r="G950" t="s">
        <v>22</v>
      </c>
      <c r="H950" t="s">
        <v>28</v>
      </c>
      <c r="I950" t="s">
        <v>66</v>
      </c>
      <c r="J950">
        <v>157500</v>
      </c>
      <c r="K950">
        <v>0</v>
      </c>
      <c r="L950" t="s">
        <v>38</v>
      </c>
      <c r="M950" t="s">
        <v>28</v>
      </c>
      <c r="N950" t="s">
        <v>27</v>
      </c>
      <c r="O950" t="s">
        <v>35</v>
      </c>
      <c r="P950" t="s">
        <v>26</v>
      </c>
      <c r="Q950">
        <v>0</v>
      </c>
    </row>
    <row r="951" spans="1:17" x14ac:dyDescent="0.25">
      <c r="A951" t="s">
        <v>29</v>
      </c>
      <c r="B951" t="s">
        <v>36</v>
      </c>
      <c r="C951">
        <v>67500</v>
      </c>
      <c r="D951" t="s">
        <v>46</v>
      </c>
      <c r="E951" t="s">
        <v>20</v>
      </c>
      <c r="F951" t="s">
        <v>32</v>
      </c>
      <c r="G951" t="s">
        <v>22</v>
      </c>
      <c r="H951" t="s">
        <v>28</v>
      </c>
      <c r="I951" t="s">
        <v>24</v>
      </c>
      <c r="J951">
        <v>153000</v>
      </c>
      <c r="K951">
        <v>15300</v>
      </c>
      <c r="L951" t="s">
        <v>42</v>
      </c>
      <c r="M951" t="s">
        <v>26</v>
      </c>
      <c r="N951" t="s">
        <v>27</v>
      </c>
      <c r="O951" t="s">
        <v>35</v>
      </c>
      <c r="P951" t="s">
        <v>26</v>
      </c>
      <c r="Q951">
        <v>0</v>
      </c>
    </row>
    <row r="952" spans="1:17" x14ac:dyDescent="0.25">
      <c r="A952" t="s">
        <v>29</v>
      </c>
      <c r="B952" t="s">
        <v>36</v>
      </c>
      <c r="C952">
        <v>67500</v>
      </c>
      <c r="D952" t="s">
        <v>46</v>
      </c>
      <c r="E952" t="s">
        <v>20</v>
      </c>
      <c r="F952" t="s">
        <v>32</v>
      </c>
      <c r="G952" t="s">
        <v>22</v>
      </c>
      <c r="H952" t="s">
        <v>28</v>
      </c>
      <c r="I952" t="s">
        <v>66</v>
      </c>
      <c r="J952">
        <v>225000</v>
      </c>
      <c r="K952">
        <v>0</v>
      </c>
      <c r="L952" t="s">
        <v>45</v>
      </c>
      <c r="M952" t="s">
        <v>28</v>
      </c>
      <c r="N952" t="s">
        <v>27</v>
      </c>
      <c r="O952" t="s">
        <v>35</v>
      </c>
      <c r="P952" t="s">
        <v>26</v>
      </c>
      <c r="Q952">
        <v>0</v>
      </c>
    </row>
    <row r="953" spans="1:17" x14ac:dyDescent="0.25">
      <c r="A953" t="s">
        <v>29</v>
      </c>
      <c r="B953" t="s">
        <v>18</v>
      </c>
      <c r="C953">
        <v>270000</v>
      </c>
      <c r="D953" t="s">
        <v>19</v>
      </c>
      <c r="E953" t="s">
        <v>31</v>
      </c>
      <c r="F953" t="s">
        <v>32</v>
      </c>
      <c r="G953" t="s">
        <v>22</v>
      </c>
      <c r="H953" t="s">
        <v>33</v>
      </c>
      <c r="I953" t="s">
        <v>24</v>
      </c>
      <c r="J953">
        <v>137695.5</v>
      </c>
      <c r="K953">
        <v>27000</v>
      </c>
      <c r="L953" t="s">
        <v>34</v>
      </c>
      <c r="M953" t="s">
        <v>26</v>
      </c>
      <c r="N953" t="s">
        <v>27</v>
      </c>
      <c r="O953" t="s">
        <v>35</v>
      </c>
      <c r="P953" t="s">
        <v>26</v>
      </c>
      <c r="Q953">
        <v>0</v>
      </c>
    </row>
    <row r="954" spans="1:17" x14ac:dyDescent="0.25">
      <c r="A954" t="s">
        <v>17</v>
      </c>
      <c r="B954" t="s">
        <v>36</v>
      </c>
      <c r="C954">
        <v>270000</v>
      </c>
      <c r="D954" t="s">
        <v>19</v>
      </c>
      <c r="E954" t="s">
        <v>31</v>
      </c>
      <c r="F954" t="s">
        <v>69</v>
      </c>
      <c r="G954" t="s">
        <v>22</v>
      </c>
      <c r="H954" t="s">
        <v>57</v>
      </c>
      <c r="I954" t="s">
        <v>24</v>
      </c>
      <c r="J954">
        <v>95350.5</v>
      </c>
      <c r="K954">
        <v>9535.5</v>
      </c>
      <c r="L954" t="s">
        <v>45</v>
      </c>
      <c r="M954" t="s">
        <v>26</v>
      </c>
      <c r="N954" t="s">
        <v>58</v>
      </c>
      <c r="O954" t="s">
        <v>35</v>
      </c>
      <c r="P954" t="s">
        <v>60</v>
      </c>
      <c r="Q954">
        <v>1</v>
      </c>
    </row>
    <row r="955" spans="1:17" x14ac:dyDescent="0.25">
      <c r="A955" t="s">
        <v>17</v>
      </c>
      <c r="B955" t="s">
        <v>36</v>
      </c>
      <c r="C955">
        <v>270000</v>
      </c>
      <c r="D955" t="s">
        <v>19</v>
      </c>
      <c r="E955" t="s">
        <v>31</v>
      </c>
      <c r="F955" t="s">
        <v>69</v>
      </c>
      <c r="G955" t="s">
        <v>22</v>
      </c>
      <c r="H955" t="s">
        <v>57</v>
      </c>
      <c r="I955" t="s">
        <v>24</v>
      </c>
      <c r="J955">
        <v>107991</v>
      </c>
      <c r="K955">
        <v>10800</v>
      </c>
      <c r="L955" t="s">
        <v>38</v>
      </c>
      <c r="M955" t="s">
        <v>26</v>
      </c>
      <c r="N955" t="s">
        <v>58</v>
      </c>
      <c r="O955" t="s">
        <v>35</v>
      </c>
      <c r="P955" t="s">
        <v>60</v>
      </c>
      <c r="Q955">
        <v>1</v>
      </c>
    </row>
    <row r="956" spans="1:17" x14ac:dyDescent="0.25">
      <c r="A956" t="s">
        <v>17</v>
      </c>
      <c r="B956" t="s">
        <v>36</v>
      </c>
      <c r="C956">
        <v>270000</v>
      </c>
      <c r="D956" t="s">
        <v>19</v>
      </c>
      <c r="E956" t="s">
        <v>31</v>
      </c>
      <c r="F956" t="s">
        <v>69</v>
      </c>
      <c r="G956" t="s">
        <v>22</v>
      </c>
      <c r="H956" t="s">
        <v>57</v>
      </c>
      <c r="I956" t="s">
        <v>24</v>
      </c>
      <c r="J956">
        <v>95350.5</v>
      </c>
      <c r="K956">
        <v>9535.5</v>
      </c>
      <c r="L956" t="s">
        <v>45</v>
      </c>
      <c r="M956" t="s">
        <v>26</v>
      </c>
      <c r="N956" t="s">
        <v>58</v>
      </c>
      <c r="O956" t="s">
        <v>35</v>
      </c>
      <c r="P956" t="s">
        <v>60</v>
      </c>
      <c r="Q956">
        <v>1</v>
      </c>
    </row>
    <row r="957" spans="1:17" x14ac:dyDescent="0.25">
      <c r="A957" t="s">
        <v>29</v>
      </c>
      <c r="B957" t="s">
        <v>18</v>
      </c>
      <c r="C957">
        <v>112500</v>
      </c>
      <c r="D957" t="s">
        <v>19</v>
      </c>
      <c r="E957" t="s">
        <v>20</v>
      </c>
      <c r="F957" t="s">
        <v>32</v>
      </c>
      <c r="G957" t="s">
        <v>22</v>
      </c>
      <c r="H957" t="s">
        <v>23</v>
      </c>
      <c r="I957" t="s">
        <v>24</v>
      </c>
      <c r="J957">
        <v>142758</v>
      </c>
      <c r="K957">
        <v>0</v>
      </c>
      <c r="L957" t="s">
        <v>43</v>
      </c>
      <c r="M957" t="s">
        <v>26</v>
      </c>
      <c r="N957" t="s">
        <v>27</v>
      </c>
      <c r="O957" t="s">
        <v>35</v>
      </c>
      <c r="P957" t="s">
        <v>26</v>
      </c>
      <c r="Q957">
        <v>0</v>
      </c>
    </row>
    <row r="958" spans="1:17" x14ac:dyDescent="0.25">
      <c r="A958" t="s">
        <v>29</v>
      </c>
      <c r="B958" t="s">
        <v>18</v>
      </c>
      <c r="C958">
        <v>112500</v>
      </c>
      <c r="D958" t="s">
        <v>19</v>
      </c>
      <c r="E958" t="s">
        <v>20</v>
      </c>
      <c r="F958" t="s">
        <v>32</v>
      </c>
      <c r="G958" t="s">
        <v>22</v>
      </c>
      <c r="H958" t="s">
        <v>23</v>
      </c>
      <c r="I958" t="s">
        <v>24</v>
      </c>
      <c r="J958">
        <v>114372</v>
      </c>
      <c r="K958">
        <v>0</v>
      </c>
      <c r="L958" t="s">
        <v>43</v>
      </c>
      <c r="M958" t="s">
        <v>26</v>
      </c>
      <c r="N958" t="s">
        <v>27</v>
      </c>
      <c r="O958" t="s">
        <v>35</v>
      </c>
      <c r="P958" t="s">
        <v>26</v>
      </c>
      <c r="Q958">
        <v>0</v>
      </c>
    </row>
    <row r="959" spans="1:17" x14ac:dyDescent="0.25">
      <c r="A959" t="s">
        <v>29</v>
      </c>
      <c r="B959" t="s">
        <v>18</v>
      </c>
      <c r="C959">
        <v>112500</v>
      </c>
      <c r="D959" t="s">
        <v>19</v>
      </c>
      <c r="E959" t="s">
        <v>20</v>
      </c>
      <c r="F959" t="s">
        <v>32</v>
      </c>
      <c r="G959" t="s">
        <v>22</v>
      </c>
      <c r="H959" t="s">
        <v>23</v>
      </c>
      <c r="I959" t="s">
        <v>24</v>
      </c>
      <c r="J959">
        <v>111996</v>
      </c>
      <c r="K959">
        <v>11880</v>
      </c>
      <c r="L959" t="s">
        <v>25</v>
      </c>
      <c r="M959" t="s">
        <v>26</v>
      </c>
      <c r="N959" t="s">
        <v>27</v>
      </c>
      <c r="O959" t="s">
        <v>35</v>
      </c>
      <c r="P959" t="s">
        <v>26</v>
      </c>
      <c r="Q959">
        <v>0</v>
      </c>
    </row>
    <row r="960" spans="1:17" x14ac:dyDescent="0.25">
      <c r="A960" t="s">
        <v>17</v>
      </c>
      <c r="B960" t="s">
        <v>36</v>
      </c>
      <c r="C960">
        <v>157500</v>
      </c>
      <c r="D960" t="s">
        <v>19</v>
      </c>
      <c r="E960" t="s">
        <v>20</v>
      </c>
      <c r="F960" t="s">
        <v>32</v>
      </c>
      <c r="G960" t="s">
        <v>22</v>
      </c>
      <c r="H960" t="s">
        <v>23</v>
      </c>
      <c r="I960" t="s">
        <v>24</v>
      </c>
      <c r="J960">
        <v>50395.5</v>
      </c>
      <c r="K960">
        <v>0</v>
      </c>
      <c r="L960" t="s">
        <v>38</v>
      </c>
      <c r="M960" t="s">
        <v>26</v>
      </c>
      <c r="N960" t="s">
        <v>27</v>
      </c>
      <c r="O960" t="s">
        <v>35</v>
      </c>
      <c r="P960" t="s">
        <v>26</v>
      </c>
      <c r="Q960">
        <v>0</v>
      </c>
    </row>
    <row r="961" spans="1:17" x14ac:dyDescent="0.25">
      <c r="A961" t="s">
        <v>17</v>
      </c>
      <c r="B961" t="s">
        <v>36</v>
      </c>
      <c r="C961">
        <v>157500</v>
      </c>
      <c r="D961" t="s">
        <v>19</v>
      </c>
      <c r="E961" t="s">
        <v>20</v>
      </c>
      <c r="F961" t="s">
        <v>32</v>
      </c>
      <c r="G961" t="s">
        <v>22</v>
      </c>
      <c r="H961" t="s">
        <v>23</v>
      </c>
      <c r="I961" t="s">
        <v>24</v>
      </c>
      <c r="J961">
        <v>38196</v>
      </c>
      <c r="K961">
        <v>3825</v>
      </c>
      <c r="L961" t="s">
        <v>45</v>
      </c>
      <c r="M961" t="s">
        <v>26</v>
      </c>
      <c r="N961" t="s">
        <v>27</v>
      </c>
      <c r="O961" t="s">
        <v>35</v>
      </c>
      <c r="P961" t="s">
        <v>26</v>
      </c>
      <c r="Q961">
        <v>0</v>
      </c>
    </row>
    <row r="962" spans="1:17" x14ac:dyDescent="0.25">
      <c r="A962" t="s">
        <v>29</v>
      </c>
      <c r="B962" t="s">
        <v>18</v>
      </c>
      <c r="C962">
        <v>126000</v>
      </c>
      <c r="D962" t="s">
        <v>30</v>
      </c>
      <c r="E962" t="s">
        <v>31</v>
      </c>
      <c r="F962" t="s">
        <v>32</v>
      </c>
      <c r="G962" t="s">
        <v>22</v>
      </c>
      <c r="H962" t="s">
        <v>37</v>
      </c>
      <c r="I962" t="s">
        <v>24</v>
      </c>
      <c r="J962">
        <v>27000</v>
      </c>
      <c r="K962">
        <v>0</v>
      </c>
      <c r="L962" t="s">
        <v>43</v>
      </c>
      <c r="M962" t="s">
        <v>26</v>
      </c>
      <c r="N962" t="s">
        <v>27</v>
      </c>
      <c r="O962" t="s">
        <v>83</v>
      </c>
      <c r="P962" t="s">
        <v>26</v>
      </c>
      <c r="Q962">
        <v>0</v>
      </c>
    </row>
    <row r="963" spans="1:17" x14ac:dyDescent="0.25">
      <c r="A963" t="s">
        <v>29</v>
      </c>
      <c r="B963" t="s">
        <v>18</v>
      </c>
      <c r="C963">
        <v>126000</v>
      </c>
      <c r="D963" t="s">
        <v>30</v>
      </c>
      <c r="E963" t="s">
        <v>31</v>
      </c>
      <c r="F963" t="s">
        <v>32</v>
      </c>
      <c r="G963" t="s">
        <v>22</v>
      </c>
      <c r="H963" t="s">
        <v>37</v>
      </c>
      <c r="I963" t="s">
        <v>24</v>
      </c>
      <c r="J963">
        <v>113175</v>
      </c>
      <c r="K963">
        <v>0</v>
      </c>
      <c r="L963" t="s">
        <v>45</v>
      </c>
      <c r="M963" t="s">
        <v>26</v>
      </c>
      <c r="N963" t="s">
        <v>27</v>
      </c>
      <c r="O963" t="s">
        <v>35</v>
      </c>
      <c r="P963" t="s">
        <v>26</v>
      </c>
      <c r="Q963">
        <v>0</v>
      </c>
    </row>
    <row r="964" spans="1:17" x14ac:dyDescent="0.25">
      <c r="A964" t="s">
        <v>17</v>
      </c>
      <c r="B964" t="s">
        <v>36</v>
      </c>
      <c r="C964">
        <v>180000</v>
      </c>
      <c r="D964" t="s">
        <v>19</v>
      </c>
      <c r="E964" t="s">
        <v>20</v>
      </c>
      <c r="F964" t="s">
        <v>32</v>
      </c>
      <c r="G964" t="s">
        <v>22</v>
      </c>
      <c r="H964" t="s">
        <v>23</v>
      </c>
      <c r="I964" t="s">
        <v>24</v>
      </c>
      <c r="J964">
        <v>338400</v>
      </c>
      <c r="K964">
        <v>0</v>
      </c>
      <c r="L964" t="s">
        <v>45</v>
      </c>
      <c r="M964" t="s">
        <v>26</v>
      </c>
      <c r="N964" t="s">
        <v>27</v>
      </c>
      <c r="O964" t="s">
        <v>35</v>
      </c>
      <c r="P964" t="s">
        <v>26</v>
      </c>
      <c r="Q964">
        <v>0</v>
      </c>
    </row>
    <row r="965" spans="1:17" x14ac:dyDescent="0.25">
      <c r="A965" t="s">
        <v>17</v>
      </c>
      <c r="B965" t="s">
        <v>36</v>
      </c>
      <c r="C965">
        <v>180000</v>
      </c>
      <c r="D965" t="s">
        <v>19</v>
      </c>
      <c r="E965" t="s">
        <v>20</v>
      </c>
      <c r="F965" t="s">
        <v>32</v>
      </c>
      <c r="G965" t="s">
        <v>22</v>
      </c>
      <c r="H965" t="s">
        <v>23</v>
      </c>
      <c r="I965" t="s">
        <v>24</v>
      </c>
      <c r="J965">
        <v>279000</v>
      </c>
      <c r="K965">
        <v>0</v>
      </c>
      <c r="L965" t="s">
        <v>51</v>
      </c>
      <c r="M965" t="s">
        <v>26</v>
      </c>
      <c r="N965" t="s">
        <v>27</v>
      </c>
      <c r="O965" t="s">
        <v>35</v>
      </c>
      <c r="P965" t="s">
        <v>26</v>
      </c>
      <c r="Q965">
        <v>0</v>
      </c>
    </row>
    <row r="966" spans="1:17" x14ac:dyDescent="0.25">
      <c r="A966" t="s">
        <v>29</v>
      </c>
      <c r="B966" t="s">
        <v>18</v>
      </c>
      <c r="C966">
        <v>405000</v>
      </c>
      <c r="D966" t="s">
        <v>44</v>
      </c>
      <c r="E966" t="s">
        <v>20</v>
      </c>
      <c r="F966" t="s">
        <v>54</v>
      </c>
      <c r="G966" t="s">
        <v>22</v>
      </c>
      <c r="H966" t="s">
        <v>49</v>
      </c>
      <c r="I966" t="s">
        <v>24</v>
      </c>
      <c r="J966">
        <v>165033</v>
      </c>
      <c r="K966">
        <v>0</v>
      </c>
      <c r="L966" t="s">
        <v>51</v>
      </c>
      <c r="M966" t="s">
        <v>26</v>
      </c>
      <c r="N966" t="s">
        <v>76</v>
      </c>
      <c r="O966" t="s">
        <v>28</v>
      </c>
      <c r="P966" t="s">
        <v>77</v>
      </c>
      <c r="Q966">
        <v>0</v>
      </c>
    </row>
    <row r="967" spans="1:17" x14ac:dyDescent="0.25">
      <c r="A967" t="s">
        <v>29</v>
      </c>
      <c r="B967" t="s">
        <v>18</v>
      </c>
      <c r="C967">
        <v>405000</v>
      </c>
      <c r="D967" t="s">
        <v>44</v>
      </c>
      <c r="E967" t="s">
        <v>20</v>
      </c>
      <c r="F967" t="s">
        <v>54</v>
      </c>
      <c r="G967" t="s">
        <v>22</v>
      </c>
      <c r="H967" t="s">
        <v>49</v>
      </c>
      <c r="I967" t="s">
        <v>24</v>
      </c>
      <c r="J967">
        <v>118012.5</v>
      </c>
      <c r="K967">
        <v>11925</v>
      </c>
      <c r="L967" t="s">
        <v>51</v>
      </c>
      <c r="M967" t="s">
        <v>26</v>
      </c>
      <c r="N967" t="s">
        <v>27</v>
      </c>
      <c r="O967" t="s">
        <v>28</v>
      </c>
      <c r="P967" t="s">
        <v>26</v>
      </c>
      <c r="Q967">
        <v>0</v>
      </c>
    </row>
    <row r="968" spans="1:17" x14ac:dyDescent="0.25">
      <c r="A968" t="s">
        <v>29</v>
      </c>
      <c r="B968" t="s">
        <v>18</v>
      </c>
      <c r="C968">
        <v>405000</v>
      </c>
      <c r="D968" t="s">
        <v>44</v>
      </c>
      <c r="E968" t="s">
        <v>20</v>
      </c>
      <c r="F968" t="s">
        <v>54</v>
      </c>
      <c r="G968" t="s">
        <v>22</v>
      </c>
      <c r="H968" t="s">
        <v>49</v>
      </c>
      <c r="I968" t="s">
        <v>24</v>
      </c>
      <c r="J968">
        <v>18180</v>
      </c>
      <c r="K968">
        <v>1818</v>
      </c>
      <c r="L968" t="s">
        <v>38</v>
      </c>
      <c r="M968" t="s">
        <v>26</v>
      </c>
      <c r="N968" t="s">
        <v>27</v>
      </c>
      <c r="O968" t="s">
        <v>35</v>
      </c>
      <c r="P968" t="s">
        <v>26</v>
      </c>
      <c r="Q968">
        <v>0</v>
      </c>
    </row>
    <row r="969" spans="1:17" x14ac:dyDescent="0.25">
      <c r="A969" t="s">
        <v>17</v>
      </c>
      <c r="B969" t="s">
        <v>18</v>
      </c>
      <c r="C969">
        <v>81000</v>
      </c>
      <c r="D969" t="s">
        <v>19</v>
      </c>
      <c r="E969" t="s">
        <v>20</v>
      </c>
      <c r="F969" t="s">
        <v>69</v>
      </c>
      <c r="G969" t="s">
        <v>22</v>
      </c>
      <c r="H969" t="s">
        <v>48</v>
      </c>
      <c r="I969" t="s">
        <v>24</v>
      </c>
      <c r="J969">
        <v>58495.5</v>
      </c>
      <c r="K969">
        <v>5850</v>
      </c>
      <c r="L969" t="s">
        <v>34</v>
      </c>
      <c r="M969" t="s">
        <v>26</v>
      </c>
      <c r="N969" t="s">
        <v>27</v>
      </c>
      <c r="O969" t="s">
        <v>35</v>
      </c>
      <c r="P969" t="s">
        <v>26</v>
      </c>
      <c r="Q969">
        <v>0</v>
      </c>
    </row>
    <row r="970" spans="1:17" x14ac:dyDescent="0.25">
      <c r="A970" t="s">
        <v>17</v>
      </c>
      <c r="B970" t="s">
        <v>18</v>
      </c>
      <c r="C970">
        <v>81000</v>
      </c>
      <c r="D970" t="s">
        <v>19</v>
      </c>
      <c r="E970" t="s">
        <v>20</v>
      </c>
      <c r="F970" t="s">
        <v>69</v>
      </c>
      <c r="G970" t="s">
        <v>22</v>
      </c>
      <c r="H970" t="s">
        <v>48</v>
      </c>
      <c r="I970" t="s">
        <v>24</v>
      </c>
      <c r="J970">
        <v>44460</v>
      </c>
      <c r="K970">
        <v>4446</v>
      </c>
      <c r="L970" t="s">
        <v>25</v>
      </c>
      <c r="M970" t="s">
        <v>26</v>
      </c>
      <c r="N970" t="s">
        <v>27</v>
      </c>
      <c r="O970" t="s">
        <v>35</v>
      </c>
      <c r="P970" t="s">
        <v>26</v>
      </c>
      <c r="Q970">
        <v>0</v>
      </c>
    </row>
    <row r="971" spans="1:17" x14ac:dyDescent="0.25">
      <c r="A971" t="s">
        <v>29</v>
      </c>
      <c r="B971" t="s">
        <v>36</v>
      </c>
      <c r="C971">
        <v>103500</v>
      </c>
      <c r="D971" t="s">
        <v>44</v>
      </c>
      <c r="E971" t="s">
        <v>20</v>
      </c>
      <c r="F971" t="s">
        <v>32</v>
      </c>
      <c r="G971" t="s">
        <v>22</v>
      </c>
      <c r="H971" t="s">
        <v>68</v>
      </c>
      <c r="I971" t="s">
        <v>24</v>
      </c>
      <c r="J971">
        <v>112495.5</v>
      </c>
      <c r="K971">
        <v>0</v>
      </c>
      <c r="L971" t="s">
        <v>42</v>
      </c>
      <c r="M971" t="s">
        <v>26</v>
      </c>
      <c r="N971" t="s">
        <v>27</v>
      </c>
      <c r="O971" t="s">
        <v>35</v>
      </c>
      <c r="P971" t="s">
        <v>26</v>
      </c>
      <c r="Q971">
        <v>0</v>
      </c>
    </row>
    <row r="972" spans="1:17" x14ac:dyDescent="0.25">
      <c r="A972" t="s">
        <v>29</v>
      </c>
      <c r="B972" t="s">
        <v>18</v>
      </c>
      <c r="C972">
        <v>126000</v>
      </c>
      <c r="D972" t="s">
        <v>46</v>
      </c>
      <c r="E972" t="s">
        <v>104</v>
      </c>
      <c r="F972" t="s">
        <v>54</v>
      </c>
      <c r="G972" t="s">
        <v>22</v>
      </c>
      <c r="H972" t="s">
        <v>28</v>
      </c>
      <c r="I972" t="s">
        <v>24</v>
      </c>
      <c r="J972">
        <v>58608</v>
      </c>
      <c r="K972">
        <v>5863.5</v>
      </c>
      <c r="L972" t="s">
        <v>45</v>
      </c>
      <c r="M972" t="s">
        <v>26</v>
      </c>
      <c r="N972" t="s">
        <v>27</v>
      </c>
      <c r="O972" t="s">
        <v>28</v>
      </c>
      <c r="P972" t="s">
        <v>26</v>
      </c>
      <c r="Q972">
        <v>0</v>
      </c>
    </row>
    <row r="973" spans="1:17" x14ac:dyDescent="0.25">
      <c r="A973" t="s">
        <v>29</v>
      </c>
      <c r="B973" t="s">
        <v>18</v>
      </c>
      <c r="C973">
        <v>76500</v>
      </c>
      <c r="D973" t="s">
        <v>19</v>
      </c>
      <c r="E973" t="s">
        <v>20</v>
      </c>
      <c r="F973" t="s">
        <v>54</v>
      </c>
      <c r="G973" t="s">
        <v>22</v>
      </c>
      <c r="H973" t="s">
        <v>49</v>
      </c>
      <c r="I973" t="s">
        <v>24</v>
      </c>
      <c r="J973">
        <v>27855</v>
      </c>
      <c r="K973">
        <v>2790</v>
      </c>
      <c r="L973" t="s">
        <v>51</v>
      </c>
      <c r="M973" t="s">
        <v>26</v>
      </c>
      <c r="N973" t="s">
        <v>27</v>
      </c>
      <c r="O973" t="s">
        <v>28</v>
      </c>
      <c r="P973" t="s">
        <v>26</v>
      </c>
      <c r="Q973">
        <v>0</v>
      </c>
    </row>
    <row r="974" spans="1:17" x14ac:dyDescent="0.25">
      <c r="A974" t="s">
        <v>29</v>
      </c>
      <c r="B974" t="s">
        <v>18</v>
      </c>
      <c r="C974">
        <v>135000</v>
      </c>
      <c r="D974" t="s">
        <v>44</v>
      </c>
      <c r="E974" t="s">
        <v>31</v>
      </c>
      <c r="F974" t="s">
        <v>39</v>
      </c>
      <c r="G974" t="s">
        <v>22</v>
      </c>
      <c r="H974" t="s">
        <v>57</v>
      </c>
      <c r="I974" t="s">
        <v>24</v>
      </c>
      <c r="J974">
        <v>17325</v>
      </c>
      <c r="K974">
        <v>3465</v>
      </c>
      <c r="L974" t="s">
        <v>25</v>
      </c>
      <c r="M974" t="s">
        <v>26</v>
      </c>
      <c r="N974" t="s">
        <v>27</v>
      </c>
      <c r="O974" t="s">
        <v>35</v>
      </c>
      <c r="P974" t="s">
        <v>26</v>
      </c>
      <c r="Q974">
        <v>0</v>
      </c>
    </row>
    <row r="975" spans="1:17" x14ac:dyDescent="0.25">
      <c r="A975" t="s">
        <v>29</v>
      </c>
      <c r="B975" t="s">
        <v>18</v>
      </c>
      <c r="C975">
        <v>135000</v>
      </c>
      <c r="D975" t="s">
        <v>44</v>
      </c>
      <c r="E975" t="s">
        <v>31</v>
      </c>
      <c r="F975" t="s">
        <v>39</v>
      </c>
      <c r="G975" t="s">
        <v>22</v>
      </c>
      <c r="H975" t="s">
        <v>57</v>
      </c>
      <c r="I975" t="s">
        <v>24</v>
      </c>
      <c r="J975">
        <v>28575</v>
      </c>
      <c r="K975">
        <v>2857.5</v>
      </c>
      <c r="L975" t="s">
        <v>42</v>
      </c>
      <c r="M975" t="s">
        <v>26</v>
      </c>
      <c r="N975" t="s">
        <v>27</v>
      </c>
      <c r="O975" t="s">
        <v>35</v>
      </c>
      <c r="P975" t="s">
        <v>26</v>
      </c>
      <c r="Q975">
        <v>0</v>
      </c>
    </row>
    <row r="976" spans="1:17" x14ac:dyDescent="0.25">
      <c r="A976" t="s">
        <v>29</v>
      </c>
      <c r="B976" t="s">
        <v>18</v>
      </c>
      <c r="C976">
        <v>135000</v>
      </c>
      <c r="D976" t="s">
        <v>44</v>
      </c>
      <c r="E976" t="s">
        <v>31</v>
      </c>
      <c r="F976" t="s">
        <v>39</v>
      </c>
      <c r="G976" t="s">
        <v>22</v>
      </c>
      <c r="H976" t="s">
        <v>57</v>
      </c>
      <c r="I976" t="s">
        <v>24</v>
      </c>
      <c r="J976">
        <v>26838</v>
      </c>
      <c r="K976">
        <v>2686.5</v>
      </c>
      <c r="L976" t="s">
        <v>25</v>
      </c>
      <c r="M976" t="s">
        <v>26</v>
      </c>
      <c r="N976" t="s">
        <v>27</v>
      </c>
      <c r="O976" t="s">
        <v>28</v>
      </c>
      <c r="P976" t="s">
        <v>26</v>
      </c>
      <c r="Q976">
        <v>0</v>
      </c>
    </row>
    <row r="977" spans="1:17" x14ac:dyDescent="0.25">
      <c r="A977" t="s">
        <v>29</v>
      </c>
      <c r="B977" t="s">
        <v>18</v>
      </c>
      <c r="C977">
        <v>157500</v>
      </c>
      <c r="D977" t="s">
        <v>44</v>
      </c>
      <c r="E977" t="s">
        <v>70</v>
      </c>
      <c r="F977" t="s">
        <v>32</v>
      </c>
      <c r="G977" t="s">
        <v>22</v>
      </c>
      <c r="H977" t="s">
        <v>109</v>
      </c>
      <c r="I977" t="s">
        <v>24</v>
      </c>
      <c r="J977">
        <v>175864.5</v>
      </c>
      <c r="K977">
        <v>0</v>
      </c>
      <c r="L977" t="s">
        <v>45</v>
      </c>
      <c r="M977" t="s">
        <v>26</v>
      </c>
      <c r="N977" t="s">
        <v>27</v>
      </c>
      <c r="O977" t="s">
        <v>35</v>
      </c>
      <c r="P977" t="s">
        <v>26</v>
      </c>
      <c r="Q977">
        <v>0</v>
      </c>
    </row>
    <row r="978" spans="1:17" x14ac:dyDescent="0.25">
      <c r="A978" t="s">
        <v>17</v>
      </c>
      <c r="B978" t="s">
        <v>36</v>
      </c>
      <c r="C978">
        <v>270000</v>
      </c>
      <c r="D978" t="s">
        <v>19</v>
      </c>
      <c r="E978" t="s">
        <v>31</v>
      </c>
      <c r="F978" t="s">
        <v>32</v>
      </c>
      <c r="G978" t="s">
        <v>22</v>
      </c>
      <c r="H978" t="s">
        <v>23</v>
      </c>
      <c r="I978" t="s">
        <v>24</v>
      </c>
      <c r="J978">
        <v>126859.5</v>
      </c>
      <c r="K978">
        <v>12690</v>
      </c>
      <c r="L978" t="s">
        <v>25</v>
      </c>
      <c r="M978" t="s">
        <v>26</v>
      </c>
      <c r="N978" t="s">
        <v>27</v>
      </c>
      <c r="O978" t="s">
        <v>35</v>
      </c>
      <c r="P978" t="s">
        <v>26</v>
      </c>
      <c r="Q978">
        <v>0</v>
      </c>
    </row>
    <row r="979" spans="1:17" x14ac:dyDescent="0.25">
      <c r="A979" t="s">
        <v>17</v>
      </c>
      <c r="B979" t="s">
        <v>36</v>
      </c>
      <c r="C979">
        <v>270000</v>
      </c>
      <c r="D979" t="s">
        <v>19</v>
      </c>
      <c r="E979" t="s">
        <v>31</v>
      </c>
      <c r="F979" t="s">
        <v>32</v>
      </c>
      <c r="G979" t="s">
        <v>22</v>
      </c>
      <c r="H979" t="s">
        <v>23</v>
      </c>
      <c r="I979" t="s">
        <v>24</v>
      </c>
      <c r="J979">
        <v>105705</v>
      </c>
      <c r="K979">
        <v>10570.5</v>
      </c>
      <c r="L979" t="s">
        <v>43</v>
      </c>
      <c r="M979" t="s">
        <v>26</v>
      </c>
      <c r="N979" t="s">
        <v>27</v>
      </c>
      <c r="O979" t="s">
        <v>35</v>
      </c>
      <c r="P979" t="s">
        <v>26</v>
      </c>
      <c r="Q979">
        <v>0</v>
      </c>
    </row>
    <row r="980" spans="1:17" x14ac:dyDescent="0.25">
      <c r="A980" t="s">
        <v>29</v>
      </c>
      <c r="B980" t="s">
        <v>18</v>
      </c>
      <c r="C980">
        <v>135000</v>
      </c>
      <c r="D980" t="s">
        <v>19</v>
      </c>
      <c r="E980" t="s">
        <v>20</v>
      </c>
      <c r="F980" t="s">
        <v>54</v>
      </c>
      <c r="G980" t="s">
        <v>73</v>
      </c>
      <c r="H980" t="s">
        <v>65</v>
      </c>
      <c r="I980" t="s">
        <v>24</v>
      </c>
      <c r="J980">
        <v>37431</v>
      </c>
      <c r="K980">
        <v>3744</v>
      </c>
      <c r="L980" t="s">
        <v>25</v>
      </c>
      <c r="M980" t="s">
        <v>26</v>
      </c>
      <c r="N980" t="s">
        <v>27</v>
      </c>
      <c r="O980" t="s">
        <v>35</v>
      </c>
      <c r="P980" t="s">
        <v>26</v>
      </c>
      <c r="Q980">
        <v>0</v>
      </c>
    </row>
    <row r="981" spans="1:17" x14ac:dyDescent="0.25">
      <c r="A981" t="s">
        <v>29</v>
      </c>
      <c r="B981" t="s">
        <v>18</v>
      </c>
      <c r="C981">
        <v>135000</v>
      </c>
      <c r="D981" t="s">
        <v>19</v>
      </c>
      <c r="E981" t="s">
        <v>20</v>
      </c>
      <c r="F981" t="s">
        <v>54</v>
      </c>
      <c r="G981" t="s">
        <v>73</v>
      </c>
      <c r="H981" t="s">
        <v>65</v>
      </c>
      <c r="I981" t="s">
        <v>24</v>
      </c>
      <c r="J981">
        <v>26955</v>
      </c>
      <c r="K981">
        <v>11250</v>
      </c>
      <c r="L981" t="s">
        <v>25</v>
      </c>
      <c r="M981" t="s">
        <v>26</v>
      </c>
      <c r="N981" t="s">
        <v>58</v>
      </c>
      <c r="O981" t="s">
        <v>28</v>
      </c>
      <c r="P981" t="s">
        <v>60</v>
      </c>
      <c r="Q981">
        <v>1</v>
      </c>
    </row>
    <row r="982" spans="1:17" x14ac:dyDescent="0.25">
      <c r="A982" t="s">
        <v>29</v>
      </c>
      <c r="B982" t="s">
        <v>18</v>
      </c>
      <c r="C982">
        <v>135000</v>
      </c>
      <c r="D982" t="s">
        <v>19</v>
      </c>
      <c r="E982" t="s">
        <v>20</v>
      </c>
      <c r="F982" t="s">
        <v>54</v>
      </c>
      <c r="G982" t="s">
        <v>73</v>
      </c>
      <c r="H982" t="s">
        <v>65</v>
      </c>
      <c r="I982" t="s">
        <v>24</v>
      </c>
      <c r="J982">
        <v>21060</v>
      </c>
      <c r="K982">
        <v>0</v>
      </c>
      <c r="L982" t="s">
        <v>42</v>
      </c>
      <c r="M982" t="s">
        <v>26</v>
      </c>
      <c r="N982" t="s">
        <v>27</v>
      </c>
      <c r="O982" t="s">
        <v>35</v>
      </c>
      <c r="P982" t="s">
        <v>26</v>
      </c>
      <c r="Q982">
        <v>0</v>
      </c>
    </row>
    <row r="983" spans="1:17" x14ac:dyDescent="0.25">
      <c r="A983" t="s">
        <v>29</v>
      </c>
      <c r="B983" t="s">
        <v>18</v>
      </c>
      <c r="C983">
        <v>135000</v>
      </c>
      <c r="D983" t="s">
        <v>19</v>
      </c>
      <c r="E983" t="s">
        <v>20</v>
      </c>
      <c r="F983" t="s">
        <v>54</v>
      </c>
      <c r="G983" t="s">
        <v>73</v>
      </c>
      <c r="H983" t="s">
        <v>65</v>
      </c>
      <c r="I983" t="s">
        <v>24</v>
      </c>
      <c r="J983">
        <v>35635.5</v>
      </c>
      <c r="K983">
        <v>3600</v>
      </c>
      <c r="L983" t="s">
        <v>42</v>
      </c>
      <c r="M983" t="s">
        <v>26</v>
      </c>
      <c r="N983" t="s">
        <v>27</v>
      </c>
      <c r="O983" t="s">
        <v>35</v>
      </c>
      <c r="P983" t="s">
        <v>26</v>
      </c>
      <c r="Q983">
        <v>0</v>
      </c>
    </row>
    <row r="984" spans="1:17" x14ac:dyDescent="0.25">
      <c r="A984" t="s">
        <v>29</v>
      </c>
      <c r="B984" t="s">
        <v>18</v>
      </c>
      <c r="C984">
        <v>126000</v>
      </c>
      <c r="D984" t="s">
        <v>30</v>
      </c>
      <c r="E984" t="s">
        <v>20</v>
      </c>
      <c r="F984" t="s">
        <v>32</v>
      </c>
      <c r="G984" t="s">
        <v>22</v>
      </c>
      <c r="H984" t="s">
        <v>99</v>
      </c>
      <c r="I984" t="s">
        <v>24</v>
      </c>
      <c r="J984">
        <v>22995</v>
      </c>
      <c r="K984">
        <v>2299.5</v>
      </c>
      <c r="L984" t="s">
        <v>38</v>
      </c>
      <c r="M984" t="s">
        <v>26</v>
      </c>
      <c r="N984" t="s">
        <v>27</v>
      </c>
      <c r="O984" t="s">
        <v>35</v>
      </c>
      <c r="P984" t="s">
        <v>26</v>
      </c>
      <c r="Q984">
        <v>0</v>
      </c>
    </row>
    <row r="985" spans="1:17" x14ac:dyDescent="0.25">
      <c r="A985" t="s">
        <v>29</v>
      </c>
      <c r="B985" t="s">
        <v>18</v>
      </c>
      <c r="C985">
        <v>126000</v>
      </c>
      <c r="D985" t="s">
        <v>30</v>
      </c>
      <c r="E985" t="s">
        <v>20</v>
      </c>
      <c r="F985" t="s">
        <v>32</v>
      </c>
      <c r="G985" t="s">
        <v>22</v>
      </c>
      <c r="H985" t="s">
        <v>99</v>
      </c>
      <c r="I985" t="s">
        <v>24</v>
      </c>
      <c r="J985">
        <v>61506</v>
      </c>
      <c r="K985">
        <v>0</v>
      </c>
      <c r="L985" t="s">
        <v>34</v>
      </c>
      <c r="M985" t="s">
        <v>26</v>
      </c>
      <c r="N985" t="s">
        <v>27</v>
      </c>
      <c r="O985" t="s">
        <v>35</v>
      </c>
      <c r="P985" t="s">
        <v>26</v>
      </c>
      <c r="Q985">
        <v>0</v>
      </c>
    </row>
    <row r="986" spans="1:17" x14ac:dyDescent="0.25">
      <c r="A986" t="s">
        <v>17</v>
      </c>
      <c r="B986" t="s">
        <v>36</v>
      </c>
      <c r="C986">
        <v>112500</v>
      </c>
      <c r="D986" t="s">
        <v>46</v>
      </c>
      <c r="E986" t="s">
        <v>31</v>
      </c>
      <c r="F986" t="s">
        <v>32</v>
      </c>
      <c r="G986" t="s">
        <v>22</v>
      </c>
      <c r="H986" t="s">
        <v>28</v>
      </c>
      <c r="I986" t="s">
        <v>24</v>
      </c>
      <c r="J986">
        <v>99463.5</v>
      </c>
      <c r="K986">
        <v>9949.5</v>
      </c>
      <c r="L986" t="s">
        <v>42</v>
      </c>
      <c r="M986" t="s">
        <v>26</v>
      </c>
      <c r="N986" t="s">
        <v>27</v>
      </c>
      <c r="O986" t="s">
        <v>35</v>
      </c>
      <c r="P986" t="s">
        <v>26</v>
      </c>
      <c r="Q986">
        <v>0</v>
      </c>
    </row>
    <row r="987" spans="1:17" x14ac:dyDescent="0.25">
      <c r="A987" t="s">
        <v>29</v>
      </c>
      <c r="B987" t="s">
        <v>18</v>
      </c>
      <c r="C987">
        <v>157500</v>
      </c>
      <c r="D987" t="s">
        <v>46</v>
      </c>
      <c r="E987" t="s">
        <v>20</v>
      </c>
      <c r="F987" t="s">
        <v>32</v>
      </c>
      <c r="G987" t="s">
        <v>22</v>
      </c>
      <c r="H987" t="s">
        <v>28</v>
      </c>
      <c r="I987" t="s">
        <v>24</v>
      </c>
      <c r="J987">
        <v>97649.774999999994</v>
      </c>
      <c r="K987">
        <v>4.2750000000000004</v>
      </c>
      <c r="L987" t="s">
        <v>51</v>
      </c>
      <c r="M987" t="s">
        <v>26</v>
      </c>
      <c r="N987" t="s">
        <v>27</v>
      </c>
      <c r="O987" t="s">
        <v>35</v>
      </c>
      <c r="P987" t="s">
        <v>26</v>
      </c>
      <c r="Q987">
        <v>0</v>
      </c>
    </row>
    <row r="988" spans="1:17" x14ac:dyDescent="0.25">
      <c r="A988" t="s">
        <v>17</v>
      </c>
      <c r="B988" t="s">
        <v>18</v>
      </c>
      <c r="C988">
        <v>225000</v>
      </c>
      <c r="D988" t="s">
        <v>19</v>
      </c>
      <c r="E988" t="s">
        <v>20</v>
      </c>
      <c r="F988" t="s">
        <v>32</v>
      </c>
      <c r="G988" t="s">
        <v>22</v>
      </c>
      <c r="H988" t="s">
        <v>49</v>
      </c>
      <c r="I988" t="s">
        <v>24</v>
      </c>
      <c r="J988">
        <v>62955</v>
      </c>
      <c r="K988">
        <v>0</v>
      </c>
      <c r="L988" t="s">
        <v>38</v>
      </c>
      <c r="M988" t="s">
        <v>26</v>
      </c>
      <c r="N988" t="s">
        <v>27</v>
      </c>
      <c r="O988" t="s">
        <v>35</v>
      </c>
      <c r="P988" t="s">
        <v>26</v>
      </c>
      <c r="Q988">
        <v>0</v>
      </c>
    </row>
    <row r="989" spans="1:17" x14ac:dyDescent="0.25">
      <c r="A989" t="s">
        <v>17</v>
      </c>
      <c r="B989" t="s">
        <v>18</v>
      </c>
      <c r="C989">
        <v>225000</v>
      </c>
      <c r="D989" t="s">
        <v>19</v>
      </c>
      <c r="E989" t="s">
        <v>20</v>
      </c>
      <c r="F989" t="s">
        <v>32</v>
      </c>
      <c r="G989" t="s">
        <v>22</v>
      </c>
      <c r="H989" t="s">
        <v>49</v>
      </c>
      <c r="I989" t="s">
        <v>24</v>
      </c>
      <c r="J989">
        <v>62055</v>
      </c>
      <c r="K989">
        <v>6205.5</v>
      </c>
      <c r="L989" t="s">
        <v>25</v>
      </c>
      <c r="M989" t="s">
        <v>26</v>
      </c>
      <c r="N989" t="s">
        <v>27</v>
      </c>
      <c r="O989" t="s">
        <v>35</v>
      </c>
      <c r="P989" t="s">
        <v>26</v>
      </c>
      <c r="Q989">
        <v>0</v>
      </c>
    </row>
    <row r="990" spans="1:17" x14ac:dyDescent="0.25">
      <c r="A990" t="s">
        <v>17</v>
      </c>
      <c r="B990" t="s">
        <v>18</v>
      </c>
      <c r="C990">
        <v>225000</v>
      </c>
      <c r="D990" t="s">
        <v>19</v>
      </c>
      <c r="E990" t="s">
        <v>20</v>
      </c>
      <c r="F990" t="s">
        <v>32</v>
      </c>
      <c r="G990" t="s">
        <v>22</v>
      </c>
      <c r="H990" t="s">
        <v>49</v>
      </c>
      <c r="I990" t="s">
        <v>24</v>
      </c>
      <c r="J990">
        <v>53955</v>
      </c>
      <c r="K990">
        <v>13500</v>
      </c>
      <c r="L990" t="s">
        <v>25</v>
      </c>
      <c r="M990" t="s">
        <v>26</v>
      </c>
      <c r="N990" t="s">
        <v>27</v>
      </c>
      <c r="O990" t="s">
        <v>35</v>
      </c>
      <c r="P990" t="s">
        <v>26</v>
      </c>
      <c r="Q990">
        <v>0</v>
      </c>
    </row>
    <row r="991" spans="1:17" x14ac:dyDescent="0.25">
      <c r="A991" t="s">
        <v>17</v>
      </c>
      <c r="B991" t="s">
        <v>18</v>
      </c>
      <c r="C991">
        <v>157500</v>
      </c>
      <c r="D991" t="s">
        <v>19</v>
      </c>
      <c r="E991" t="s">
        <v>20</v>
      </c>
      <c r="F991" t="s">
        <v>39</v>
      </c>
      <c r="G991" t="s">
        <v>22</v>
      </c>
      <c r="H991" t="s">
        <v>49</v>
      </c>
      <c r="I991" t="s">
        <v>24</v>
      </c>
      <c r="J991">
        <v>53955</v>
      </c>
      <c r="K991">
        <v>6750</v>
      </c>
      <c r="L991" t="s">
        <v>38</v>
      </c>
      <c r="M991" t="s">
        <v>26</v>
      </c>
      <c r="N991" t="s">
        <v>27</v>
      </c>
      <c r="O991" t="s">
        <v>35</v>
      </c>
      <c r="P991" t="s">
        <v>26</v>
      </c>
      <c r="Q991">
        <v>0</v>
      </c>
    </row>
    <row r="992" spans="1:17" x14ac:dyDescent="0.25">
      <c r="A992" t="s">
        <v>29</v>
      </c>
      <c r="B992" t="s">
        <v>18</v>
      </c>
      <c r="C992">
        <v>180000</v>
      </c>
      <c r="D992" t="s">
        <v>19</v>
      </c>
      <c r="E992" t="s">
        <v>20</v>
      </c>
      <c r="F992" t="s">
        <v>21</v>
      </c>
      <c r="G992" t="s">
        <v>22</v>
      </c>
      <c r="H992" t="s">
        <v>23</v>
      </c>
      <c r="I992" t="s">
        <v>24</v>
      </c>
      <c r="J992">
        <v>114057</v>
      </c>
      <c r="K992">
        <v>0</v>
      </c>
      <c r="L992" t="s">
        <v>43</v>
      </c>
      <c r="M992" t="s">
        <v>26</v>
      </c>
      <c r="N992" t="s">
        <v>27</v>
      </c>
      <c r="O992" t="s">
        <v>35</v>
      </c>
      <c r="P992" t="s">
        <v>26</v>
      </c>
      <c r="Q992">
        <v>0</v>
      </c>
    </row>
    <row r="993" spans="1:17" x14ac:dyDescent="0.25">
      <c r="A993" t="s">
        <v>29</v>
      </c>
      <c r="B993" t="s">
        <v>18</v>
      </c>
      <c r="C993">
        <v>180000</v>
      </c>
      <c r="D993" t="s">
        <v>19</v>
      </c>
      <c r="E993" t="s">
        <v>20</v>
      </c>
      <c r="F993" t="s">
        <v>21</v>
      </c>
      <c r="G993" t="s">
        <v>22</v>
      </c>
      <c r="H993" t="s">
        <v>23</v>
      </c>
      <c r="I993" t="s">
        <v>24</v>
      </c>
      <c r="J993">
        <v>83088</v>
      </c>
      <c r="K993">
        <v>0</v>
      </c>
      <c r="L993" t="s">
        <v>51</v>
      </c>
      <c r="M993" t="s">
        <v>26</v>
      </c>
      <c r="N993" t="s">
        <v>27</v>
      </c>
      <c r="O993" t="s">
        <v>35</v>
      </c>
      <c r="P993" t="s">
        <v>26</v>
      </c>
      <c r="Q993">
        <v>0</v>
      </c>
    </row>
    <row r="994" spans="1:17" x14ac:dyDescent="0.25">
      <c r="A994" t="s">
        <v>17</v>
      </c>
      <c r="B994" t="s">
        <v>18</v>
      </c>
      <c r="C994">
        <v>225000</v>
      </c>
      <c r="D994" t="s">
        <v>44</v>
      </c>
      <c r="E994" t="s">
        <v>31</v>
      </c>
      <c r="F994" t="s">
        <v>32</v>
      </c>
      <c r="G994" t="s">
        <v>22</v>
      </c>
      <c r="H994" t="s">
        <v>23</v>
      </c>
      <c r="I994" t="s">
        <v>24</v>
      </c>
      <c r="J994">
        <v>134955</v>
      </c>
      <c r="K994">
        <v>0</v>
      </c>
      <c r="L994" t="s">
        <v>51</v>
      </c>
      <c r="M994" t="s">
        <v>26</v>
      </c>
      <c r="N994" t="s">
        <v>27</v>
      </c>
      <c r="O994" t="s">
        <v>35</v>
      </c>
      <c r="P994" t="s">
        <v>26</v>
      </c>
      <c r="Q994">
        <v>0</v>
      </c>
    </row>
    <row r="995" spans="1:17" x14ac:dyDescent="0.25">
      <c r="A995" t="s">
        <v>29</v>
      </c>
      <c r="B995" t="s">
        <v>18</v>
      </c>
      <c r="C995">
        <v>112500</v>
      </c>
      <c r="D995" t="s">
        <v>19</v>
      </c>
      <c r="E995" t="s">
        <v>20</v>
      </c>
      <c r="F995" t="s">
        <v>32</v>
      </c>
      <c r="G995" t="s">
        <v>22</v>
      </c>
      <c r="H995" t="s">
        <v>49</v>
      </c>
      <c r="I995" t="s">
        <v>24</v>
      </c>
      <c r="J995">
        <v>75429</v>
      </c>
      <c r="K995">
        <v>0</v>
      </c>
      <c r="L995" t="s">
        <v>42</v>
      </c>
      <c r="M995" t="s">
        <v>26</v>
      </c>
      <c r="N995" t="s">
        <v>27</v>
      </c>
      <c r="O995" t="s">
        <v>35</v>
      </c>
      <c r="P995" t="s">
        <v>26</v>
      </c>
      <c r="Q995">
        <v>0</v>
      </c>
    </row>
    <row r="996" spans="1:17" x14ac:dyDescent="0.25">
      <c r="A996" t="s">
        <v>29</v>
      </c>
      <c r="B996" t="s">
        <v>18</v>
      </c>
      <c r="C996">
        <v>225000</v>
      </c>
      <c r="D996" t="s">
        <v>46</v>
      </c>
      <c r="E996" t="s">
        <v>20</v>
      </c>
      <c r="F996" t="s">
        <v>32</v>
      </c>
      <c r="G996" t="s">
        <v>22</v>
      </c>
      <c r="H996" t="s">
        <v>28</v>
      </c>
      <c r="I996" t="s">
        <v>24</v>
      </c>
      <c r="J996">
        <v>174073.5</v>
      </c>
      <c r="K996">
        <v>17410.5</v>
      </c>
      <c r="L996" t="s">
        <v>42</v>
      </c>
      <c r="M996" t="s">
        <v>26</v>
      </c>
      <c r="N996" t="s">
        <v>27</v>
      </c>
      <c r="O996" t="s">
        <v>35</v>
      </c>
      <c r="P996" t="s">
        <v>26</v>
      </c>
      <c r="Q996">
        <v>0</v>
      </c>
    </row>
    <row r="997" spans="1:17" x14ac:dyDescent="0.25">
      <c r="A997" t="s">
        <v>29</v>
      </c>
      <c r="B997" t="s">
        <v>18</v>
      </c>
      <c r="C997">
        <v>225000</v>
      </c>
      <c r="D997" t="s">
        <v>46</v>
      </c>
      <c r="E997" t="s">
        <v>20</v>
      </c>
      <c r="F997" t="s">
        <v>32</v>
      </c>
      <c r="G997" t="s">
        <v>22</v>
      </c>
      <c r="H997" t="s">
        <v>28</v>
      </c>
      <c r="I997" t="s">
        <v>24</v>
      </c>
      <c r="J997">
        <v>201645</v>
      </c>
      <c r="K997">
        <v>40329</v>
      </c>
      <c r="L997" t="s">
        <v>51</v>
      </c>
      <c r="M997" t="s">
        <v>26</v>
      </c>
      <c r="N997" t="s">
        <v>27</v>
      </c>
      <c r="O997" t="s">
        <v>35</v>
      </c>
      <c r="P997" t="s">
        <v>26</v>
      </c>
      <c r="Q997">
        <v>0</v>
      </c>
    </row>
    <row r="998" spans="1:17" x14ac:dyDescent="0.25">
      <c r="A998" t="s">
        <v>29</v>
      </c>
      <c r="B998" t="s">
        <v>18</v>
      </c>
      <c r="C998">
        <v>117000</v>
      </c>
      <c r="D998" t="s">
        <v>19</v>
      </c>
      <c r="E998" t="s">
        <v>31</v>
      </c>
      <c r="F998" t="s">
        <v>21</v>
      </c>
      <c r="G998" t="s">
        <v>22</v>
      </c>
      <c r="H998" t="s">
        <v>81</v>
      </c>
      <c r="I998" t="s">
        <v>24</v>
      </c>
      <c r="J998">
        <v>83151</v>
      </c>
      <c r="K998">
        <v>0</v>
      </c>
      <c r="L998" t="s">
        <v>45</v>
      </c>
      <c r="M998" t="s">
        <v>26</v>
      </c>
      <c r="N998" t="s">
        <v>76</v>
      </c>
      <c r="O998" t="s">
        <v>35</v>
      </c>
      <c r="P998" t="s">
        <v>77</v>
      </c>
      <c r="Q998">
        <v>0</v>
      </c>
    </row>
    <row r="999" spans="1:17" x14ac:dyDescent="0.25">
      <c r="A999" t="s">
        <v>29</v>
      </c>
      <c r="B999" t="s">
        <v>18</v>
      </c>
      <c r="C999">
        <v>117000</v>
      </c>
      <c r="D999" t="s">
        <v>19</v>
      </c>
      <c r="E999" t="s">
        <v>31</v>
      </c>
      <c r="F999" t="s">
        <v>21</v>
      </c>
      <c r="G999" t="s">
        <v>22</v>
      </c>
      <c r="H999" t="s">
        <v>81</v>
      </c>
      <c r="I999" t="s">
        <v>24</v>
      </c>
      <c r="J999">
        <v>294300</v>
      </c>
      <c r="K999">
        <v>58860</v>
      </c>
      <c r="L999" t="s">
        <v>34</v>
      </c>
      <c r="M999" t="s">
        <v>26</v>
      </c>
      <c r="N999" t="s">
        <v>27</v>
      </c>
      <c r="O999" t="s">
        <v>35</v>
      </c>
      <c r="P999" t="s">
        <v>26</v>
      </c>
      <c r="Q999">
        <v>0</v>
      </c>
    </row>
    <row r="1000" spans="1:17" x14ac:dyDescent="0.25">
      <c r="A1000" t="s">
        <v>29</v>
      </c>
      <c r="B1000" t="s">
        <v>18</v>
      </c>
      <c r="C1000">
        <v>153000</v>
      </c>
      <c r="D1000" t="s">
        <v>44</v>
      </c>
      <c r="E1000" t="s">
        <v>20</v>
      </c>
      <c r="F1000" t="s">
        <v>32</v>
      </c>
      <c r="G1000" t="s">
        <v>22</v>
      </c>
      <c r="H1000" t="s">
        <v>23</v>
      </c>
      <c r="I1000" t="s">
        <v>24</v>
      </c>
      <c r="J1000">
        <v>52645.5</v>
      </c>
      <c r="K1000">
        <v>0</v>
      </c>
      <c r="L1000" t="s">
        <v>45</v>
      </c>
      <c r="M1000" t="s">
        <v>26</v>
      </c>
      <c r="N1000" t="s">
        <v>27</v>
      </c>
      <c r="O1000" t="s">
        <v>35</v>
      </c>
      <c r="P1000" t="s">
        <v>26</v>
      </c>
      <c r="Q1000">
        <v>0</v>
      </c>
    </row>
    <row r="1001" spans="1:17" x14ac:dyDescent="0.25">
      <c r="A1001" t="s">
        <v>29</v>
      </c>
      <c r="B1001" t="s">
        <v>18</v>
      </c>
      <c r="C1001">
        <v>90000</v>
      </c>
      <c r="D1001" t="s">
        <v>46</v>
      </c>
      <c r="E1001" t="s">
        <v>20</v>
      </c>
      <c r="F1001" t="s">
        <v>32</v>
      </c>
      <c r="G1001" t="s">
        <v>22</v>
      </c>
      <c r="H1001" t="s">
        <v>28</v>
      </c>
      <c r="I1001" t="s">
        <v>24</v>
      </c>
      <c r="J1001">
        <v>106717.5</v>
      </c>
      <c r="K1001">
        <v>0</v>
      </c>
      <c r="L1001" t="s">
        <v>38</v>
      </c>
      <c r="M1001" t="s">
        <v>26</v>
      </c>
      <c r="N1001" t="s">
        <v>27</v>
      </c>
      <c r="O1001" t="s">
        <v>35</v>
      </c>
      <c r="P1001" t="s">
        <v>26</v>
      </c>
      <c r="Q1001">
        <v>0</v>
      </c>
    </row>
    <row r="1002" spans="1:17" x14ac:dyDescent="0.25">
      <c r="A1002" t="s">
        <v>29</v>
      </c>
      <c r="B1002" t="s">
        <v>36</v>
      </c>
      <c r="C1002">
        <v>67500</v>
      </c>
      <c r="D1002" t="s">
        <v>44</v>
      </c>
      <c r="E1002" t="s">
        <v>31</v>
      </c>
      <c r="F1002" t="s">
        <v>32</v>
      </c>
      <c r="G1002" t="s">
        <v>22</v>
      </c>
      <c r="H1002" t="s">
        <v>93</v>
      </c>
      <c r="I1002" t="s">
        <v>24</v>
      </c>
      <c r="J1002">
        <v>88726.5</v>
      </c>
      <c r="K1002">
        <v>0</v>
      </c>
      <c r="L1002" t="s">
        <v>43</v>
      </c>
      <c r="M1002" t="s">
        <v>26</v>
      </c>
      <c r="N1002" t="s">
        <v>58</v>
      </c>
      <c r="O1002" t="s">
        <v>35</v>
      </c>
      <c r="P1002" t="s">
        <v>28</v>
      </c>
      <c r="Q1002">
        <v>1</v>
      </c>
    </row>
    <row r="1003" spans="1:17" x14ac:dyDescent="0.25">
      <c r="A1003" t="s">
        <v>29</v>
      </c>
      <c r="B1003" t="s">
        <v>36</v>
      </c>
      <c r="C1003">
        <v>67500</v>
      </c>
      <c r="D1003" t="s">
        <v>44</v>
      </c>
      <c r="E1003" t="s">
        <v>31</v>
      </c>
      <c r="F1003" t="s">
        <v>32</v>
      </c>
      <c r="G1003" t="s">
        <v>22</v>
      </c>
      <c r="H1003" t="s">
        <v>93</v>
      </c>
      <c r="I1003" t="s">
        <v>24</v>
      </c>
      <c r="J1003">
        <v>75600</v>
      </c>
      <c r="K1003">
        <v>22500</v>
      </c>
      <c r="L1003" t="s">
        <v>25</v>
      </c>
      <c r="M1003" t="s">
        <v>26</v>
      </c>
      <c r="N1003" t="s">
        <v>27</v>
      </c>
      <c r="O1003" t="s">
        <v>35</v>
      </c>
      <c r="P1003" t="s">
        <v>26</v>
      </c>
      <c r="Q1003">
        <v>0</v>
      </c>
    </row>
    <row r="1004" spans="1:17" x14ac:dyDescent="0.25">
      <c r="A1004" t="s">
        <v>29</v>
      </c>
      <c r="B1004" t="s">
        <v>36</v>
      </c>
      <c r="C1004">
        <v>67500</v>
      </c>
      <c r="D1004" t="s">
        <v>44</v>
      </c>
      <c r="E1004" t="s">
        <v>31</v>
      </c>
      <c r="F1004" t="s">
        <v>32</v>
      </c>
      <c r="G1004" t="s">
        <v>22</v>
      </c>
      <c r="H1004" t="s">
        <v>93</v>
      </c>
      <c r="I1004" t="s">
        <v>24</v>
      </c>
      <c r="J1004">
        <v>21645</v>
      </c>
      <c r="K1004">
        <v>0</v>
      </c>
      <c r="L1004" t="s">
        <v>38</v>
      </c>
      <c r="M1004" t="s">
        <v>26</v>
      </c>
      <c r="N1004" t="s">
        <v>58</v>
      </c>
      <c r="O1004" t="s">
        <v>35</v>
      </c>
      <c r="P1004" t="s">
        <v>28</v>
      </c>
      <c r="Q1004">
        <v>1</v>
      </c>
    </row>
    <row r="1005" spans="1:17" x14ac:dyDescent="0.25">
      <c r="A1005" t="s">
        <v>29</v>
      </c>
      <c r="B1005" t="s">
        <v>36</v>
      </c>
      <c r="C1005">
        <v>67500</v>
      </c>
      <c r="D1005" t="s">
        <v>44</v>
      </c>
      <c r="E1005" t="s">
        <v>31</v>
      </c>
      <c r="F1005" t="s">
        <v>32</v>
      </c>
      <c r="G1005" t="s">
        <v>22</v>
      </c>
      <c r="H1005" t="s">
        <v>93</v>
      </c>
      <c r="I1005" t="s">
        <v>24</v>
      </c>
      <c r="J1005">
        <v>80955</v>
      </c>
      <c r="K1005">
        <v>9000</v>
      </c>
      <c r="L1005" t="s">
        <v>51</v>
      </c>
      <c r="M1005" t="s">
        <v>26</v>
      </c>
      <c r="N1005" t="s">
        <v>27</v>
      </c>
      <c r="O1005" t="s">
        <v>35</v>
      </c>
      <c r="P1005" t="s">
        <v>26</v>
      </c>
      <c r="Q1005">
        <v>0</v>
      </c>
    </row>
    <row r="1006" spans="1:17" x14ac:dyDescent="0.25">
      <c r="A1006" t="s">
        <v>29</v>
      </c>
      <c r="B1006" t="s">
        <v>18</v>
      </c>
      <c r="C1006">
        <v>90000</v>
      </c>
      <c r="D1006" t="s">
        <v>44</v>
      </c>
      <c r="E1006" t="s">
        <v>20</v>
      </c>
      <c r="F1006" t="s">
        <v>32</v>
      </c>
      <c r="G1006" t="s">
        <v>22</v>
      </c>
      <c r="H1006" t="s">
        <v>56</v>
      </c>
      <c r="I1006" t="s">
        <v>24</v>
      </c>
      <c r="J1006">
        <v>66591</v>
      </c>
      <c r="K1006">
        <v>6660</v>
      </c>
      <c r="L1006" t="s">
        <v>34</v>
      </c>
      <c r="M1006" t="s">
        <v>26</v>
      </c>
      <c r="N1006" t="s">
        <v>27</v>
      </c>
      <c r="O1006" t="s">
        <v>35</v>
      </c>
      <c r="P1006" t="s">
        <v>26</v>
      </c>
      <c r="Q1006">
        <v>0</v>
      </c>
    </row>
    <row r="1007" spans="1:17" x14ac:dyDescent="0.25">
      <c r="A1007" t="s">
        <v>29</v>
      </c>
      <c r="B1007" t="s">
        <v>18</v>
      </c>
      <c r="C1007">
        <v>121500</v>
      </c>
      <c r="D1007" t="s">
        <v>19</v>
      </c>
      <c r="E1007" t="s">
        <v>20</v>
      </c>
      <c r="F1007" t="s">
        <v>39</v>
      </c>
      <c r="G1007" t="s">
        <v>22</v>
      </c>
      <c r="H1007" t="s">
        <v>68</v>
      </c>
      <c r="I1007" t="s">
        <v>24</v>
      </c>
      <c r="J1007">
        <v>33975</v>
      </c>
      <c r="K1007">
        <v>3397.5</v>
      </c>
      <c r="L1007" t="s">
        <v>45</v>
      </c>
      <c r="M1007" t="s">
        <v>26</v>
      </c>
      <c r="N1007" t="s">
        <v>27</v>
      </c>
      <c r="O1007" t="s">
        <v>35</v>
      </c>
      <c r="P1007" t="s">
        <v>26</v>
      </c>
      <c r="Q1007">
        <v>0</v>
      </c>
    </row>
    <row r="1008" spans="1:17" x14ac:dyDescent="0.25">
      <c r="A1008" t="s">
        <v>29</v>
      </c>
      <c r="B1008" t="s">
        <v>18</v>
      </c>
      <c r="C1008">
        <v>121500</v>
      </c>
      <c r="D1008" t="s">
        <v>19</v>
      </c>
      <c r="E1008" t="s">
        <v>20</v>
      </c>
      <c r="F1008" t="s">
        <v>39</v>
      </c>
      <c r="G1008" t="s">
        <v>22</v>
      </c>
      <c r="H1008" t="s">
        <v>68</v>
      </c>
      <c r="I1008" t="s">
        <v>24</v>
      </c>
      <c r="J1008">
        <v>99675</v>
      </c>
      <c r="K1008">
        <v>0</v>
      </c>
      <c r="L1008" t="s">
        <v>42</v>
      </c>
      <c r="M1008" t="s">
        <v>26</v>
      </c>
      <c r="N1008" t="s">
        <v>27</v>
      </c>
      <c r="O1008" t="s">
        <v>35</v>
      </c>
      <c r="P1008" t="s">
        <v>26</v>
      </c>
      <c r="Q1008">
        <v>0</v>
      </c>
    </row>
    <row r="1009" spans="1:17" x14ac:dyDescent="0.25">
      <c r="A1009" t="s">
        <v>29</v>
      </c>
      <c r="B1009" t="s">
        <v>18</v>
      </c>
      <c r="C1009">
        <v>121500</v>
      </c>
      <c r="D1009" t="s">
        <v>19</v>
      </c>
      <c r="E1009" t="s">
        <v>20</v>
      </c>
      <c r="F1009" t="s">
        <v>39</v>
      </c>
      <c r="G1009" t="s">
        <v>22</v>
      </c>
      <c r="H1009" t="s">
        <v>68</v>
      </c>
      <c r="I1009" t="s">
        <v>24</v>
      </c>
      <c r="J1009">
        <v>28120.5</v>
      </c>
      <c r="K1009">
        <v>2812.5</v>
      </c>
      <c r="L1009" t="s">
        <v>51</v>
      </c>
      <c r="M1009" t="s">
        <v>26</v>
      </c>
      <c r="N1009" t="s">
        <v>27</v>
      </c>
      <c r="O1009" t="s">
        <v>35</v>
      </c>
      <c r="P1009" t="s">
        <v>26</v>
      </c>
      <c r="Q1009">
        <v>0</v>
      </c>
    </row>
    <row r="1010" spans="1:17" x14ac:dyDescent="0.25">
      <c r="A1010" t="s">
        <v>17</v>
      </c>
      <c r="B1010" t="s">
        <v>18</v>
      </c>
      <c r="C1010">
        <v>202500</v>
      </c>
      <c r="D1010" t="s">
        <v>19</v>
      </c>
      <c r="E1010" t="s">
        <v>70</v>
      </c>
      <c r="F1010" t="s">
        <v>32</v>
      </c>
      <c r="G1010" t="s">
        <v>52</v>
      </c>
      <c r="H1010" t="s">
        <v>65</v>
      </c>
      <c r="I1010" t="s">
        <v>24</v>
      </c>
      <c r="J1010">
        <v>23044.5</v>
      </c>
      <c r="K1010">
        <v>0</v>
      </c>
      <c r="L1010" t="s">
        <v>34</v>
      </c>
      <c r="M1010" t="s">
        <v>26</v>
      </c>
      <c r="N1010" t="s">
        <v>27</v>
      </c>
      <c r="O1010" t="s">
        <v>35</v>
      </c>
      <c r="P1010" t="s">
        <v>26</v>
      </c>
      <c r="Q1010">
        <v>0</v>
      </c>
    </row>
    <row r="1011" spans="1:17" x14ac:dyDescent="0.25">
      <c r="A1011" t="s">
        <v>17</v>
      </c>
      <c r="B1011" t="s">
        <v>36</v>
      </c>
      <c r="C1011">
        <v>337500</v>
      </c>
      <c r="D1011" t="s">
        <v>44</v>
      </c>
      <c r="E1011" t="s">
        <v>31</v>
      </c>
      <c r="F1011" t="s">
        <v>21</v>
      </c>
      <c r="G1011" t="s">
        <v>95</v>
      </c>
      <c r="H1011" t="s">
        <v>53</v>
      </c>
      <c r="I1011" t="s">
        <v>24</v>
      </c>
      <c r="J1011">
        <v>53325</v>
      </c>
      <c r="K1011">
        <v>10665</v>
      </c>
      <c r="L1011" t="s">
        <v>45</v>
      </c>
      <c r="M1011" t="s">
        <v>26</v>
      </c>
      <c r="N1011" t="s">
        <v>27</v>
      </c>
      <c r="O1011" t="s">
        <v>35</v>
      </c>
      <c r="P1011" t="s">
        <v>26</v>
      </c>
      <c r="Q1011">
        <v>0</v>
      </c>
    </row>
    <row r="1012" spans="1:17" x14ac:dyDescent="0.25">
      <c r="A1012" t="s">
        <v>29</v>
      </c>
      <c r="B1012" t="s">
        <v>18</v>
      </c>
      <c r="C1012">
        <v>45000</v>
      </c>
      <c r="D1012" t="s">
        <v>44</v>
      </c>
      <c r="E1012" t="s">
        <v>20</v>
      </c>
      <c r="F1012" t="s">
        <v>32</v>
      </c>
      <c r="G1012" t="s">
        <v>22</v>
      </c>
      <c r="H1012" t="s">
        <v>56</v>
      </c>
      <c r="I1012" t="s">
        <v>24</v>
      </c>
      <c r="J1012">
        <v>67090.5</v>
      </c>
      <c r="K1012">
        <v>4500</v>
      </c>
      <c r="L1012" t="s">
        <v>43</v>
      </c>
      <c r="M1012" t="s">
        <v>26</v>
      </c>
      <c r="N1012" t="s">
        <v>27</v>
      </c>
      <c r="O1012" t="s">
        <v>28</v>
      </c>
      <c r="P1012" t="s">
        <v>26</v>
      </c>
      <c r="Q1012">
        <v>0</v>
      </c>
    </row>
    <row r="1013" spans="1:17" x14ac:dyDescent="0.25">
      <c r="A1013" t="s">
        <v>29</v>
      </c>
      <c r="B1013" t="s">
        <v>18</v>
      </c>
      <c r="C1013">
        <v>45000</v>
      </c>
      <c r="D1013" t="s">
        <v>44</v>
      </c>
      <c r="E1013" t="s">
        <v>20</v>
      </c>
      <c r="F1013" t="s">
        <v>32</v>
      </c>
      <c r="G1013" t="s">
        <v>22</v>
      </c>
      <c r="H1013" t="s">
        <v>56</v>
      </c>
      <c r="I1013" t="s">
        <v>24</v>
      </c>
      <c r="J1013">
        <v>210204</v>
      </c>
      <c r="K1013">
        <v>0</v>
      </c>
      <c r="L1013" t="s">
        <v>43</v>
      </c>
      <c r="M1013" t="s">
        <v>26</v>
      </c>
      <c r="N1013" t="s">
        <v>27</v>
      </c>
      <c r="O1013" t="s">
        <v>35</v>
      </c>
      <c r="P1013" t="s">
        <v>26</v>
      </c>
      <c r="Q1013">
        <v>0</v>
      </c>
    </row>
    <row r="1014" spans="1:17" x14ac:dyDescent="0.25">
      <c r="A1014" t="s">
        <v>29</v>
      </c>
      <c r="B1014" t="s">
        <v>18</v>
      </c>
      <c r="C1014">
        <v>81000</v>
      </c>
      <c r="D1014" t="s">
        <v>19</v>
      </c>
      <c r="E1014" t="s">
        <v>20</v>
      </c>
      <c r="F1014" t="s">
        <v>32</v>
      </c>
      <c r="G1014" t="s">
        <v>22</v>
      </c>
      <c r="H1014" t="s">
        <v>37</v>
      </c>
      <c r="I1014" t="s">
        <v>24</v>
      </c>
      <c r="J1014">
        <v>76495.5</v>
      </c>
      <c r="K1014">
        <v>7650</v>
      </c>
      <c r="L1014" t="s">
        <v>43</v>
      </c>
      <c r="M1014" t="s">
        <v>26</v>
      </c>
      <c r="N1014" t="s">
        <v>27</v>
      </c>
      <c r="O1014" t="s">
        <v>28</v>
      </c>
      <c r="P1014" t="s">
        <v>26</v>
      </c>
      <c r="Q1014">
        <v>0</v>
      </c>
    </row>
    <row r="1015" spans="1:17" x14ac:dyDescent="0.25">
      <c r="A1015" t="s">
        <v>17</v>
      </c>
      <c r="B1015" t="s">
        <v>36</v>
      </c>
      <c r="C1015">
        <v>247500</v>
      </c>
      <c r="D1015" t="s">
        <v>19</v>
      </c>
      <c r="E1015" t="s">
        <v>20</v>
      </c>
      <c r="F1015" t="s">
        <v>32</v>
      </c>
      <c r="G1015" t="s">
        <v>87</v>
      </c>
      <c r="H1015" t="s">
        <v>96</v>
      </c>
      <c r="I1015" t="s">
        <v>24</v>
      </c>
      <c r="J1015">
        <v>152073</v>
      </c>
      <c r="K1015">
        <v>14850</v>
      </c>
      <c r="L1015" t="s">
        <v>25</v>
      </c>
      <c r="M1015" t="s">
        <v>26</v>
      </c>
      <c r="N1015" t="s">
        <v>27</v>
      </c>
      <c r="O1015" t="s">
        <v>28</v>
      </c>
      <c r="P1015" t="s">
        <v>26</v>
      </c>
      <c r="Q1015">
        <v>0</v>
      </c>
    </row>
    <row r="1016" spans="1:17" x14ac:dyDescent="0.25">
      <c r="A1016" t="s">
        <v>17</v>
      </c>
      <c r="B1016" t="s">
        <v>36</v>
      </c>
      <c r="C1016">
        <v>247500</v>
      </c>
      <c r="D1016" t="s">
        <v>19</v>
      </c>
      <c r="E1016" t="s">
        <v>20</v>
      </c>
      <c r="F1016" t="s">
        <v>32</v>
      </c>
      <c r="G1016" t="s">
        <v>87</v>
      </c>
      <c r="H1016" t="s">
        <v>96</v>
      </c>
      <c r="I1016" t="s">
        <v>24</v>
      </c>
      <c r="J1016">
        <v>145660.5</v>
      </c>
      <c r="K1016">
        <v>14566.5</v>
      </c>
      <c r="L1016" t="s">
        <v>45</v>
      </c>
      <c r="M1016" t="s">
        <v>26</v>
      </c>
      <c r="N1016" t="s">
        <v>27</v>
      </c>
      <c r="O1016" t="s">
        <v>28</v>
      </c>
      <c r="P1016" t="s">
        <v>26</v>
      </c>
      <c r="Q1016">
        <v>0</v>
      </c>
    </row>
    <row r="1017" spans="1:17" x14ac:dyDescent="0.25">
      <c r="A1017" t="s">
        <v>17</v>
      </c>
      <c r="B1017" t="s">
        <v>18</v>
      </c>
      <c r="C1017">
        <v>180000</v>
      </c>
      <c r="D1017" t="s">
        <v>44</v>
      </c>
      <c r="E1017" t="s">
        <v>20</v>
      </c>
      <c r="F1017" t="s">
        <v>69</v>
      </c>
      <c r="G1017" t="s">
        <v>22</v>
      </c>
      <c r="H1017" t="s">
        <v>47</v>
      </c>
      <c r="I1017" t="s">
        <v>24</v>
      </c>
      <c r="J1017">
        <v>47927.7</v>
      </c>
      <c r="K1017">
        <v>4795.2</v>
      </c>
      <c r="L1017" t="s">
        <v>34</v>
      </c>
      <c r="M1017" t="s">
        <v>26</v>
      </c>
      <c r="N1017" t="s">
        <v>27</v>
      </c>
      <c r="O1017" t="s">
        <v>35</v>
      </c>
      <c r="P1017" t="s">
        <v>26</v>
      </c>
      <c r="Q1017">
        <v>0</v>
      </c>
    </row>
    <row r="1018" spans="1:17" x14ac:dyDescent="0.25">
      <c r="A1018" t="s">
        <v>17</v>
      </c>
      <c r="B1018" t="s">
        <v>18</v>
      </c>
      <c r="C1018">
        <v>67500</v>
      </c>
      <c r="D1018" t="s">
        <v>19</v>
      </c>
      <c r="E1018" t="s">
        <v>20</v>
      </c>
      <c r="F1018" t="s">
        <v>69</v>
      </c>
      <c r="G1018" t="s">
        <v>22</v>
      </c>
      <c r="H1018" t="s">
        <v>65</v>
      </c>
      <c r="I1018" t="s">
        <v>24</v>
      </c>
      <c r="J1018">
        <v>100743.3</v>
      </c>
      <c r="K1018">
        <v>1.8</v>
      </c>
      <c r="L1018" t="s">
        <v>43</v>
      </c>
      <c r="M1018" t="s">
        <v>26</v>
      </c>
      <c r="N1018" t="s">
        <v>27</v>
      </c>
      <c r="O1018" t="s">
        <v>28</v>
      </c>
      <c r="P1018" t="s">
        <v>26</v>
      </c>
      <c r="Q1018">
        <v>0</v>
      </c>
    </row>
    <row r="1019" spans="1:17" x14ac:dyDescent="0.25">
      <c r="A1019" t="s">
        <v>29</v>
      </c>
      <c r="B1019" t="s">
        <v>18</v>
      </c>
      <c r="C1019">
        <v>58500</v>
      </c>
      <c r="D1019" t="s">
        <v>46</v>
      </c>
      <c r="E1019" t="s">
        <v>20</v>
      </c>
      <c r="F1019" t="s">
        <v>54</v>
      </c>
      <c r="G1019" t="s">
        <v>22</v>
      </c>
      <c r="H1019" t="s">
        <v>28</v>
      </c>
      <c r="I1019" t="s">
        <v>66</v>
      </c>
      <c r="J1019">
        <v>45000</v>
      </c>
      <c r="K1019">
        <v>0</v>
      </c>
      <c r="L1019" t="s">
        <v>43</v>
      </c>
      <c r="M1019" t="s">
        <v>28</v>
      </c>
      <c r="N1019" t="s">
        <v>27</v>
      </c>
      <c r="O1019" t="s">
        <v>35</v>
      </c>
      <c r="P1019" t="s">
        <v>26</v>
      </c>
      <c r="Q1019">
        <v>0</v>
      </c>
    </row>
    <row r="1020" spans="1:17" x14ac:dyDescent="0.25">
      <c r="A1020" t="s">
        <v>17</v>
      </c>
      <c r="B1020" t="s">
        <v>36</v>
      </c>
      <c r="C1020">
        <v>112500</v>
      </c>
      <c r="D1020" t="s">
        <v>19</v>
      </c>
      <c r="E1020" t="s">
        <v>20</v>
      </c>
      <c r="F1020" t="s">
        <v>21</v>
      </c>
      <c r="G1020" t="s">
        <v>22</v>
      </c>
      <c r="H1020" t="s">
        <v>23</v>
      </c>
      <c r="I1020" t="s">
        <v>24</v>
      </c>
      <c r="J1020">
        <v>85045.5</v>
      </c>
      <c r="K1020">
        <v>8505</v>
      </c>
      <c r="L1020" t="s">
        <v>25</v>
      </c>
      <c r="M1020" t="s">
        <v>26</v>
      </c>
      <c r="N1020" t="s">
        <v>27</v>
      </c>
      <c r="O1020" t="s">
        <v>35</v>
      </c>
      <c r="P1020" t="s">
        <v>26</v>
      </c>
      <c r="Q1020">
        <v>0</v>
      </c>
    </row>
    <row r="1021" spans="1:17" x14ac:dyDescent="0.25">
      <c r="A1021" t="s">
        <v>17</v>
      </c>
      <c r="B1021" t="s">
        <v>36</v>
      </c>
      <c r="C1021">
        <v>112500</v>
      </c>
      <c r="D1021" t="s">
        <v>19</v>
      </c>
      <c r="E1021" t="s">
        <v>20</v>
      </c>
      <c r="F1021" t="s">
        <v>21</v>
      </c>
      <c r="G1021" t="s">
        <v>22</v>
      </c>
      <c r="H1021" t="s">
        <v>23</v>
      </c>
      <c r="I1021" t="s">
        <v>24</v>
      </c>
      <c r="J1021">
        <v>37552.5</v>
      </c>
      <c r="K1021">
        <v>4500</v>
      </c>
      <c r="L1021" t="s">
        <v>34</v>
      </c>
      <c r="M1021" t="s">
        <v>26</v>
      </c>
      <c r="N1021" t="s">
        <v>27</v>
      </c>
      <c r="O1021" t="s">
        <v>35</v>
      </c>
      <c r="P1021" t="s">
        <v>26</v>
      </c>
      <c r="Q1021">
        <v>0</v>
      </c>
    </row>
    <row r="1022" spans="1:17" x14ac:dyDescent="0.25">
      <c r="A1022" t="s">
        <v>17</v>
      </c>
      <c r="B1022" t="s">
        <v>36</v>
      </c>
      <c r="C1022">
        <v>157500</v>
      </c>
      <c r="D1022" t="s">
        <v>19</v>
      </c>
      <c r="E1022" t="s">
        <v>20</v>
      </c>
      <c r="F1022" t="s">
        <v>32</v>
      </c>
      <c r="G1022" t="s">
        <v>22</v>
      </c>
      <c r="H1022" t="s">
        <v>48</v>
      </c>
      <c r="I1022" t="s">
        <v>24</v>
      </c>
      <c r="J1022">
        <v>89995.5</v>
      </c>
      <c r="K1022">
        <v>0</v>
      </c>
      <c r="L1022" t="s">
        <v>38</v>
      </c>
      <c r="M1022" t="s">
        <v>26</v>
      </c>
      <c r="N1022" t="s">
        <v>27</v>
      </c>
      <c r="O1022" t="s">
        <v>35</v>
      </c>
      <c r="P1022" t="s">
        <v>26</v>
      </c>
      <c r="Q1022">
        <v>0</v>
      </c>
    </row>
    <row r="1023" spans="1:17" x14ac:dyDescent="0.25">
      <c r="A1023" t="s">
        <v>29</v>
      </c>
      <c r="B1023" t="s">
        <v>18</v>
      </c>
      <c r="C1023">
        <v>225000</v>
      </c>
      <c r="D1023" t="s">
        <v>30</v>
      </c>
      <c r="E1023" t="s">
        <v>20</v>
      </c>
      <c r="F1023" t="s">
        <v>69</v>
      </c>
      <c r="G1023" t="s">
        <v>22</v>
      </c>
      <c r="H1023" t="s">
        <v>68</v>
      </c>
      <c r="I1023" t="s">
        <v>24</v>
      </c>
      <c r="J1023">
        <v>58324.5</v>
      </c>
      <c r="K1023">
        <v>0</v>
      </c>
      <c r="L1023" t="s">
        <v>51</v>
      </c>
      <c r="M1023" t="s">
        <v>26</v>
      </c>
      <c r="N1023" t="s">
        <v>58</v>
      </c>
      <c r="O1023" t="s">
        <v>35</v>
      </c>
      <c r="P1023" t="s">
        <v>60</v>
      </c>
      <c r="Q1023">
        <v>1</v>
      </c>
    </row>
    <row r="1024" spans="1:17" x14ac:dyDescent="0.25">
      <c r="A1024" t="s">
        <v>29</v>
      </c>
      <c r="B1024" t="s">
        <v>18</v>
      </c>
      <c r="C1024">
        <v>225000</v>
      </c>
      <c r="D1024" t="s">
        <v>30</v>
      </c>
      <c r="E1024" t="s">
        <v>20</v>
      </c>
      <c r="F1024" t="s">
        <v>69</v>
      </c>
      <c r="G1024" t="s">
        <v>22</v>
      </c>
      <c r="H1024" t="s">
        <v>68</v>
      </c>
      <c r="I1024" t="s">
        <v>24</v>
      </c>
      <c r="J1024">
        <v>33255</v>
      </c>
      <c r="K1024">
        <v>3375</v>
      </c>
      <c r="L1024" t="s">
        <v>43</v>
      </c>
      <c r="M1024" t="s">
        <v>26</v>
      </c>
      <c r="N1024" t="s">
        <v>27</v>
      </c>
      <c r="O1024" t="s">
        <v>35</v>
      </c>
      <c r="P1024" t="s">
        <v>26</v>
      </c>
      <c r="Q1024">
        <v>0</v>
      </c>
    </row>
    <row r="1025" spans="1:17" x14ac:dyDescent="0.25">
      <c r="A1025" t="s">
        <v>29</v>
      </c>
      <c r="B1025" t="s">
        <v>18</v>
      </c>
      <c r="C1025">
        <v>225000</v>
      </c>
      <c r="D1025" t="s">
        <v>30</v>
      </c>
      <c r="E1025" t="s">
        <v>20</v>
      </c>
      <c r="F1025" t="s">
        <v>69</v>
      </c>
      <c r="G1025" t="s">
        <v>22</v>
      </c>
      <c r="H1025" t="s">
        <v>68</v>
      </c>
      <c r="I1025" t="s">
        <v>24</v>
      </c>
      <c r="J1025">
        <v>39019.5</v>
      </c>
      <c r="K1025">
        <v>3915</v>
      </c>
      <c r="L1025" t="s">
        <v>45</v>
      </c>
      <c r="M1025" t="s">
        <v>26</v>
      </c>
      <c r="N1025" t="s">
        <v>27</v>
      </c>
      <c r="O1025" t="s">
        <v>35</v>
      </c>
      <c r="P1025" t="s">
        <v>26</v>
      </c>
      <c r="Q1025">
        <v>0</v>
      </c>
    </row>
    <row r="1026" spans="1:17" x14ac:dyDescent="0.25">
      <c r="A1026" t="s">
        <v>17</v>
      </c>
      <c r="B1026" t="s">
        <v>36</v>
      </c>
      <c r="C1026">
        <v>67500</v>
      </c>
      <c r="D1026" t="s">
        <v>19</v>
      </c>
      <c r="E1026" t="s">
        <v>20</v>
      </c>
      <c r="F1026" t="s">
        <v>32</v>
      </c>
      <c r="G1026" t="s">
        <v>22</v>
      </c>
      <c r="H1026" t="s">
        <v>49</v>
      </c>
      <c r="I1026" t="s">
        <v>24</v>
      </c>
      <c r="J1026">
        <v>47965.5</v>
      </c>
      <c r="K1026">
        <v>0</v>
      </c>
      <c r="L1026" t="s">
        <v>38</v>
      </c>
      <c r="M1026" t="s">
        <v>26</v>
      </c>
      <c r="N1026" t="s">
        <v>27</v>
      </c>
      <c r="O1026" t="s">
        <v>35</v>
      </c>
      <c r="P1026" t="s">
        <v>26</v>
      </c>
      <c r="Q1026">
        <v>0</v>
      </c>
    </row>
    <row r="1027" spans="1:17" x14ac:dyDescent="0.25">
      <c r="A1027" t="s">
        <v>17</v>
      </c>
      <c r="B1027" t="s">
        <v>36</v>
      </c>
      <c r="C1027">
        <v>157500</v>
      </c>
      <c r="D1027" t="s">
        <v>19</v>
      </c>
      <c r="E1027" t="s">
        <v>20</v>
      </c>
      <c r="F1027" t="s">
        <v>32</v>
      </c>
      <c r="G1027" t="s">
        <v>22</v>
      </c>
      <c r="H1027" t="s">
        <v>23</v>
      </c>
      <c r="I1027" t="s">
        <v>24</v>
      </c>
      <c r="J1027">
        <v>98545.5</v>
      </c>
      <c r="K1027">
        <v>0</v>
      </c>
      <c r="L1027" t="s">
        <v>34</v>
      </c>
      <c r="M1027" t="s">
        <v>26</v>
      </c>
      <c r="N1027" t="s">
        <v>27</v>
      </c>
      <c r="O1027" t="s">
        <v>35</v>
      </c>
      <c r="P1027" t="s">
        <v>26</v>
      </c>
      <c r="Q1027">
        <v>0</v>
      </c>
    </row>
    <row r="1028" spans="1:17" x14ac:dyDescent="0.25">
      <c r="A1028" t="s">
        <v>29</v>
      </c>
      <c r="B1028" t="s">
        <v>18</v>
      </c>
      <c r="C1028">
        <v>117000</v>
      </c>
      <c r="D1028" t="s">
        <v>19</v>
      </c>
      <c r="E1028" t="s">
        <v>20</v>
      </c>
      <c r="F1028" t="s">
        <v>32</v>
      </c>
      <c r="G1028" t="s">
        <v>22</v>
      </c>
      <c r="H1028" t="s">
        <v>56</v>
      </c>
      <c r="I1028" t="s">
        <v>24</v>
      </c>
      <c r="J1028">
        <v>24696</v>
      </c>
      <c r="K1028">
        <v>2700</v>
      </c>
      <c r="L1028" t="s">
        <v>43</v>
      </c>
      <c r="M1028" t="s">
        <v>26</v>
      </c>
      <c r="N1028" t="s">
        <v>58</v>
      </c>
      <c r="O1028" t="s">
        <v>35</v>
      </c>
      <c r="P1028" t="s">
        <v>60</v>
      </c>
      <c r="Q1028">
        <v>1</v>
      </c>
    </row>
    <row r="1029" spans="1:17" x14ac:dyDescent="0.25">
      <c r="A1029" t="s">
        <v>29</v>
      </c>
      <c r="B1029" t="s">
        <v>18</v>
      </c>
      <c r="C1029">
        <v>117000</v>
      </c>
      <c r="D1029" t="s">
        <v>19</v>
      </c>
      <c r="E1029" t="s">
        <v>20</v>
      </c>
      <c r="F1029" t="s">
        <v>32</v>
      </c>
      <c r="G1029" t="s">
        <v>22</v>
      </c>
      <c r="H1029" t="s">
        <v>56</v>
      </c>
      <c r="I1029" t="s">
        <v>24</v>
      </c>
      <c r="J1029">
        <v>23805</v>
      </c>
      <c r="K1029">
        <v>3150</v>
      </c>
      <c r="L1029" t="s">
        <v>25</v>
      </c>
      <c r="M1029" t="s">
        <v>26</v>
      </c>
      <c r="N1029" t="s">
        <v>27</v>
      </c>
      <c r="O1029" t="s">
        <v>35</v>
      </c>
      <c r="P1029" t="s">
        <v>26</v>
      </c>
      <c r="Q1029">
        <v>0</v>
      </c>
    </row>
    <row r="1030" spans="1:17" x14ac:dyDescent="0.25">
      <c r="A1030" t="s">
        <v>29</v>
      </c>
      <c r="B1030" t="s">
        <v>18</v>
      </c>
      <c r="C1030">
        <v>117000</v>
      </c>
      <c r="D1030" t="s">
        <v>19</v>
      </c>
      <c r="E1030" t="s">
        <v>20</v>
      </c>
      <c r="F1030" t="s">
        <v>32</v>
      </c>
      <c r="G1030" t="s">
        <v>22</v>
      </c>
      <c r="H1030" t="s">
        <v>56</v>
      </c>
      <c r="I1030" t="s">
        <v>24</v>
      </c>
      <c r="J1030">
        <v>36382.5</v>
      </c>
      <c r="K1030">
        <v>13500</v>
      </c>
      <c r="L1030" t="s">
        <v>25</v>
      </c>
      <c r="M1030" t="s">
        <v>26</v>
      </c>
      <c r="N1030" t="s">
        <v>58</v>
      </c>
      <c r="O1030" t="s">
        <v>35</v>
      </c>
      <c r="P1030" t="s">
        <v>59</v>
      </c>
      <c r="Q1030">
        <v>1</v>
      </c>
    </row>
    <row r="1031" spans="1:17" x14ac:dyDescent="0.25">
      <c r="A1031" t="s">
        <v>29</v>
      </c>
      <c r="B1031" t="s">
        <v>18</v>
      </c>
      <c r="C1031">
        <v>112500</v>
      </c>
      <c r="D1031" t="s">
        <v>19</v>
      </c>
      <c r="E1031" t="s">
        <v>20</v>
      </c>
      <c r="F1031" t="s">
        <v>21</v>
      </c>
      <c r="G1031" t="s">
        <v>22</v>
      </c>
      <c r="H1031" t="s">
        <v>41</v>
      </c>
      <c r="I1031" t="s">
        <v>24</v>
      </c>
      <c r="J1031">
        <v>71955</v>
      </c>
      <c r="K1031">
        <v>0</v>
      </c>
      <c r="L1031" t="s">
        <v>42</v>
      </c>
      <c r="M1031" t="s">
        <v>26</v>
      </c>
      <c r="N1031" t="s">
        <v>58</v>
      </c>
      <c r="O1031" t="s">
        <v>35</v>
      </c>
      <c r="P1031" t="s">
        <v>60</v>
      </c>
      <c r="Q1031">
        <v>1</v>
      </c>
    </row>
    <row r="1032" spans="1:17" x14ac:dyDescent="0.25">
      <c r="A1032" t="s">
        <v>29</v>
      </c>
      <c r="B1032" t="s">
        <v>18</v>
      </c>
      <c r="C1032">
        <v>112500</v>
      </c>
      <c r="D1032" t="s">
        <v>19</v>
      </c>
      <c r="E1032" t="s">
        <v>20</v>
      </c>
      <c r="F1032" t="s">
        <v>21</v>
      </c>
      <c r="G1032" t="s">
        <v>22</v>
      </c>
      <c r="H1032" t="s">
        <v>41</v>
      </c>
      <c r="I1032" t="s">
        <v>24</v>
      </c>
      <c r="J1032">
        <v>45004.5</v>
      </c>
      <c r="K1032">
        <v>0</v>
      </c>
      <c r="L1032" t="s">
        <v>43</v>
      </c>
      <c r="M1032" t="s">
        <v>26</v>
      </c>
      <c r="N1032" t="s">
        <v>27</v>
      </c>
      <c r="O1032" t="s">
        <v>35</v>
      </c>
      <c r="P1032" t="s">
        <v>26</v>
      </c>
      <c r="Q1032">
        <v>0</v>
      </c>
    </row>
    <row r="1033" spans="1:17" x14ac:dyDescent="0.25">
      <c r="A1033" t="s">
        <v>29</v>
      </c>
      <c r="B1033" t="s">
        <v>18</v>
      </c>
      <c r="C1033">
        <v>112500</v>
      </c>
      <c r="D1033" t="s">
        <v>19</v>
      </c>
      <c r="E1033" t="s">
        <v>20</v>
      </c>
      <c r="F1033" t="s">
        <v>21</v>
      </c>
      <c r="G1033" t="s">
        <v>22</v>
      </c>
      <c r="H1033" t="s">
        <v>41</v>
      </c>
      <c r="I1033" t="s">
        <v>24</v>
      </c>
      <c r="J1033">
        <v>42250.5</v>
      </c>
      <c r="K1033">
        <v>0</v>
      </c>
      <c r="L1033" t="s">
        <v>43</v>
      </c>
      <c r="M1033" t="s">
        <v>26</v>
      </c>
      <c r="N1033" t="s">
        <v>27</v>
      </c>
      <c r="O1033" t="s">
        <v>35</v>
      </c>
      <c r="P1033" t="s">
        <v>26</v>
      </c>
      <c r="Q1033">
        <v>0</v>
      </c>
    </row>
    <row r="1034" spans="1:17" x14ac:dyDescent="0.25">
      <c r="A1034" t="s">
        <v>29</v>
      </c>
      <c r="B1034" t="s">
        <v>18</v>
      </c>
      <c r="C1034">
        <v>112500</v>
      </c>
      <c r="D1034" t="s">
        <v>19</v>
      </c>
      <c r="E1034" t="s">
        <v>20</v>
      </c>
      <c r="F1034" t="s">
        <v>21</v>
      </c>
      <c r="G1034" t="s">
        <v>22</v>
      </c>
      <c r="H1034" t="s">
        <v>41</v>
      </c>
      <c r="I1034" t="s">
        <v>24</v>
      </c>
      <c r="J1034">
        <v>71955</v>
      </c>
      <c r="K1034">
        <v>0</v>
      </c>
      <c r="L1034" t="s">
        <v>42</v>
      </c>
      <c r="M1034" t="s">
        <v>26</v>
      </c>
      <c r="N1034" t="s">
        <v>58</v>
      </c>
      <c r="O1034" t="s">
        <v>35</v>
      </c>
      <c r="P1034" t="s">
        <v>60</v>
      </c>
      <c r="Q1034">
        <v>1</v>
      </c>
    </row>
    <row r="1035" spans="1:17" x14ac:dyDescent="0.25">
      <c r="A1035" t="s">
        <v>17</v>
      </c>
      <c r="B1035" t="s">
        <v>36</v>
      </c>
      <c r="C1035">
        <v>270000</v>
      </c>
      <c r="D1035" t="s">
        <v>19</v>
      </c>
      <c r="E1035" t="s">
        <v>20</v>
      </c>
      <c r="F1035" t="s">
        <v>32</v>
      </c>
      <c r="G1035" t="s">
        <v>22</v>
      </c>
      <c r="H1035" t="s">
        <v>23</v>
      </c>
      <c r="I1035" t="s">
        <v>24</v>
      </c>
      <c r="J1035">
        <v>62100</v>
      </c>
      <c r="K1035">
        <v>6210</v>
      </c>
      <c r="L1035" t="s">
        <v>42</v>
      </c>
      <c r="M1035" t="s">
        <v>26</v>
      </c>
      <c r="N1035" t="s">
        <v>27</v>
      </c>
      <c r="O1035" t="s">
        <v>35</v>
      </c>
      <c r="P1035" t="s">
        <v>26</v>
      </c>
      <c r="Q1035">
        <v>0</v>
      </c>
    </row>
    <row r="1036" spans="1:17" x14ac:dyDescent="0.25">
      <c r="A1036" t="s">
        <v>17</v>
      </c>
      <c r="B1036" t="s">
        <v>36</v>
      </c>
      <c r="C1036">
        <v>270000</v>
      </c>
      <c r="D1036" t="s">
        <v>19</v>
      </c>
      <c r="E1036" t="s">
        <v>20</v>
      </c>
      <c r="F1036" t="s">
        <v>32</v>
      </c>
      <c r="G1036" t="s">
        <v>22</v>
      </c>
      <c r="H1036" t="s">
        <v>23</v>
      </c>
      <c r="I1036" t="s">
        <v>24</v>
      </c>
      <c r="J1036">
        <v>26955</v>
      </c>
      <c r="K1036">
        <v>2695.5</v>
      </c>
      <c r="L1036" t="s">
        <v>38</v>
      </c>
      <c r="M1036" t="s">
        <v>26</v>
      </c>
      <c r="N1036" t="s">
        <v>27</v>
      </c>
      <c r="O1036" t="s">
        <v>28</v>
      </c>
      <c r="P1036" t="s">
        <v>26</v>
      </c>
      <c r="Q1036">
        <v>0</v>
      </c>
    </row>
    <row r="1037" spans="1:17" x14ac:dyDescent="0.25">
      <c r="A1037" t="s">
        <v>29</v>
      </c>
      <c r="B1037" t="s">
        <v>18</v>
      </c>
      <c r="C1037">
        <v>270000</v>
      </c>
      <c r="D1037" t="s">
        <v>19</v>
      </c>
      <c r="E1037" t="s">
        <v>20</v>
      </c>
      <c r="F1037" t="s">
        <v>32</v>
      </c>
      <c r="G1037" t="s">
        <v>22</v>
      </c>
      <c r="H1037" t="s">
        <v>49</v>
      </c>
      <c r="I1037" t="s">
        <v>24</v>
      </c>
      <c r="J1037">
        <v>449100</v>
      </c>
      <c r="K1037">
        <v>44910</v>
      </c>
      <c r="L1037" t="s">
        <v>45</v>
      </c>
      <c r="M1037" t="s">
        <v>26</v>
      </c>
      <c r="N1037" t="s">
        <v>27</v>
      </c>
      <c r="O1037" t="s">
        <v>35</v>
      </c>
      <c r="P1037" t="s">
        <v>26</v>
      </c>
      <c r="Q1037">
        <v>0</v>
      </c>
    </row>
    <row r="1038" spans="1:17" x14ac:dyDescent="0.25">
      <c r="A1038" t="s">
        <v>17</v>
      </c>
      <c r="B1038" t="s">
        <v>18</v>
      </c>
      <c r="C1038">
        <v>180000</v>
      </c>
      <c r="D1038" t="s">
        <v>19</v>
      </c>
      <c r="E1038" t="s">
        <v>20</v>
      </c>
      <c r="F1038" t="s">
        <v>32</v>
      </c>
      <c r="G1038" t="s">
        <v>52</v>
      </c>
      <c r="H1038" t="s">
        <v>49</v>
      </c>
      <c r="I1038" t="s">
        <v>24</v>
      </c>
      <c r="J1038">
        <v>143910</v>
      </c>
      <c r="K1038">
        <v>22500</v>
      </c>
      <c r="L1038" t="s">
        <v>38</v>
      </c>
      <c r="M1038" t="s">
        <v>26</v>
      </c>
      <c r="N1038" t="s">
        <v>27</v>
      </c>
      <c r="O1038" t="s">
        <v>35</v>
      </c>
      <c r="P1038" t="s">
        <v>26</v>
      </c>
      <c r="Q1038">
        <v>0</v>
      </c>
    </row>
    <row r="1039" spans="1:17" x14ac:dyDescent="0.25">
      <c r="A1039" t="s">
        <v>17</v>
      </c>
      <c r="B1039" t="s">
        <v>18</v>
      </c>
      <c r="C1039">
        <v>180000</v>
      </c>
      <c r="D1039" t="s">
        <v>19</v>
      </c>
      <c r="E1039" t="s">
        <v>20</v>
      </c>
      <c r="F1039" t="s">
        <v>32</v>
      </c>
      <c r="G1039" t="s">
        <v>52</v>
      </c>
      <c r="H1039" t="s">
        <v>49</v>
      </c>
      <c r="I1039" t="s">
        <v>24</v>
      </c>
      <c r="J1039">
        <v>116955</v>
      </c>
      <c r="K1039">
        <v>11695.5</v>
      </c>
      <c r="L1039" t="s">
        <v>34</v>
      </c>
      <c r="M1039" t="s">
        <v>26</v>
      </c>
      <c r="N1039" t="s">
        <v>27</v>
      </c>
      <c r="O1039" t="s">
        <v>35</v>
      </c>
      <c r="P1039" t="s">
        <v>26</v>
      </c>
      <c r="Q1039">
        <v>0</v>
      </c>
    </row>
    <row r="1040" spans="1:17" x14ac:dyDescent="0.25">
      <c r="A1040" t="s">
        <v>17</v>
      </c>
      <c r="B1040" t="s">
        <v>18</v>
      </c>
      <c r="C1040">
        <v>306000</v>
      </c>
      <c r="D1040" t="s">
        <v>19</v>
      </c>
      <c r="E1040" t="s">
        <v>20</v>
      </c>
      <c r="F1040" t="s">
        <v>32</v>
      </c>
      <c r="G1040" t="s">
        <v>22</v>
      </c>
      <c r="H1040" t="s">
        <v>41</v>
      </c>
      <c r="I1040" t="s">
        <v>24</v>
      </c>
      <c r="J1040">
        <v>59355</v>
      </c>
      <c r="K1040">
        <v>22500</v>
      </c>
      <c r="L1040" t="s">
        <v>38</v>
      </c>
      <c r="M1040" t="s">
        <v>26</v>
      </c>
      <c r="N1040" t="s">
        <v>27</v>
      </c>
      <c r="O1040" t="s">
        <v>35</v>
      </c>
      <c r="P1040" t="s">
        <v>26</v>
      </c>
      <c r="Q1040">
        <v>0</v>
      </c>
    </row>
    <row r="1041" spans="1:17" x14ac:dyDescent="0.25">
      <c r="A1041" t="s">
        <v>17</v>
      </c>
      <c r="B1041" t="s">
        <v>36</v>
      </c>
      <c r="C1041">
        <v>180000</v>
      </c>
      <c r="D1041" t="s">
        <v>19</v>
      </c>
      <c r="E1041" t="s">
        <v>20</v>
      </c>
      <c r="F1041" t="s">
        <v>32</v>
      </c>
      <c r="G1041" t="s">
        <v>22</v>
      </c>
      <c r="H1041" t="s">
        <v>23</v>
      </c>
      <c r="I1041" t="s">
        <v>24</v>
      </c>
      <c r="J1041">
        <v>71995.5</v>
      </c>
      <c r="K1041">
        <v>7200</v>
      </c>
      <c r="L1041" t="s">
        <v>45</v>
      </c>
      <c r="M1041" t="s">
        <v>26</v>
      </c>
      <c r="N1041" t="s">
        <v>27</v>
      </c>
      <c r="O1041" t="s">
        <v>35</v>
      </c>
      <c r="P1041" t="s">
        <v>26</v>
      </c>
      <c r="Q1041">
        <v>0</v>
      </c>
    </row>
    <row r="1042" spans="1:17" x14ac:dyDescent="0.25">
      <c r="A1042" t="s">
        <v>17</v>
      </c>
      <c r="B1042" t="s">
        <v>36</v>
      </c>
      <c r="C1042">
        <v>180000</v>
      </c>
      <c r="D1042" t="s">
        <v>19</v>
      </c>
      <c r="E1042" t="s">
        <v>20</v>
      </c>
      <c r="F1042" t="s">
        <v>32</v>
      </c>
      <c r="G1042" t="s">
        <v>22</v>
      </c>
      <c r="H1042" t="s">
        <v>23</v>
      </c>
      <c r="I1042" t="s">
        <v>24</v>
      </c>
      <c r="J1042">
        <v>68400</v>
      </c>
      <c r="K1042">
        <v>36000</v>
      </c>
      <c r="L1042" t="s">
        <v>43</v>
      </c>
      <c r="M1042" t="s">
        <v>26</v>
      </c>
      <c r="N1042" t="s">
        <v>27</v>
      </c>
      <c r="O1042" t="s">
        <v>35</v>
      </c>
      <c r="P1042" t="s">
        <v>26</v>
      </c>
      <c r="Q1042">
        <v>0</v>
      </c>
    </row>
    <row r="1043" spans="1:17" x14ac:dyDescent="0.25">
      <c r="A1043" t="s">
        <v>17</v>
      </c>
      <c r="B1043" t="s">
        <v>36</v>
      </c>
      <c r="C1043">
        <v>180000</v>
      </c>
      <c r="D1043" t="s">
        <v>19</v>
      </c>
      <c r="E1043" t="s">
        <v>20</v>
      </c>
      <c r="F1043" t="s">
        <v>32</v>
      </c>
      <c r="G1043" t="s">
        <v>22</v>
      </c>
      <c r="H1043" t="s">
        <v>23</v>
      </c>
      <c r="I1043" t="s">
        <v>24</v>
      </c>
      <c r="J1043">
        <v>87525</v>
      </c>
      <c r="K1043">
        <v>8752.5</v>
      </c>
      <c r="L1043" t="s">
        <v>51</v>
      </c>
      <c r="M1043" t="s">
        <v>26</v>
      </c>
      <c r="N1043" t="s">
        <v>27</v>
      </c>
      <c r="O1043" t="s">
        <v>35</v>
      </c>
      <c r="P1043" t="s">
        <v>26</v>
      </c>
      <c r="Q1043">
        <v>0</v>
      </c>
    </row>
    <row r="1044" spans="1:17" x14ac:dyDescent="0.25">
      <c r="A1044" t="s">
        <v>17</v>
      </c>
      <c r="B1044" t="s">
        <v>36</v>
      </c>
      <c r="C1044">
        <v>180000</v>
      </c>
      <c r="D1044" t="s">
        <v>19</v>
      </c>
      <c r="E1044" t="s">
        <v>20</v>
      </c>
      <c r="F1044" t="s">
        <v>32</v>
      </c>
      <c r="G1044" t="s">
        <v>22</v>
      </c>
      <c r="H1044" t="s">
        <v>23</v>
      </c>
      <c r="I1044" t="s">
        <v>24</v>
      </c>
      <c r="J1044">
        <v>61155</v>
      </c>
      <c r="K1044">
        <v>6115.5</v>
      </c>
      <c r="L1044" t="s">
        <v>42</v>
      </c>
      <c r="M1044" t="s">
        <v>26</v>
      </c>
      <c r="N1044" t="s">
        <v>27</v>
      </c>
      <c r="O1044" t="s">
        <v>35</v>
      </c>
      <c r="P1044" t="s">
        <v>26</v>
      </c>
      <c r="Q1044">
        <v>0</v>
      </c>
    </row>
    <row r="1045" spans="1:17" x14ac:dyDescent="0.25">
      <c r="A1045" t="s">
        <v>29</v>
      </c>
      <c r="B1045" t="s">
        <v>18</v>
      </c>
      <c r="C1045">
        <v>135000</v>
      </c>
      <c r="D1045" t="s">
        <v>46</v>
      </c>
      <c r="E1045" t="s">
        <v>20</v>
      </c>
      <c r="F1045" t="s">
        <v>54</v>
      </c>
      <c r="G1045" t="s">
        <v>22</v>
      </c>
      <c r="H1045" t="s">
        <v>28</v>
      </c>
      <c r="I1045" t="s">
        <v>24</v>
      </c>
      <c r="J1045">
        <v>41256</v>
      </c>
      <c r="K1045">
        <v>2610</v>
      </c>
      <c r="L1045" t="s">
        <v>45</v>
      </c>
      <c r="M1045" t="s">
        <v>26</v>
      </c>
      <c r="N1045" t="s">
        <v>27</v>
      </c>
      <c r="O1045" t="s">
        <v>35</v>
      </c>
      <c r="P1045" t="s">
        <v>26</v>
      </c>
      <c r="Q1045">
        <v>0</v>
      </c>
    </row>
    <row r="1046" spans="1:17" x14ac:dyDescent="0.25">
      <c r="A1046" t="s">
        <v>29</v>
      </c>
      <c r="B1046" t="s">
        <v>18</v>
      </c>
      <c r="C1046">
        <v>135000</v>
      </c>
      <c r="D1046" t="s">
        <v>46</v>
      </c>
      <c r="E1046" t="s">
        <v>20</v>
      </c>
      <c r="F1046" t="s">
        <v>54</v>
      </c>
      <c r="G1046" t="s">
        <v>22</v>
      </c>
      <c r="H1046" t="s">
        <v>28</v>
      </c>
      <c r="I1046" t="s">
        <v>24</v>
      </c>
      <c r="J1046">
        <v>34515</v>
      </c>
      <c r="K1046">
        <v>3465</v>
      </c>
      <c r="L1046" t="s">
        <v>42</v>
      </c>
      <c r="M1046" t="s">
        <v>26</v>
      </c>
      <c r="N1046" t="s">
        <v>27</v>
      </c>
      <c r="O1046" t="s">
        <v>35</v>
      </c>
      <c r="P1046" t="s">
        <v>26</v>
      </c>
      <c r="Q1046">
        <v>0</v>
      </c>
    </row>
    <row r="1047" spans="1:17" x14ac:dyDescent="0.25">
      <c r="A1047" t="s">
        <v>29</v>
      </c>
      <c r="B1047" t="s">
        <v>18</v>
      </c>
      <c r="C1047">
        <v>135000</v>
      </c>
      <c r="D1047" t="s">
        <v>44</v>
      </c>
      <c r="E1047" t="s">
        <v>70</v>
      </c>
      <c r="F1047" t="s">
        <v>21</v>
      </c>
      <c r="G1047" t="s">
        <v>22</v>
      </c>
      <c r="H1047" t="s">
        <v>49</v>
      </c>
      <c r="I1047" t="s">
        <v>24</v>
      </c>
      <c r="J1047">
        <v>66510</v>
      </c>
      <c r="K1047">
        <v>0</v>
      </c>
      <c r="L1047" t="s">
        <v>25</v>
      </c>
      <c r="M1047" t="s">
        <v>26</v>
      </c>
      <c r="N1047" t="s">
        <v>27</v>
      </c>
      <c r="O1047" t="s">
        <v>35</v>
      </c>
      <c r="P1047" t="s">
        <v>26</v>
      </c>
      <c r="Q1047">
        <v>0</v>
      </c>
    </row>
    <row r="1048" spans="1:17" x14ac:dyDescent="0.25">
      <c r="A1048" t="s">
        <v>29</v>
      </c>
      <c r="B1048" t="s">
        <v>36</v>
      </c>
      <c r="C1048">
        <v>112500</v>
      </c>
      <c r="D1048" t="s">
        <v>30</v>
      </c>
      <c r="E1048" t="s">
        <v>31</v>
      </c>
      <c r="F1048" t="s">
        <v>32</v>
      </c>
      <c r="G1048" t="s">
        <v>22</v>
      </c>
      <c r="H1048" t="s">
        <v>56</v>
      </c>
      <c r="I1048" t="s">
        <v>24</v>
      </c>
      <c r="J1048">
        <v>42570</v>
      </c>
      <c r="K1048">
        <v>9000</v>
      </c>
      <c r="L1048" t="s">
        <v>45</v>
      </c>
      <c r="M1048" t="s">
        <v>26</v>
      </c>
      <c r="N1048" t="s">
        <v>58</v>
      </c>
      <c r="O1048" t="s">
        <v>35</v>
      </c>
      <c r="P1048" t="s">
        <v>59</v>
      </c>
      <c r="Q1048">
        <v>1</v>
      </c>
    </row>
    <row r="1049" spans="1:17" x14ac:dyDescent="0.25">
      <c r="A1049" t="s">
        <v>29</v>
      </c>
      <c r="B1049" t="s">
        <v>36</v>
      </c>
      <c r="C1049">
        <v>112500</v>
      </c>
      <c r="D1049" t="s">
        <v>30</v>
      </c>
      <c r="E1049" t="s">
        <v>31</v>
      </c>
      <c r="F1049" t="s">
        <v>32</v>
      </c>
      <c r="G1049" t="s">
        <v>22</v>
      </c>
      <c r="H1049" t="s">
        <v>56</v>
      </c>
      <c r="I1049" t="s">
        <v>24</v>
      </c>
      <c r="J1049">
        <v>42570</v>
      </c>
      <c r="K1049">
        <v>4257</v>
      </c>
      <c r="L1049" t="s">
        <v>45</v>
      </c>
      <c r="M1049" t="s">
        <v>26</v>
      </c>
      <c r="N1049" t="s">
        <v>58</v>
      </c>
      <c r="O1049" t="s">
        <v>35</v>
      </c>
      <c r="P1049" t="s">
        <v>59</v>
      </c>
      <c r="Q1049">
        <v>1</v>
      </c>
    </row>
    <row r="1050" spans="1:17" x14ac:dyDescent="0.25">
      <c r="A1050" t="s">
        <v>29</v>
      </c>
      <c r="B1050" t="s">
        <v>18</v>
      </c>
      <c r="C1050">
        <v>225000</v>
      </c>
      <c r="D1050" t="s">
        <v>19</v>
      </c>
      <c r="E1050" t="s">
        <v>31</v>
      </c>
      <c r="F1050" t="s">
        <v>69</v>
      </c>
      <c r="G1050" t="s">
        <v>22</v>
      </c>
      <c r="H1050" t="s">
        <v>81</v>
      </c>
      <c r="I1050" t="s">
        <v>24</v>
      </c>
      <c r="J1050">
        <v>41130</v>
      </c>
      <c r="K1050">
        <v>8235</v>
      </c>
      <c r="L1050" t="s">
        <v>51</v>
      </c>
      <c r="M1050" t="s">
        <v>26</v>
      </c>
      <c r="N1050" t="s">
        <v>27</v>
      </c>
      <c r="O1050" t="s">
        <v>35</v>
      </c>
      <c r="P1050" t="s">
        <v>26</v>
      </c>
      <c r="Q1050">
        <v>0</v>
      </c>
    </row>
    <row r="1051" spans="1:17" x14ac:dyDescent="0.25">
      <c r="A1051" t="s">
        <v>29</v>
      </c>
      <c r="B1051" t="s">
        <v>18</v>
      </c>
      <c r="C1051">
        <v>225000</v>
      </c>
      <c r="D1051" t="s">
        <v>19</v>
      </c>
      <c r="E1051" t="s">
        <v>31</v>
      </c>
      <c r="F1051" t="s">
        <v>69</v>
      </c>
      <c r="G1051" t="s">
        <v>22</v>
      </c>
      <c r="H1051" t="s">
        <v>81</v>
      </c>
      <c r="I1051" t="s">
        <v>24</v>
      </c>
      <c r="J1051">
        <v>107185.5</v>
      </c>
      <c r="K1051">
        <v>0</v>
      </c>
      <c r="L1051" t="s">
        <v>42</v>
      </c>
      <c r="M1051" t="s">
        <v>26</v>
      </c>
      <c r="N1051" t="s">
        <v>58</v>
      </c>
      <c r="O1051" t="s">
        <v>35</v>
      </c>
      <c r="P1051" t="s">
        <v>28</v>
      </c>
      <c r="Q1051">
        <v>1</v>
      </c>
    </row>
    <row r="1052" spans="1:17" x14ac:dyDescent="0.25">
      <c r="A1052" t="s">
        <v>29</v>
      </c>
      <c r="B1052" t="s">
        <v>36</v>
      </c>
      <c r="C1052">
        <v>180000</v>
      </c>
      <c r="D1052" t="s">
        <v>46</v>
      </c>
      <c r="E1052" t="s">
        <v>31</v>
      </c>
      <c r="F1052" t="s">
        <v>54</v>
      </c>
      <c r="G1052" t="s">
        <v>22</v>
      </c>
      <c r="H1052" t="s">
        <v>28</v>
      </c>
      <c r="I1052" t="s">
        <v>24</v>
      </c>
      <c r="J1052">
        <v>103455</v>
      </c>
      <c r="K1052">
        <v>23850</v>
      </c>
      <c r="L1052" t="s">
        <v>51</v>
      </c>
      <c r="M1052" t="s">
        <v>26</v>
      </c>
      <c r="N1052" t="s">
        <v>27</v>
      </c>
      <c r="O1052" t="s">
        <v>28</v>
      </c>
      <c r="P1052" t="s">
        <v>26</v>
      </c>
      <c r="Q1052">
        <v>0</v>
      </c>
    </row>
    <row r="1053" spans="1:17" x14ac:dyDescent="0.25">
      <c r="A1053" t="s">
        <v>29</v>
      </c>
      <c r="B1053" t="s">
        <v>18</v>
      </c>
      <c r="C1053">
        <v>112500</v>
      </c>
      <c r="D1053" t="s">
        <v>44</v>
      </c>
      <c r="E1053" t="s">
        <v>20</v>
      </c>
      <c r="F1053" t="s">
        <v>69</v>
      </c>
      <c r="G1053" t="s">
        <v>22</v>
      </c>
      <c r="H1053" t="s">
        <v>23</v>
      </c>
      <c r="I1053" t="s">
        <v>24</v>
      </c>
      <c r="J1053">
        <v>37390.5</v>
      </c>
      <c r="K1053">
        <v>3739.5</v>
      </c>
      <c r="L1053" t="s">
        <v>34</v>
      </c>
      <c r="M1053" t="s">
        <v>26</v>
      </c>
      <c r="N1053" t="s">
        <v>27</v>
      </c>
      <c r="O1053" t="s">
        <v>35</v>
      </c>
      <c r="P1053" t="s">
        <v>26</v>
      </c>
      <c r="Q1053">
        <v>0</v>
      </c>
    </row>
    <row r="1054" spans="1:17" x14ac:dyDescent="0.25">
      <c r="A1054" t="s">
        <v>29</v>
      </c>
      <c r="B1054" t="s">
        <v>18</v>
      </c>
      <c r="C1054">
        <v>112500</v>
      </c>
      <c r="D1054" t="s">
        <v>44</v>
      </c>
      <c r="E1054" t="s">
        <v>20</v>
      </c>
      <c r="F1054" t="s">
        <v>69</v>
      </c>
      <c r="G1054" t="s">
        <v>22</v>
      </c>
      <c r="H1054" t="s">
        <v>23</v>
      </c>
      <c r="I1054" t="s">
        <v>66</v>
      </c>
      <c r="J1054">
        <v>180000</v>
      </c>
      <c r="K1054">
        <v>0</v>
      </c>
      <c r="L1054" t="s">
        <v>25</v>
      </c>
      <c r="M1054" t="s">
        <v>41</v>
      </c>
      <c r="N1054" t="s">
        <v>58</v>
      </c>
      <c r="O1054" t="s">
        <v>35</v>
      </c>
      <c r="P1054" t="s">
        <v>60</v>
      </c>
      <c r="Q1054">
        <v>1</v>
      </c>
    </row>
    <row r="1055" spans="1:17" x14ac:dyDescent="0.25">
      <c r="A1055" t="s">
        <v>29</v>
      </c>
      <c r="B1055" t="s">
        <v>18</v>
      </c>
      <c r="C1055">
        <v>90000</v>
      </c>
      <c r="D1055" t="s">
        <v>19</v>
      </c>
      <c r="E1055" t="s">
        <v>20</v>
      </c>
      <c r="F1055" t="s">
        <v>69</v>
      </c>
      <c r="G1055" t="s">
        <v>22</v>
      </c>
      <c r="H1055" t="s">
        <v>23</v>
      </c>
      <c r="I1055" t="s">
        <v>24</v>
      </c>
      <c r="J1055">
        <v>61042.5</v>
      </c>
      <c r="K1055">
        <v>6106.5</v>
      </c>
      <c r="L1055" t="s">
        <v>42</v>
      </c>
      <c r="M1055" t="s">
        <v>26</v>
      </c>
      <c r="N1055" t="s">
        <v>27</v>
      </c>
      <c r="O1055" t="s">
        <v>28</v>
      </c>
      <c r="P1055" t="s">
        <v>26</v>
      </c>
      <c r="Q1055">
        <v>0</v>
      </c>
    </row>
    <row r="1056" spans="1:17" x14ac:dyDescent="0.25">
      <c r="A1056" t="s">
        <v>29</v>
      </c>
      <c r="B1056" t="s">
        <v>18</v>
      </c>
      <c r="C1056">
        <v>90000</v>
      </c>
      <c r="D1056" t="s">
        <v>19</v>
      </c>
      <c r="E1056" t="s">
        <v>20</v>
      </c>
      <c r="F1056" t="s">
        <v>69</v>
      </c>
      <c r="G1056" t="s">
        <v>22</v>
      </c>
      <c r="H1056" t="s">
        <v>23</v>
      </c>
      <c r="I1056" t="s">
        <v>24</v>
      </c>
      <c r="J1056">
        <v>51516</v>
      </c>
      <c r="K1056">
        <v>3600</v>
      </c>
      <c r="L1056" t="s">
        <v>25</v>
      </c>
      <c r="M1056" t="s">
        <v>26</v>
      </c>
      <c r="N1056" t="s">
        <v>27</v>
      </c>
      <c r="O1056" t="s">
        <v>35</v>
      </c>
      <c r="P1056" t="s">
        <v>26</v>
      </c>
      <c r="Q1056">
        <v>0</v>
      </c>
    </row>
    <row r="1057" spans="1:17" x14ac:dyDescent="0.25">
      <c r="A1057" t="s">
        <v>17</v>
      </c>
      <c r="B1057" t="s">
        <v>18</v>
      </c>
      <c r="C1057">
        <v>90288</v>
      </c>
      <c r="D1057" t="s">
        <v>44</v>
      </c>
      <c r="E1057" t="s">
        <v>20</v>
      </c>
      <c r="F1057" t="s">
        <v>21</v>
      </c>
      <c r="G1057" t="s">
        <v>22</v>
      </c>
      <c r="H1057" t="s">
        <v>92</v>
      </c>
      <c r="I1057" t="s">
        <v>24</v>
      </c>
      <c r="J1057">
        <v>33075</v>
      </c>
      <c r="K1057">
        <v>0</v>
      </c>
      <c r="L1057" t="s">
        <v>51</v>
      </c>
      <c r="M1057" t="s">
        <v>26</v>
      </c>
      <c r="N1057" t="s">
        <v>27</v>
      </c>
      <c r="O1057" t="s">
        <v>35</v>
      </c>
      <c r="P1057" t="s">
        <v>26</v>
      </c>
      <c r="Q1057">
        <v>0</v>
      </c>
    </row>
    <row r="1058" spans="1:17" x14ac:dyDescent="0.25">
      <c r="A1058" t="s">
        <v>29</v>
      </c>
      <c r="B1058" t="s">
        <v>18</v>
      </c>
      <c r="C1058">
        <v>360000</v>
      </c>
      <c r="D1058" t="s">
        <v>44</v>
      </c>
      <c r="E1058" t="s">
        <v>31</v>
      </c>
      <c r="F1058" t="s">
        <v>21</v>
      </c>
      <c r="G1058" t="s">
        <v>22</v>
      </c>
      <c r="H1058" t="s">
        <v>23</v>
      </c>
      <c r="I1058" t="s">
        <v>24</v>
      </c>
      <c r="J1058">
        <v>138262.5</v>
      </c>
      <c r="K1058">
        <v>0</v>
      </c>
      <c r="L1058" t="s">
        <v>51</v>
      </c>
      <c r="M1058" t="s">
        <v>26</v>
      </c>
      <c r="N1058" t="s">
        <v>27</v>
      </c>
      <c r="O1058" t="s">
        <v>35</v>
      </c>
      <c r="P1058" t="s">
        <v>26</v>
      </c>
      <c r="Q1058">
        <v>0</v>
      </c>
    </row>
    <row r="1059" spans="1:17" x14ac:dyDescent="0.25">
      <c r="A1059" t="s">
        <v>29</v>
      </c>
      <c r="B1059" t="s">
        <v>18</v>
      </c>
      <c r="C1059">
        <v>90000</v>
      </c>
      <c r="D1059" t="s">
        <v>19</v>
      </c>
      <c r="E1059" t="s">
        <v>20</v>
      </c>
      <c r="F1059" t="s">
        <v>54</v>
      </c>
      <c r="G1059" t="s">
        <v>22</v>
      </c>
      <c r="H1059" t="s">
        <v>89</v>
      </c>
      <c r="I1059" t="s">
        <v>24</v>
      </c>
      <c r="J1059">
        <v>43155</v>
      </c>
      <c r="K1059">
        <v>4315.5</v>
      </c>
      <c r="L1059" t="s">
        <v>51</v>
      </c>
      <c r="M1059" t="s">
        <v>26</v>
      </c>
      <c r="N1059" t="s">
        <v>27</v>
      </c>
      <c r="O1059" t="s">
        <v>35</v>
      </c>
      <c r="P1059" t="s">
        <v>26</v>
      </c>
      <c r="Q1059">
        <v>0</v>
      </c>
    </row>
    <row r="1060" spans="1:17" x14ac:dyDescent="0.25">
      <c r="A1060" t="s">
        <v>29</v>
      </c>
      <c r="B1060" t="s">
        <v>18</v>
      </c>
      <c r="C1060">
        <v>247500</v>
      </c>
      <c r="D1060" t="s">
        <v>19</v>
      </c>
      <c r="E1060" t="s">
        <v>20</v>
      </c>
      <c r="F1060" t="s">
        <v>32</v>
      </c>
      <c r="G1060" t="s">
        <v>22</v>
      </c>
      <c r="H1060" t="s">
        <v>49</v>
      </c>
      <c r="I1060" t="s">
        <v>24</v>
      </c>
      <c r="J1060">
        <v>28525.5</v>
      </c>
      <c r="K1060">
        <v>2853</v>
      </c>
      <c r="L1060" t="s">
        <v>38</v>
      </c>
      <c r="M1060" t="s">
        <v>26</v>
      </c>
      <c r="N1060" t="s">
        <v>27</v>
      </c>
      <c r="O1060" t="s">
        <v>35</v>
      </c>
      <c r="P1060" t="s">
        <v>26</v>
      </c>
      <c r="Q1060">
        <v>0</v>
      </c>
    </row>
    <row r="1061" spans="1:17" x14ac:dyDescent="0.25">
      <c r="A1061" t="s">
        <v>29</v>
      </c>
      <c r="B1061" t="s">
        <v>36</v>
      </c>
      <c r="C1061">
        <v>450000</v>
      </c>
      <c r="D1061" t="s">
        <v>19</v>
      </c>
      <c r="E1061" t="s">
        <v>31</v>
      </c>
      <c r="F1061" t="s">
        <v>32</v>
      </c>
      <c r="G1061" t="s">
        <v>22</v>
      </c>
      <c r="H1061" t="s">
        <v>57</v>
      </c>
      <c r="I1061" t="s">
        <v>24</v>
      </c>
      <c r="J1061">
        <v>165105</v>
      </c>
      <c r="K1061">
        <v>0</v>
      </c>
      <c r="L1061" t="s">
        <v>42</v>
      </c>
      <c r="M1061" t="s">
        <v>26</v>
      </c>
      <c r="N1061" t="s">
        <v>27</v>
      </c>
      <c r="O1061" t="s">
        <v>35</v>
      </c>
      <c r="P1061" t="s">
        <v>26</v>
      </c>
      <c r="Q1061">
        <v>0</v>
      </c>
    </row>
    <row r="1062" spans="1:17" x14ac:dyDescent="0.25">
      <c r="A1062" t="s">
        <v>29</v>
      </c>
      <c r="B1062" t="s">
        <v>36</v>
      </c>
      <c r="C1062">
        <v>450000</v>
      </c>
      <c r="D1062" t="s">
        <v>19</v>
      </c>
      <c r="E1062" t="s">
        <v>31</v>
      </c>
      <c r="F1062" t="s">
        <v>32</v>
      </c>
      <c r="G1062" t="s">
        <v>22</v>
      </c>
      <c r="H1062" t="s">
        <v>57</v>
      </c>
      <c r="I1062" t="s">
        <v>24</v>
      </c>
      <c r="J1062">
        <v>376731</v>
      </c>
      <c r="K1062">
        <v>0</v>
      </c>
      <c r="L1062" t="s">
        <v>42</v>
      </c>
      <c r="M1062" t="s">
        <v>26</v>
      </c>
      <c r="N1062" t="s">
        <v>58</v>
      </c>
      <c r="O1062" t="s">
        <v>35</v>
      </c>
      <c r="P1062" t="s">
        <v>67</v>
      </c>
      <c r="Q1062">
        <v>1</v>
      </c>
    </row>
    <row r="1063" spans="1:17" x14ac:dyDescent="0.25">
      <c r="A1063" t="s">
        <v>29</v>
      </c>
      <c r="B1063" t="s">
        <v>36</v>
      </c>
      <c r="C1063">
        <v>450000</v>
      </c>
      <c r="D1063" t="s">
        <v>19</v>
      </c>
      <c r="E1063" t="s">
        <v>31</v>
      </c>
      <c r="F1063" t="s">
        <v>32</v>
      </c>
      <c r="G1063" t="s">
        <v>22</v>
      </c>
      <c r="H1063" t="s">
        <v>57</v>
      </c>
      <c r="I1063" t="s">
        <v>24</v>
      </c>
      <c r="J1063">
        <v>376731</v>
      </c>
      <c r="K1063">
        <v>0</v>
      </c>
      <c r="L1063" t="s">
        <v>42</v>
      </c>
      <c r="M1063" t="s">
        <v>26</v>
      </c>
      <c r="N1063" t="s">
        <v>58</v>
      </c>
      <c r="O1063" t="s">
        <v>35</v>
      </c>
      <c r="P1063" t="s">
        <v>59</v>
      </c>
      <c r="Q1063">
        <v>1</v>
      </c>
    </row>
    <row r="1064" spans="1:17" x14ac:dyDescent="0.25">
      <c r="A1064" t="s">
        <v>29</v>
      </c>
      <c r="B1064" t="s">
        <v>18</v>
      </c>
      <c r="C1064">
        <v>67500</v>
      </c>
      <c r="D1064" t="s">
        <v>46</v>
      </c>
      <c r="E1064" t="s">
        <v>104</v>
      </c>
      <c r="F1064" t="s">
        <v>32</v>
      </c>
      <c r="G1064" t="s">
        <v>22</v>
      </c>
      <c r="H1064" t="s">
        <v>28</v>
      </c>
      <c r="I1064" t="s">
        <v>24</v>
      </c>
      <c r="J1064">
        <v>49428</v>
      </c>
      <c r="K1064">
        <v>0</v>
      </c>
      <c r="L1064" t="s">
        <v>42</v>
      </c>
      <c r="M1064" t="s">
        <v>26</v>
      </c>
      <c r="N1064" t="s">
        <v>27</v>
      </c>
      <c r="O1064" t="s">
        <v>35</v>
      </c>
      <c r="P1064" t="s">
        <v>26</v>
      </c>
      <c r="Q1064">
        <v>0</v>
      </c>
    </row>
    <row r="1065" spans="1:17" x14ac:dyDescent="0.25">
      <c r="A1065" t="s">
        <v>29</v>
      </c>
      <c r="B1065" t="s">
        <v>18</v>
      </c>
      <c r="C1065">
        <v>67500</v>
      </c>
      <c r="D1065" t="s">
        <v>46</v>
      </c>
      <c r="E1065" t="s">
        <v>104</v>
      </c>
      <c r="F1065" t="s">
        <v>32</v>
      </c>
      <c r="G1065" t="s">
        <v>22</v>
      </c>
      <c r="H1065" t="s">
        <v>28</v>
      </c>
      <c r="I1065" t="s">
        <v>24</v>
      </c>
      <c r="J1065">
        <v>59539.5</v>
      </c>
      <c r="K1065">
        <v>5958</v>
      </c>
      <c r="L1065" t="s">
        <v>42</v>
      </c>
      <c r="M1065" t="s">
        <v>26</v>
      </c>
      <c r="N1065" t="s">
        <v>27</v>
      </c>
      <c r="O1065" t="s">
        <v>35</v>
      </c>
      <c r="P1065" t="s">
        <v>26</v>
      </c>
      <c r="Q1065">
        <v>0</v>
      </c>
    </row>
    <row r="1066" spans="1:17" x14ac:dyDescent="0.25">
      <c r="A1066" t="s">
        <v>17</v>
      </c>
      <c r="B1066" t="s">
        <v>18</v>
      </c>
      <c r="C1066">
        <v>243000</v>
      </c>
      <c r="D1066" t="s">
        <v>30</v>
      </c>
      <c r="E1066" t="s">
        <v>20</v>
      </c>
      <c r="F1066" t="s">
        <v>21</v>
      </c>
      <c r="G1066" t="s">
        <v>62</v>
      </c>
      <c r="H1066" t="s">
        <v>41</v>
      </c>
      <c r="I1066" t="s">
        <v>24</v>
      </c>
      <c r="J1066">
        <v>134955</v>
      </c>
      <c r="K1066">
        <v>26991</v>
      </c>
      <c r="L1066" t="s">
        <v>51</v>
      </c>
      <c r="M1066" t="s">
        <v>26</v>
      </c>
      <c r="N1066" t="s">
        <v>27</v>
      </c>
      <c r="O1066" t="s">
        <v>28</v>
      </c>
      <c r="P1066" t="s">
        <v>26</v>
      </c>
      <c r="Q1066">
        <v>0</v>
      </c>
    </row>
    <row r="1067" spans="1:17" x14ac:dyDescent="0.25">
      <c r="A1067" t="s">
        <v>17</v>
      </c>
      <c r="B1067" t="s">
        <v>18</v>
      </c>
      <c r="C1067">
        <v>243000</v>
      </c>
      <c r="D1067" t="s">
        <v>30</v>
      </c>
      <c r="E1067" t="s">
        <v>20</v>
      </c>
      <c r="F1067" t="s">
        <v>21</v>
      </c>
      <c r="G1067" t="s">
        <v>62</v>
      </c>
      <c r="H1067" t="s">
        <v>41</v>
      </c>
      <c r="I1067" t="s">
        <v>24</v>
      </c>
      <c r="J1067">
        <v>134955</v>
      </c>
      <c r="K1067">
        <v>0</v>
      </c>
      <c r="L1067" t="s">
        <v>45</v>
      </c>
      <c r="M1067" t="s">
        <v>26</v>
      </c>
      <c r="N1067" t="s">
        <v>27</v>
      </c>
      <c r="O1067" t="s">
        <v>35</v>
      </c>
      <c r="P1067" t="s">
        <v>26</v>
      </c>
      <c r="Q1067">
        <v>0</v>
      </c>
    </row>
    <row r="1068" spans="1:17" x14ac:dyDescent="0.25">
      <c r="A1068" t="s">
        <v>29</v>
      </c>
      <c r="B1068" t="s">
        <v>18</v>
      </c>
      <c r="C1068">
        <v>157500</v>
      </c>
      <c r="D1068" t="s">
        <v>19</v>
      </c>
      <c r="E1068" t="s">
        <v>20</v>
      </c>
      <c r="F1068" t="s">
        <v>21</v>
      </c>
      <c r="G1068" t="s">
        <v>22</v>
      </c>
      <c r="H1068" t="s">
        <v>23</v>
      </c>
      <c r="I1068" t="s">
        <v>24</v>
      </c>
      <c r="J1068">
        <v>85905</v>
      </c>
      <c r="K1068">
        <v>8595</v>
      </c>
      <c r="L1068" t="s">
        <v>25</v>
      </c>
      <c r="M1068" t="s">
        <v>26</v>
      </c>
      <c r="N1068" t="s">
        <v>27</v>
      </c>
      <c r="O1068" t="s">
        <v>35</v>
      </c>
      <c r="P1068" t="s">
        <v>26</v>
      </c>
      <c r="Q1068">
        <v>0</v>
      </c>
    </row>
    <row r="1069" spans="1:17" x14ac:dyDescent="0.25">
      <c r="A1069" t="s">
        <v>29</v>
      </c>
      <c r="B1069" t="s">
        <v>18</v>
      </c>
      <c r="C1069">
        <v>157500</v>
      </c>
      <c r="D1069" t="s">
        <v>19</v>
      </c>
      <c r="E1069" t="s">
        <v>20</v>
      </c>
      <c r="F1069" t="s">
        <v>21</v>
      </c>
      <c r="G1069" t="s">
        <v>22</v>
      </c>
      <c r="H1069" t="s">
        <v>23</v>
      </c>
      <c r="I1069" t="s">
        <v>24</v>
      </c>
      <c r="J1069">
        <v>129361.5</v>
      </c>
      <c r="K1069">
        <v>0</v>
      </c>
      <c r="L1069" t="s">
        <v>25</v>
      </c>
      <c r="M1069" t="s">
        <v>26</v>
      </c>
      <c r="N1069" t="s">
        <v>27</v>
      </c>
      <c r="O1069" t="s">
        <v>35</v>
      </c>
      <c r="P1069" t="s">
        <v>26</v>
      </c>
      <c r="Q1069">
        <v>0</v>
      </c>
    </row>
    <row r="1070" spans="1:17" x14ac:dyDescent="0.25">
      <c r="A1070" t="s">
        <v>29</v>
      </c>
      <c r="B1070" t="s">
        <v>18</v>
      </c>
      <c r="C1070">
        <v>67500</v>
      </c>
      <c r="D1070" t="s">
        <v>46</v>
      </c>
      <c r="E1070" t="s">
        <v>20</v>
      </c>
      <c r="F1070" t="s">
        <v>54</v>
      </c>
      <c r="G1070" t="s">
        <v>22</v>
      </c>
      <c r="H1070" t="s">
        <v>28</v>
      </c>
      <c r="I1070" t="s">
        <v>24</v>
      </c>
      <c r="J1070">
        <v>58455</v>
      </c>
      <c r="K1070">
        <v>5845.5</v>
      </c>
      <c r="L1070" t="s">
        <v>51</v>
      </c>
      <c r="M1070" t="s">
        <v>26</v>
      </c>
      <c r="N1070" t="s">
        <v>27</v>
      </c>
      <c r="O1070" t="s">
        <v>35</v>
      </c>
      <c r="P1070" t="s">
        <v>26</v>
      </c>
      <c r="Q1070">
        <v>0</v>
      </c>
    </row>
    <row r="1071" spans="1:17" x14ac:dyDescent="0.25">
      <c r="A1071" t="s">
        <v>29</v>
      </c>
      <c r="B1071" t="s">
        <v>18</v>
      </c>
      <c r="C1071">
        <v>67500</v>
      </c>
      <c r="D1071" t="s">
        <v>46</v>
      </c>
      <c r="E1071" t="s">
        <v>20</v>
      </c>
      <c r="F1071" t="s">
        <v>54</v>
      </c>
      <c r="G1071" t="s">
        <v>22</v>
      </c>
      <c r="H1071" t="s">
        <v>28</v>
      </c>
      <c r="I1071" t="s">
        <v>24</v>
      </c>
      <c r="J1071">
        <v>200997</v>
      </c>
      <c r="K1071">
        <v>40203</v>
      </c>
      <c r="L1071" t="s">
        <v>43</v>
      </c>
      <c r="M1071" t="s">
        <v>26</v>
      </c>
      <c r="N1071" t="s">
        <v>27</v>
      </c>
      <c r="O1071" t="s">
        <v>35</v>
      </c>
      <c r="P1071" t="s">
        <v>26</v>
      </c>
      <c r="Q1071">
        <v>0</v>
      </c>
    </row>
    <row r="1072" spans="1:17" x14ac:dyDescent="0.25">
      <c r="A1072" t="s">
        <v>29</v>
      </c>
      <c r="B1072" t="s">
        <v>36</v>
      </c>
      <c r="C1072">
        <v>135000</v>
      </c>
      <c r="D1072" t="s">
        <v>44</v>
      </c>
      <c r="E1072" t="s">
        <v>20</v>
      </c>
      <c r="F1072" t="s">
        <v>32</v>
      </c>
      <c r="G1072" t="s">
        <v>22</v>
      </c>
      <c r="H1072" t="s">
        <v>110</v>
      </c>
      <c r="I1072" t="s">
        <v>24</v>
      </c>
      <c r="J1072">
        <v>360000</v>
      </c>
      <c r="K1072">
        <v>0</v>
      </c>
      <c r="L1072" t="s">
        <v>43</v>
      </c>
      <c r="M1072" t="s">
        <v>26</v>
      </c>
      <c r="N1072" t="s">
        <v>27</v>
      </c>
      <c r="O1072" t="s">
        <v>35</v>
      </c>
      <c r="P1072" t="s">
        <v>26</v>
      </c>
      <c r="Q1072">
        <v>0</v>
      </c>
    </row>
    <row r="1073" spans="1:17" x14ac:dyDescent="0.25">
      <c r="A1073" t="s">
        <v>29</v>
      </c>
      <c r="B1073" t="s">
        <v>18</v>
      </c>
      <c r="C1073">
        <v>67500</v>
      </c>
      <c r="D1073" t="s">
        <v>46</v>
      </c>
      <c r="E1073" t="s">
        <v>20</v>
      </c>
      <c r="F1073" t="s">
        <v>32</v>
      </c>
      <c r="G1073" t="s">
        <v>22</v>
      </c>
      <c r="H1073" t="s">
        <v>28</v>
      </c>
      <c r="I1073" t="s">
        <v>24</v>
      </c>
      <c r="J1073">
        <v>106713</v>
      </c>
      <c r="K1073">
        <v>0</v>
      </c>
      <c r="L1073" t="s">
        <v>51</v>
      </c>
      <c r="M1073" t="s">
        <v>26</v>
      </c>
      <c r="N1073" t="s">
        <v>27</v>
      </c>
      <c r="O1073" t="s">
        <v>35</v>
      </c>
      <c r="P1073" t="s">
        <v>26</v>
      </c>
      <c r="Q1073">
        <v>0</v>
      </c>
    </row>
    <row r="1074" spans="1:17" x14ac:dyDescent="0.25">
      <c r="A1074" t="s">
        <v>29</v>
      </c>
      <c r="B1074" t="s">
        <v>18</v>
      </c>
      <c r="C1074">
        <v>67500</v>
      </c>
      <c r="D1074" t="s">
        <v>46</v>
      </c>
      <c r="E1074" t="s">
        <v>20</v>
      </c>
      <c r="F1074" t="s">
        <v>32</v>
      </c>
      <c r="G1074" t="s">
        <v>22</v>
      </c>
      <c r="H1074" t="s">
        <v>28</v>
      </c>
      <c r="I1074" t="s">
        <v>24</v>
      </c>
      <c r="J1074">
        <v>266220</v>
      </c>
      <c r="K1074">
        <v>0</v>
      </c>
      <c r="L1074" t="s">
        <v>38</v>
      </c>
      <c r="M1074" t="s">
        <v>26</v>
      </c>
      <c r="N1074" t="s">
        <v>27</v>
      </c>
      <c r="O1074" t="s">
        <v>35</v>
      </c>
      <c r="P1074" t="s">
        <v>26</v>
      </c>
      <c r="Q1074">
        <v>0</v>
      </c>
    </row>
    <row r="1075" spans="1:17" x14ac:dyDescent="0.25">
      <c r="A1075" t="s">
        <v>29</v>
      </c>
      <c r="B1075" t="s">
        <v>18</v>
      </c>
      <c r="C1075">
        <v>90000</v>
      </c>
      <c r="D1075" t="s">
        <v>19</v>
      </c>
      <c r="E1075" t="s">
        <v>31</v>
      </c>
      <c r="F1075" t="s">
        <v>32</v>
      </c>
      <c r="G1075" t="s">
        <v>22</v>
      </c>
      <c r="H1075" t="s">
        <v>33</v>
      </c>
      <c r="I1075" t="s">
        <v>24</v>
      </c>
      <c r="J1075">
        <v>111649.5</v>
      </c>
      <c r="K1075">
        <v>55827</v>
      </c>
      <c r="L1075" t="s">
        <v>42</v>
      </c>
      <c r="M1075" t="s">
        <v>26</v>
      </c>
      <c r="N1075" t="s">
        <v>27</v>
      </c>
      <c r="O1075" t="s">
        <v>35</v>
      </c>
      <c r="P1075" t="s">
        <v>26</v>
      </c>
      <c r="Q1075">
        <v>0</v>
      </c>
    </row>
    <row r="1076" spans="1:17" x14ac:dyDescent="0.25">
      <c r="A1076" t="s">
        <v>29</v>
      </c>
      <c r="B1076" t="s">
        <v>18</v>
      </c>
      <c r="C1076">
        <v>90000</v>
      </c>
      <c r="D1076" t="s">
        <v>19</v>
      </c>
      <c r="E1076" t="s">
        <v>31</v>
      </c>
      <c r="F1076" t="s">
        <v>32</v>
      </c>
      <c r="G1076" t="s">
        <v>22</v>
      </c>
      <c r="H1076" t="s">
        <v>33</v>
      </c>
      <c r="I1076" t="s">
        <v>24</v>
      </c>
      <c r="J1076">
        <v>170100</v>
      </c>
      <c r="K1076">
        <v>17010</v>
      </c>
      <c r="L1076" t="s">
        <v>38</v>
      </c>
      <c r="M1076" t="s">
        <v>26</v>
      </c>
      <c r="N1076" t="s">
        <v>27</v>
      </c>
      <c r="O1076" t="s">
        <v>35</v>
      </c>
      <c r="P1076" t="s">
        <v>26</v>
      </c>
      <c r="Q1076">
        <v>0</v>
      </c>
    </row>
    <row r="1077" spans="1:17" x14ac:dyDescent="0.25">
      <c r="A1077" t="s">
        <v>29</v>
      </c>
      <c r="B1077" t="s">
        <v>18</v>
      </c>
      <c r="C1077">
        <v>214650</v>
      </c>
      <c r="D1077" t="s">
        <v>19</v>
      </c>
      <c r="E1077" t="s">
        <v>31</v>
      </c>
      <c r="F1077" t="s">
        <v>32</v>
      </c>
      <c r="G1077" t="s">
        <v>62</v>
      </c>
      <c r="H1077" t="s">
        <v>103</v>
      </c>
      <c r="I1077" t="s">
        <v>24</v>
      </c>
      <c r="J1077">
        <v>171544.5</v>
      </c>
      <c r="K1077">
        <v>0</v>
      </c>
      <c r="L1077" t="s">
        <v>34</v>
      </c>
      <c r="M1077" t="s">
        <v>26</v>
      </c>
      <c r="N1077" t="s">
        <v>27</v>
      </c>
      <c r="O1077" t="s">
        <v>35</v>
      </c>
      <c r="P1077" t="s">
        <v>26</v>
      </c>
      <c r="Q1077">
        <v>0</v>
      </c>
    </row>
    <row r="1078" spans="1:17" x14ac:dyDescent="0.25">
      <c r="A1078" t="s">
        <v>29</v>
      </c>
      <c r="B1078" t="s">
        <v>18</v>
      </c>
      <c r="C1078">
        <v>135000</v>
      </c>
      <c r="D1078" t="s">
        <v>19</v>
      </c>
      <c r="E1078" t="s">
        <v>31</v>
      </c>
      <c r="F1078" t="s">
        <v>32</v>
      </c>
      <c r="G1078" t="s">
        <v>22</v>
      </c>
      <c r="H1078" t="s">
        <v>41</v>
      </c>
      <c r="I1078" t="s">
        <v>24</v>
      </c>
      <c r="J1078">
        <v>25600.5</v>
      </c>
      <c r="K1078">
        <v>2560.5</v>
      </c>
      <c r="L1078" t="s">
        <v>43</v>
      </c>
      <c r="M1078" t="s">
        <v>26</v>
      </c>
      <c r="N1078" t="s">
        <v>27</v>
      </c>
      <c r="O1078" t="s">
        <v>35</v>
      </c>
      <c r="P1078" t="s">
        <v>26</v>
      </c>
      <c r="Q1078">
        <v>0</v>
      </c>
    </row>
    <row r="1079" spans="1:17" x14ac:dyDescent="0.25">
      <c r="A1079" t="s">
        <v>29</v>
      </c>
      <c r="B1079" t="s">
        <v>18</v>
      </c>
      <c r="C1079">
        <v>135000</v>
      </c>
      <c r="D1079" t="s">
        <v>19</v>
      </c>
      <c r="E1079" t="s">
        <v>31</v>
      </c>
      <c r="F1079" t="s">
        <v>32</v>
      </c>
      <c r="G1079" t="s">
        <v>22</v>
      </c>
      <c r="H1079" t="s">
        <v>41</v>
      </c>
      <c r="I1079" t="s">
        <v>24</v>
      </c>
      <c r="J1079">
        <v>51705</v>
      </c>
      <c r="K1079">
        <v>10350</v>
      </c>
      <c r="L1079" t="s">
        <v>38</v>
      </c>
      <c r="M1079" t="s">
        <v>26</v>
      </c>
      <c r="N1079" t="s">
        <v>27</v>
      </c>
      <c r="O1079" t="s">
        <v>35</v>
      </c>
      <c r="P1079" t="s">
        <v>26</v>
      </c>
      <c r="Q1079">
        <v>0</v>
      </c>
    </row>
    <row r="1080" spans="1:17" x14ac:dyDescent="0.25">
      <c r="A1080" t="s">
        <v>29</v>
      </c>
      <c r="B1080" t="s">
        <v>18</v>
      </c>
      <c r="C1080">
        <v>135000</v>
      </c>
      <c r="D1080" t="s">
        <v>19</v>
      </c>
      <c r="E1080" t="s">
        <v>31</v>
      </c>
      <c r="F1080" t="s">
        <v>32</v>
      </c>
      <c r="G1080" t="s">
        <v>22</v>
      </c>
      <c r="H1080" t="s">
        <v>41</v>
      </c>
      <c r="I1080" t="s">
        <v>24</v>
      </c>
      <c r="J1080">
        <v>23485.5</v>
      </c>
      <c r="K1080">
        <v>2349</v>
      </c>
      <c r="L1080" t="s">
        <v>42</v>
      </c>
      <c r="M1080" t="s">
        <v>26</v>
      </c>
      <c r="N1080" t="s">
        <v>27</v>
      </c>
      <c r="O1080" t="s">
        <v>35</v>
      </c>
      <c r="P1080" t="s">
        <v>26</v>
      </c>
      <c r="Q1080">
        <v>0</v>
      </c>
    </row>
    <row r="1081" spans="1:17" x14ac:dyDescent="0.25">
      <c r="A1081" t="s">
        <v>29</v>
      </c>
      <c r="B1081" t="s">
        <v>18</v>
      </c>
      <c r="C1081">
        <v>112500</v>
      </c>
      <c r="D1081" t="s">
        <v>19</v>
      </c>
      <c r="E1081" t="s">
        <v>20</v>
      </c>
      <c r="F1081" t="s">
        <v>32</v>
      </c>
      <c r="G1081" t="s">
        <v>22</v>
      </c>
      <c r="H1081" t="s">
        <v>37</v>
      </c>
      <c r="I1081" t="s">
        <v>66</v>
      </c>
      <c r="J1081">
        <v>225000</v>
      </c>
      <c r="K1081">
        <v>0</v>
      </c>
      <c r="L1081" t="s">
        <v>45</v>
      </c>
      <c r="M1081" t="s">
        <v>28</v>
      </c>
      <c r="N1081" t="s">
        <v>58</v>
      </c>
      <c r="O1081" t="s">
        <v>28</v>
      </c>
      <c r="P1081" t="s">
        <v>59</v>
      </c>
      <c r="Q1081">
        <v>1</v>
      </c>
    </row>
    <row r="1082" spans="1:17" x14ac:dyDescent="0.25">
      <c r="A1082" t="s">
        <v>29</v>
      </c>
      <c r="B1082" t="s">
        <v>18</v>
      </c>
      <c r="C1082">
        <v>112500</v>
      </c>
      <c r="D1082" t="s">
        <v>19</v>
      </c>
      <c r="E1082" t="s">
        <v>20</v>
      </c>
      <c r="F1082" t="s">
        <v>32</v>
      </c>
      <c r="G1082" t="s">
        <v>22</v>
      </c>
      <c r="H1082" t="s">
        <v>37</v>
      </c>
      <c r="I1082" t="s">
        <v>66</v>
      </c>
      <c r="J1082">
        <v>180000</v>
      </c>
      <c r="K1082">
        <v>0</v>
      </c>
      <c r="L1082" t="s">
        <v>45</v>
      </c>
      <c r="M1082" t="s">
        <v>28</v>
      </c>
      <c r="N1082" t="s">
        <v>27</v>
      </c>
      <c r="O1082" t="s">
        <v>28</v>
      </c>
      <c r="P1082" t="s">
        <v>26</v>
      </c>
      <c r="Q1082">
        <v>0</v>
      </c>
    </row>
    <row r="1083" spans="1:17" x14ac:dyDescent="0.25">
      <c r="A1083" t="s">
        <v>17</v>
      </c>
      <c r="B1083" t="s">
        <v>18</v>
      </c>
      <c r="C1083">
        <v>135000</v>
      </c>
      <c r="D1083" t="s">
        <v>19</v>
      </c>
      <c r="E1083" t="s">
        <v>20</v>
      </c>
      <c r="F1083" t="s">
        <v>21</v>
      </c>
      <c r="G1083" t="s">
        <v>22</v>
      </c>
      <c r="H1083" t="s">
        <v>49</v>
      </c>
      <c r="I1083" t="s">
        <v>24</v>
      </c>
      <c r="J1083">
        <v>79920</v>
      </c>
      <c r="K1083">
        <v>0</v>
      </c>
      <c r="L1083" t="s">
        <v>25</v>
      </c>
      <c r="M1083" t="s">
        <v>26</v>
      </c>
      <c r="N1083" t="s">
        <v>58</v>
      </c>
      <c r="O1083" t="s">
        <v>28</v>
      </c>
      <c r="P1083" t="s">
        <v>60</v>
      </c>
      <c r="Q1083">
        <v>1</v>
      </c>
    </row>
    <row r="1084" spans="1:17" x14ac:dyDescent="0.25">
      <c r="A1084" t="s">
        <v>17</v>
      </c>
      <c r="B1084" t="s">
        <v>18</v>
      </c>
      <c r="C1084">
        <v>135000</v>
      </c>
      <c r="D1084" t="s">
        <v>19</v>
      </c>
      <c r="E1084" t="s">
        <v>20</v>
      </c>
      <c r="F1084" t="s">
        <v>21</v>
      </c>
      <c r="G1084" t="s">
        <v>22</v>
      </c>
      <c r="H1084" t="s">
        <v>49</v>
      </c>
      <c r="I1084" t="s">
        <v>24</v>
      </c>
      <c r="J1084">
        <v>45630</v>
      </c>
      <c r="K1084">
        <v>0</v>
      </c>
      <c r="L1084" t="s">
        <v>45</v>
      </c>
      <c r="M1084" t="s">
        <v>26</v>
      </c>
      <c r="N1084" t="s">
        <v>27</v>
      </c>
      <c r="O1084" t="s">
        <v>28</v>
      </c>
      <c r="P1084" t="s">
        <v>26</v>
      </c>
      <c r="Q1084">
        <v>0</v>
      </c>
    </row>
    <row r="1085" spans="1:17" x14ac:dyDescent="0.25">
      <c r="A1085" t="s">
        <v>29</v>
      </c>
      <c r="B1085" t="s">
        <v>18</v>
      </c>
      <c r="C1085">
        <v>112500</v>
      </c>
      <c r="D1085" t="s">
        <v>46</v>
      </c>
      <c r="E1085" t="s">
        <v>20</v>
      </c>
      <c r="F1085" t="s">
        <v>32</v>
      </c>
      <c r="G1085" t="s">
        <v>22</v>
      </c>
      <c r="H1085" t="s">
        <v>28</v>
      </c>
      <c r="I1085" t="s">
        <v>24</v>
      </c>
      <c r="J1085">
        <v>145269</v>
      </c>
      <c r="K1085">
        <v>0</v>
      </c>
      <c r="L1085" t="s">
        <v>45</v>
      </c>
      <c r="M1085" t="s">
        <v>26</v>
      </c>
      <c r="N1085" t="s">
        <v>27</v>
      </c>
      <c r="O1085" t="s">
        <v>35</v>
      </c>
      <c r="P1085" t="s">
        <v>26</v>
      </c>
      <c r="Q1085">
        <v>0</v>
      </c>
    </row>
    <row r="1086" spans="1:17" x14ac:dyDescent="0.25">
      <c r="A1086" t="s">
        <v>29</v>
      </c>
      <c r="B1086" t="s">
        <v>18</v>
      </c>
      <c r="C1086">
        <v>67500</v>
      </c>
      <c r="D1086" t="s">
        <v>19</v>
      </c>
      <c r="E1086" t="s">
        <v>20</v>
      </c>
      <c r="F1086" t="s">
        <v>39</v>
      </c>
      <c r="G1086" t="s">
        <v>22</v>
      </c>
      <c r="H1086" t="s">
        <v>92</v>
      </c>
      <c r="I1086" t="s">
        <v>24</v>
      </c>
      <c r="J1086">
        <v>15277.5</v>
      </c>
      <c r="K1086">
        <v>1530</v>
      </c>
      <c r="L1086" t="s">
        <v>43</v>
      </c>
      <c r="M1086" t="s">
        <v>26</v>
      </c>
      <c r="N1086" t="s">
        <v>27</v>
      </c>
      <c r="O1086" t="s">
        <v>35</v>
      </c>
      <c r="P1086" t="s">
        <v>26</v>
      </c>
      <c r="Q1086">
        <v>0</v>
      </c>
    </row>
    <row r="1087" spans="1:17" x14ac:dyDescent="0.25">
      <c r="A1087" t="s">
        <v>29</v>
      </c>
      <c r="B1087" t="s">
        <v>18</v>
      </c>
      <c r="C1087">
        <v>67500</v>
      </c>
      <c r="D1087" t="s">
        <v>19</v>
      </c>
      <c r="E1087" t="s">
        <v>31</v>
      </c>
      <c r="F1087" t="s">
        <v>32</v>
      </c>
      <c r="G1087" t="s">
        <v>22</v>
      </c>
      <c r="H1087" t="s">
        <v>50</v>
      </c>
      <c r="I1087" t="s">
        <v>24</v>
      </c>
      <c r="J1087">
        <v>58041</v>
      </c>
      <c r="K1087">
        <v>0</v>
      </c>
      <c r="L1087" t="s">
        <v>25</v>
      </c>
      <c r="M1087" t="s">
        <v>26</v>
      </c>
      <c r="N1087" t="s">
        <v>76</v>
      </c>
      <c r="O1087" t="s">
        <v>35</v>
      </c>
      <c r="P1087" t="s">
        <v>77</v>
      </c>
      <c r="Q1087">
        <v>0</v>
      </c>
    </row>
    <row r="1088" spans="1:17" x14ac:dyDescent="0.25">
      <c r="A1088" t="s">
        <v>29</v>
      </c>
      <c r="B1088" t="s">
        <v>18</v>
      </c>
      <c r="C1088">
        <v>67500</v>
      </c>
      <c r="D1088" t="s">
        <v>19</v>
      </c>
      <c r="E1088" t="s">
        <v>31</v>
      </c>
      <c r="F1088" t="s">
        <v>32</v>
      </c>
      <c r="G1088" t="s">
        <v>22</v>
      </c>
      <c r="H1088" t="s">
        <v>50</v>
      </c>
      <c r="I1088" t="s">
        <v>24</v>
      </c>
      <c r="J1088">
        <v>31455</v>
      </c>
      <c r="K1088">
        <v>0</v>
      </c>
      <c r="L1088" t="s">
        <v>38</v>
      </c>
      <c r="M1088" t="s">
        <v>26</v>
      </c>
      <c r="N1088" t="s">
        <v>27</v>
      </c>
      <c r="O1088" t="s">
        <v>35</v>
      </c>
      <c r="P1088" t="s">
        <v>26</v>
      </c>
      <c r="Q1088">
        <v>0</v>
      </c>
    </row>
    <row r="1089" spans="1:17" x14ac:dyDescent="0.25">
      <c r="A1089" t="s">
        <v>29</v>
      </c>
      <c r="B1089" t="s">
        <v>18</v>
      </c>
      <c r="C1089">
        <v>81000</v>
      </c>
      <c r="D1089" t="s">
        <v>30</v>
      </c>
      <c r="E1089" t="s">
        <v>20</v>
      </c>
      <c r="F1089" t="s">
        <v>21</v>
      </c>
      <c r="G1089" t="s">
        <v>22</v>
      </c>
      <c r="H1089" t="s">
        <v>57</v>
      </c>
      <c r="I1089" t="s">
        <v>24</v>
      </c>
      <c r="J1089">
        <v>129838.5</v>
      </c>
      <c r="K1089">
        <v>12987</v>
      </c>
      <c r="L1089" t="s">
        <v>38</v>
      </c>
      <c r="M1089" t="s">
        <v>26</v>
      </c>
      <c r="N1089" t="s">
        <v>27</v>
      </c>
      <c r="O1089" t="s">
        <v>35</v>
      </c>
      <c r="P1089" t="s">
        <v>26</v>
      </c>
      <c r="Q1089">
        <v>0</v>
      </c>
    </row>
    <row r="1090" spans="1:17" x14ac:dyDescent="0.25">
      <c r="A1090" t="s">
        <v>29</v>
      </c>
      <c r="B1090" t="s">
        <v>18</v>
      </c>
      <c r="C1090">
        <v>81000</v>
      </c>
      <c r="D1090" t="s">
        <v>30</v>
      </c>
      <c r="E1090" t="s">
        <v>20</v>
      </c>
      <c r="F1090" t="s">
        <v>21</v>
      </c>
      <c r="G1090" t="s">
        <v>22</v>
      </c>
      <c r="H1090" t="s">
        <v>57</v>
      </c>
      <c r="I1090" t="s">
        <v>24</v>
      </c>
      <c r="J1090">
        <v>19800</v>
      </c>
      <c r="K1090">
        <v>1980</v>
      </c>
      <c r="L1090" t="s">
        <v>45</v>
      </c>
      <c r="M1090" t="s">
        <v>26</v>
      </c>
      <c r="N1090" t="s">
        <v>27</v>
      </c>
      <c r="O1090" t="s">
        <v>35</v>
      </c>
      <c r="P1090" t="s">
        <v>26</v>
      </c>
      <c r="Q1090">
        <v>0</v>
      </c>
    </row>
    <row r="1091" spans="1:17" x14ac:dyDescent="0.25">
      <c r="A1091" t="s">
        <v>29</v>
      </c>
      <c r="B1091" t="s">
        <v>18</v>
      </c>
      <c r="C1091">
        <v>117000</v>
      </c>
      <c r="D1091" t="s">
        <v>46</v>
      </c>
      <c r="E1091" t="s">
        <v>20</v>
      </c>
      <c r="F1091" t="s">
        <v>54</v>
      </c>
      <c r="G1091" t="s">
        <v>73</v>
      </c>
      <c r="H1091" t="s">
        <v>28</v>
      </c>
      <c r="I1091" t="s">
        <v>24</v>
      </c>
      <c r="J1091">
        <v>149949</v>
      </c>
      <c r="K1091">
        <v>0</v>
      </c>
      <c r="L1091" t="s">
        <v>45</v>
      </c>
      <c r="M1091" t="s">
        <v>26</v>
      </c>
      <c r="N1091" t="s">
        <v>27</v>
      </c>
      <c r="O1091" t="s">
        <v>35</v>
      </c>
      <c r="P1091" t="s">
        <v>26</v>
      </c>
      <c r="Q1091">
        <v>0</v>
      </c>
    </row>
    <row r="1092" spans="1:17" x14ac:dyDescent="0.25">
      <c r="A1092" t="s">
        <v>29</v>
      </c>
      <c r="B1092" t="s">
        <v>18</v>
      </c>
      <c r="C1092">
        <v>117000</v>
      </c>
      <c r="D1092" t="s">
        <v>46</v>
      </c>
      <c r="E1092" t="s">
        <v>20</v>
      </c>
      <c r="F1092" t="s">
        <v>54</v>
      </c>
      <c r="G1092" t="s">
        <v>73</v>
      </c>
      <c r="H1092" t="s">
        <v>28</v>
      </c>
      <c r="I1092" t="s">
        <v>24</v>
      </c>
      <c r="J1092">
        <v>85004.55</v>
      </c>
      <c r="K1092">
        <v>8504.5499999999993</v>
      </c>
      <c r="L1092" t="s">
        <v>43</v>
      </c>
      <c r="M1092" t="s">
        <v>26</v>
      </c>
      <c r="N1092" t="s">
        <v>58</v>
      </c>
      <c r="O1092" t="s">
        <v>35</v>
      </c>
      <c r="P1092" t="s">
        <v>64</v>
      </c>
      <c r="Q1092">
        <v>1</v>
      </c>
    </row>
    <row r="1093" spans="1:17" x14ac:dyDescent="0.25">
      <c r="A1093" t="s">
        <v>29</v>
      </c>
      <c r="B1093" t="s">
        <v>18</v>
      </c>
      <c r="C1093">
        <v>45000</v>
      </c>
      <c r="D1093" t="s">
        <v>19</v>
      </c>
      <c r="E1093" t="s">
        <v>20</v>
      </c>
      <c r="F1093" t="s">
        <v>32</v>
      </c>
      <c r="G1093" t="s">
        <v>22</v>
      </c>
      <c r="H1093" t="s">
        <v>23</v>
      </c>
      <c r="I1093" t="s">
        <v>24</v>
      </c>
      <c r="J1093">
        <v>26703</v>
      </c>
      <c r="K1093">
        <v>0</v>
      </c>
      <c r="L1093" t="s">
        <v>25</v>
      </c>
      <c r="M1093" t="s">
        <v>26</v>
      </c>
      <c r="N1093" t="s">
        <v>27</v>
      </c>
      <c r="O1093" t="s">
        <v>28</v>
      </c>
      <c r="P1093" t="s">
        <v>26</v>
      </c>
      <c r="Q1093">
        <v>0</v>
      </c>
    </row>
    <row r="1094" spans="1:17" x14ac:dyDescent="0.25">
      <c r="A1094" t="s">
        <v>29</v>
      </c>
      <c r="B1094" t="s">
        <v>18</v>
      </c>
      <c r="C1094">
        <v>337500</v>
      </c>
      <c r="D1094" t="s">
        <v>19</v>
      </c>
      <c r="E1094" t="s">
        <v>20</v>
      </c>
      <c r="F1094" t="s">
        <v>32</v>
      </c>
      <c r="G1094" t="s">
        <v>22</v>
      </c>
      <c r="H1094" t="s">
        <v>75</v>
      </c>
      <c r="I1094" t="s">
        <v>24</v>
      </c>
      <c r="J1094">
        <v>44505</v>
      </c>
      <c r="K1094">
        <v>9000</v>
      </c>
      <c r="L1094" t="s">
        <v>38</v>
      </c>
      <c r="M1094" t="s">
        <v>26</v>
      </c>
      <c r="N1094" t="s">
        <v>27</v>
      </c>
      <c r="O1094" t="s">
        <v>35</v>
      </c>
      <c r="P1094" t="s">
        <v>26</v>
      </c>
      <c r="Q1094">
        <v>0</v>
      </c>
    </row>
    <row r="1095" spans="1:17" x14ac:dyDescent="0.25">
      <c r="A1095" t="s">
        <v>29</v>
      </c>
      <c r="B1095" t="s">
        <v>18</v>
      </c>
      <c r="C1095">
        <v>337500</v>
      </c>
      <c r="D1095" t="s">
        <v>19</v>
      </c>
      <c r="E1095" t="s">
        <v>20</v>
      </c>
      <c r="F1095" t="s">
        <v>32</v>
      </c>
      <c r="G1095" t="s">
        <v>22</v>
      </c>
      <c r="H1095" t="s">
        <v>75</v>
      </c>
      <c r="I1095" t="s">
        <v>66</v>
      </c>
      <c r="J1095">
        <v>270000</v>
      </c>
      <c r="K1095">
        <v>0</v>
      </c>
      <c r="L1095" t="s">
        <v>38</v>
      </c>
      <c r="M1095" t="s">
        <v>28</v>
      </c>
      <c r="N1095" t="s">
        <v>27</v>
      </c>
      <c r="O1095" t="s">
        <v>35</v>
      </c>
      <c r="P1095" t="s">
        <v>26</v>
      </c>
      <c r="Q1095">
        <v>0</v>
      </c>
    </row>
    <row r="1096" spans="1:17" x14ac:dyDescent="0.25">
      <c r="A1096" t="s">
        <v>29</v>
      </c>
      <c r="B1096" t="s">
        <v>18</v>
      </c>
      <c r="C1096">
        <v>225000</v>
      </c>
      <c r="D1096" t="s">
        <v>44</v>
      </c>
      <c r="E1096" t="s">
        <v>20</v>
      </c>
      <c r="F1096" t="s">
        <v>39</v>
      </c>
      <c r="G1096" t="s">
        <v>22</v>
      </c>
      <c r="H1096" t="s">
        <v>23</v>
      </c>
      <c r="I1096" t="s">
        <v>24</v>
      </c>
      <c r="J1096">
        <v>84330</v>
      </c>
      <c r="K1096">
        <v>8550</v>
      </c>
      <c r="L1096" t="s">
        <v>43</v>
      </c>
      <c r="M1096" t="s">
        <v>26</v>
      </c>
      <c r="N1096" t="s">
        <v>27</v>
      </c>
      <c r="O1096" t="s">
        <v>35</v>
      </c>
      <c r="P1096" t="s">
        <v>26</v>
      </c>
      <c r="Q1096">
        <v>0</v>
      </c>
    </row>
    <row r="1097" spans="1:17" x14ac:dyDescent="0.25">
      <c r="A1097" t="s">
        <v>17</v>
      </c>
      <c r="B1097" t="s">
        <v>18</v>
      </c>
      <c r="C1097">
        <v>360000</v>
      </c>
      <c r="D1097" t="s">
        <v>44</v>
      </c>
      <c r="E1097" t="s">
        <v>31</v>
      </c>
      <c r="F1097" t="s">
        <v>21</v>
      </c>
      <c r="G1097" t="s">
        <v>22</v>
      </c>
      <c r="H1097" t="s">
        <v>91</v>
      </c>
      <c r="I1097" t="s">
        <v>24</v>
      </c>
      <c r="J1097">
        <v>89838</v>
      </c>
      <c r="K1097">
        <v>0</v>
      </c>
      <c r="L1097" t="s">
        <v>25</v>
      </c>
      <c r="M1097" t="s">
        <v>26</v>
      </c>
      <c r="N1097" t="s">
        <v>27</v>
      </c>
      <c r="O1097" t="s">
        <v>35</v>
      </c>
      <c r="P1097" t="s">
        <v>26</v>
      </c>
      <c r="Q1097">
        <v>0</v>
      </c>
    </row>
    <row r="1098" spans="1:17" x14ac:dyDescent="0.25">
      <c r="A1098" t="s">
        <v>17</v>
      </c>
      <c r="B1098" t="s">
        <v>18</v>
      </c>
      <c r="C1098">
        <v>360000</v>
      </c>
      <c r="D1098" t="s">
        <v>44</v>
      </c>
      <c r="E1098" t="s">
        <v>31</v>
      </c>
      <c r="F1098" t="s">
        <v>21</v>
      </c>
      <c r="G1098" t="s">
        <v>22</v>
      </c>
      <c r="H1098" t="s">
        <v>91</v>
      </c>
      <c r="I1098" t="s">
        <v>24</v>
      </c>
      <c r="J1098">
        <v>135378</v>
      </c>
      <c r="K1098">
        <v>0</v>
      </c>
      <c r="L1098" t="s">
        <v>38</v>
      </c>
      <c r="M1098" t="s">
        <v>26</v>
      </c>
      <c r="N1098" t="s">
        <v>27</v>
      </c>
      <c r="O1098" t="s">
        <v>35</v>
      </c>
      <c r="P1098" t="s">
        <v>26</v>
      </c>
      <c r="Q1098">
        <v>0</v>
      </c>
    </row>
    <row r="1099" spans="1:17" x14ac:dyDescent="0.25">
      <c r="A1099" t="s">
        <v>17</v>
      </c>
      <c r="B1099" t="s">
        <v>18</v>
      </c>
      <c r="C1099">
        <v>225000</v>
      </c>
      <c r="D1099" t="s">
        <v>44</v>
      </c>
      <c r="E1099" t="s">
        <v>31</v>
      </c>
      <c r="F1099" t="s">
        <v>32</v>
      </c>
      <c r="G1099" t="s">
        <v>22</v>
      </c>
      <c r="H1099" t="s">
        <v>23</v>
      </c>
      <c r="I1099" t="s">
        <v>24</v>
      </c>
      <c r="J1099">
        <v>98311.5</v>
      </c>
      <c r="K1099">
        <v>11799</v>
      </c>
      <c r="L1099" t="s">
        <v>38</v>
      </c>
      <c r="M1099" t="s">
        <v>26</v>
      </c>
      <c r="N1099" t="s">
        <v>27</v>
      </c>
      <c r="O1099" t="s">
        <v>35</v>
      </c>
      <c r="P1099" t="s">
        <v>26</v>
      </c>
      <c r="Q1099">
        <v>0</v>
      </c>
    </row>
    <row r="1100" spans="1:17" x14ac:dyDescent="0.25">
      <c r="A1100" t="s">
        <v>17</v>
      </c>
      <c r="B1100" t="s">
        <v>18</v>
      </c>
      <c r="C1100">
        <v>225000</v>
      </c>
      <c r="D1100" t="s">
        <v>44</v>
      </c>
      <c r="E1100" t="s">
        <v>31</v>
      </c>
      <c r="F1100" t="s">
        <v>32</v>
      </c>
      <c r="G1100" t="s">
        <v>22</v>
      </c>
      <c r="H1100" t="s">
        <v>23</v>
      </c>
      <c r="I1100" t="s">
        <v>24</v>
      </c>
      <c r="J1100">
        <v>89802</v>
      </c>
      <c r="K1100">
        <v>8982</v>
      </c>
      <c r="L1100" t="s">
        <v>51</v>
      </c>
      <c r="M1100" t="s">
        <v>26</v>
      </c>
      <c r="N1100" t="s">
        <v>58</v>
      </c>
      <c r="O1100" t="s">
        <v>35</v>
      </c>
      <c r="P1100" t="s">
        <v>64</v>
      </c>
      <c r="Q1100">
        <v>1</v>
      </c>
    </row>
    <row r="1101" spans="1:17" x14ac:dyDescent="0.25">
      <c r="A1101" t="s">
        <v>17</v>
      </c>
      <c r="B1101" t="s">
        <v>18</v>
      </c>
      <c r="C1101">
        <v>225000</v>
      </c>
      <c r="D1101" t="s">
        <v>44</v>
      </c>
      <c r="E1101" t="s">
        <v>31</v>
      </c>
      <c r="F1101" t="s">
        <v>32</v>
      </c>
      <c r="G1101" t="s">
        <v>22</v>
      </c>
      <c r="H1101" t="s">
        <v>23</v>
      </c>
      <c r="I1101" t="s">
        <v>24</v>
      </c>
      <c r="J1101">
        <v>66181.5</v>
      </c>
      <c r="K1101">
        <v>0</v>
      </c>
      <c r="L1101" t="s">
        <v>45</v>
      </c>
      <c r="M1101" t="s">
        <v>26</v>
      </c>
      <c r="N1101" t="s">
        <v>27</v>
      </c>
      <c r="O1101" t="s">
        <v>35</v>
      </c>
      <c r="P1101" t="s">
        <v>26</v>
      </c>
      <c r="Q1101">
        <v>0</v>
      </c>
    </row>
    <row r="1102" spans="1:17" x14ac:dyDescent="0.25">
      <c r="A1102" t="s">
        <v>17</v>
      </c>
      <c r="B1102" t="s">
        <v>18</v>
      </c>
      <c r="C1102">
        <v>225000</v>
      </c>
      <c r="D1102" t="s">
        <v>44</v>
      </c>
      <c r="E1102" t="s">
        <v>31</v>
      </c>
      <c r="F1102" t="s">
        <v>32</v>
      </c>
      <c r="G1102" t="s">
        <v>22</v>
      </c>
      <c r="H1102" t="s">
        <v>23</v>
      </c>
      <c r="I1102" t="s">
        <v>24</v>
      </c>
      <c r="J1102">
        <v>24255</v>
      </c>
      <c r="K1102">
        <v>2425.5</v>
      </c>
      <c r="L1102" t="s">
        <v>34</v>
      </c>
      <c r="M1102" t="s">
        <v>26</v>
      </c>
      <c r="N1102" t="s">
        <v>27</v>
      </c>
      <c r="O1102" t="s">
        <v>35</v>
      </c>
      <c r="P1102" t="s">
        <v>26</v>
      </c>
      <c r="Q1102">
        <v>0</v>
      </c>
    </row>
    <row r="1103" spans="1:17" x14ac:dyDescent="0.25">
      <c r="A1103" t="s">
        <v>17</v>
      </c>
      <c r="B1103" t="s">
        <v>18</v>
      </c>
      <c r="C1103">
        <v>225000</v>
      </c>
      <c r="D1103" t="s">
        <v>44</v>
      </c>
      <c r="E1103" t="s">
        <v>31</v>
      </c>
      <c r="F1103" t="s">
        <v>32</v>
      </c>
      <c r="G1103" t="s">
        <v>22</v>
      </c>
      <c r="H1103" t="s">
        <v>23</v>
      </c>
      <c r="I1103" t="s">
        <v>24</v>
      </c>
      <c r="J1103">
        <v>101520</v>
      </c>
      <c r="K1103">
        <v>0</v>
      </c>
      <c r="L1103" t="s">
        <v>25</v>
      </c>
      <c r="M1103" t="s">
        <v>26</v>
      </c>
      <c r="N1103" t="s">
        <v>27</v>
      </c>
      <c r="O1103" t="s">
        <v>35</v>
      </c>
      <c r="P1103" t="s">
        <v>26</v>
      </c>
      <c r="Q1103">
        <v>0</v>
      </c>
    </row>
    <row r="1104" spans="1:17" x14ac:dyDescent="0.25">
      <c r="A1104" t="s">
        <v>17</v>
      </c>
      <c r="B1104" t="s">
        <v>18</v>
      </c>
      <c r="C1104">
        <v>225000</v>
      </c>
      <c r="D1104" t="s">
        <v>44</v>
      </c>
      <c r="E1104" t="s">
        <v>31</v>
      </c>
      <c r="F1104" t="s">
        <v>32</v>
      </c>
      <c r="G1104" t="s">
        <v>22</v>
      </c>
      <c r="H1104" t="s">
        <v>23</v>
      </c>
      <c r="I1104" t="s">
        <v>24</v>
      </c>
      <c r="J1104">
        <v>153513</v>
      </c>
      <c r="K1104">
        <v>0</v>
      </c>
      <c r="L1104" t="s">
        <v>25</v>
      </c>
      <c r="M1104" t="s">
        <v>26</v>
      </c>
      <c r="N1104" t="s">
        <v>58</v>
      </c>
      <c r="O1104" t="s">
        <v>35</v>
      </c>
      <c r="P1104" t="s">
        <v>59</v>
      </c>
      <c r="Q1104">
        <v>1</v>
      </c>
    </row>
    <row r="1105" spans="1:17" x14ac:dyDescent="0.25">
      <c r="A1105" t="s">
        <v>29</v>
      </c>
      <c r="B1105" t="s">
        <v>18</v>
      </c>
      <c r="C1105">
        <v>63000</v>
      </c>
      <c r="D1105" t="s">
        <v>30</v>
      </c>
      <c r="E1105" t="s">
        <v>20</v>
      </c>
      <c r="F1105" t="s">
        <v>32</v>
      </c>
      <c r="G1105" t="s">
        <v>22</v>
      </c>
      <c r="H1105" t="s">
        <v>78</v>
      </c>
      <c r="I1105" t="s">
        <v>24</v>
      </c>
      <c r="J1105">
        <v>53901</v>
      </c>
      <c r="K1105">
        <v>0</v>
      </c>
      <c r="L1105" t="s">
        <v>25</v>
      </c>
      <c r="M1105" t="s">
        <v>26</v>
      </c>
      <c r="N1105" t="s">
        <v>27</v>
      </c>
      <c r="O1105" t="s">
        <v>35</v>
      </c>
      <c r="P1105" t="s">
        <v>26</v>
      </c>
      <c r="Q1105">
        <v>0</v>
      </c>
    </row>
    <row r="1106" spans="1:17" x14ac:dyDescent="0.25">
      <c r="A1106" t="s">
        <v>29</v>
      </c>
      <c r="B1106" t="s">
        <v>18</v>
      </c>
      <c r="C1106">
        <v>180000</v>
      </c>
      <c r="D1106" t="s">
        <v>30</v>
      </c>
      <c r="E1106" t="s">
        <v>31</v>
      </c>
      <c r="F1106" t="s">
        <v>39</v>
      </c>
      <c r="G1106" t="s">
        <v>22</v>
      </c>
      <c r="H1106" t="s">
        <v>33</v>
      </c>
      <c r="I1106" t="s">
        <v>24</v>
      </c>
      <c r="J1106">
        <v>100323</v>
      </c>
      <c r="K1106">
        <v>0</v>
      </c>
      <c r="L1106" t="s">
        <v>43</v>
      </c>
      <c r="M1106" t="s">
        <v>26</v>
      </c>
      <c r="N1106" t="s">
        <v>27</v>
      </c>
      <c r="O1106" t="s">
        <v>28</v>
      </c>
      <c r="P1106" t="s">
        <v>26</v>
      </c>
      <c r="Q1106">
        <v>0</v>
      </c>
    </row>
    <row r="1107" spans="1:17" x14ac:dyDescent="0.25">
      <c r="A1107" t="s">
        <v>29</v>
      </c>
      <c r="B1107" t="s">
        <v>18</v>
      </c>
      <c r="C1107">
        <v>180000</v>
      </c>
      <c r="D1107" t="s">
        <v>30</v>
      </c>
      <c r="E1107" t="s">
        <v>31</v>
      </c>
      <c r="F1107" t="s">
        <v>39</v>
      </c>
      <c r="G1107" t="s">
        <v>22</v>
      </c>
      <c r="H1107" t="s">
        <v>33</v>
      </c>
      <c r="I1107" t="s">
        <v>24</v>
      </c>
      <c r="J1107">
        <v>143550</v>
      </c>
      <c r="K1107">
        <v>0</v>
      </c>
      <c r="L1107" t="s">
        <v>25</v>
      </c>
      <c r="M1107" t="s">
        <v>26</v>
      </c>
      <c r="N1107" t="s">
        <v>27</v>
      </c>
      <c r="O1107" t="s">
        <v>28</v>
      </c>
      <c r="P1107" t="s">
        <v>26</v>
      </c>
      <c r="Q1107">
        <v>0</v>
      </c>
    </row>
    <row r="1108" spans="1:17" x14ac:dyDescent="0.25">
      <c r="A1108" t="s">
        <v>29</v>
      </c>
      <c r="B1108" t="s">
        <v>18</v>
      </c>
      <c r="C1108">
        <v>108000</v>
      </c>
      <c r="D1108" t="s">
        <v>19</v>
      </c>
      <c r="E1108" t="s">
        <v>20</v>
      </c>
      <c r="F1108" t="s">
        <v>32</v>
      </c>
      <c r="G1108" t="s">
        <v>22</v>
      </c>
      <c r="H1108" t="s">
        <v>57</v>
      </c>
      <c r="I1108" t="s">
        <v>24</v>
      </c>
      <c r="J1108">
        <v>43379.55</v>
      </c>
      <c r="K1108">
        <v>4342.05</v>
      </c>
      <c r="L1108" t="s">
        <v>45</v>
      </c>
      <c r="M1108" t="s">
        <v>26</v>
      </c>
      <c r="N1108" t="s">
        <v>27</v>
      </c>
      <c r="O1108" t="s">
        <v>35</v>
      </c>
      <c r="P1108" t="s">
        <v>26</v>
      </c>
      <c r="Q1108">
        <v>0</v>
      </c>
    </row>
    <row r="1109" spans="1:17" x14ac:dyDescent="0.25">
      <c r="A1109" t="s">
        <v>29</v>
      </c>
      <c r="B1109" t="s">
        <v>18</v>
      </c>
      <c r="C1109">
        <v>108000</v>
      </c>
      <c r="D1109" t="s">
        <v>19</v>
      </c>
      <c r="E1109" t="s">
        <v>20</v>
      </c>
      <c r="F1109" t="s">
        <v>32</v>
      </c>
      <c r="G1109" t="s">
        <v>22</v>
      </c>
      <c r="H1109" t="s">
        <v>57</v>
      </c>
      <c r="I1109" t="s">
        <v>24</v>
      </c>
      <c r="J1109">
        <v>19755</v>
      </c>
      <c r="K1109">
        <v>1975.5</v>
      </c>
      <c r="L1109" t="s">
        <v>38</v>
      </c>
      <c r="M1109" t="s">
        <v>26</v>
      </c>
      <c r="N1109" t="s">
        <v>58</v>
      </c>
      <c r="O1109" t="s">
        <v>35</v>
      </c>
      <c r="P1109" t="s">
        <v>59</v>
      </c>
      <c r="Q1109">
        <v>1</v>
      </c>
    </row>
    <row r="1110" spans="1:17" x14ac:dyDescent="0.25">
      <c r="A1110" t="s">
        <v>29</v>
      </c>
      <c r="B1110" t="s">
        <v>18</v>
      </c>
      <c r="C1110">
        <v>48600</v>
      </c>
      <c r="D1110" t="s">
        <v>46</v>
      </c>
      <c r="E1110" t="s">
        <v>20</v>
      </c>
      <c r="F1110" t="s">
        <v>32</v>
      </c>
      <c r="G1110" t="s">
        <v>22</v>
      </c>
      <c r="H1110" t="s">
        <v>28</v>
      </c>
      <c r="I1110" t="s">
        <v>24</v>
      </c>
      <c r="J1110">
        <v>42660</v>
      </c>
      <c r="K1110">
        <v>4266</v>
      </c>
      <c r="L1110" t="s">
        <v>38</v>
      </c>
      <c r="M1110" t="s">
        <v>26</v>
      </c>
      <c r="N1110" t="s">
        <v>27</v>
      </c>
      <c r="O1110" t="s">
        <v>28</v>
      </c>
      <c r="P1110" t="s">
        <v>26</v>
      </c>
      <c r="Q1110">
        <v>0</v>
      </c>
    </row>
    <row r="1111" spans="1:17" x14ac:dyDescent="0.25">
      <c r="A1111" t="s">
        <v>29</v>
      </c>
      <c r="B1111" t="s">
        <v>18</v>
      </c>
      <c r="C1111">
        <v>48600</v>
      </c>
      <c r="D1111" t="s">
        <v>46</v>
      </c>
      <c r="E1111" t="s">
        <v>20</v>
      </c>
      <c r="F1111" t="s">
        <v>32</v>
      </c>
      <c r="G1111" t="s">
        <v>22</v>
      </c>
      <c r="H1111" t="s">
        <v>28</v>
      </c>
      <c r="I1111" t="s">
        <v>66</v>
      </c>
      <c r="J1111">
        <v>135000</v>
      </c>
      <c r="K1111">
        <v>0</v>
      </c>
      <c r="L1111" t="s">
        <v>42</v>
      </c>
      <c r="M1111" t="s">
        <v>28</v>
      </c>
      <c r="N1111" t="s">
        <v>27</v>
      </c>
      <c r="O1111" t="s">
        <v>35</v>
      </c>
      <c r="P1111" t="s">
        <v>26</v>
      </c>
      <c r="Q1111">
        <v>0</v>
      </c>
    </row>
    <row r="1112" spans="1:17" x14ac:dyDescent="0.25">
      <c r="A1112" t="s">
        <v>29</v>
      </c>
      <c r="B1112" t="s">
        <v>18</v>
      </c>
      <c r="C1112">
        <v>48600</v>
      </c>
      <c r="D1112" t="s">
        <v>46</v>
      </c>
      <c r="E1112" t="s">
        <v>20</v>
      </c>
      <c r="F1112" t="s">
        <v>32</v>
      </c>
      <c r="G1112" t="s">
        <v>22</v>
      </c>
      <c r="H1112" t="s">
        <v>28</v>
      </c>
      <c r="I1112" t="s">
        <v>24</v>
      </c>
      <c r="J1112">
        <v>83430</v>
      </c>
      <c r="K1112">
        <v>40500</v>
      </c>
      <c r="L1112" t="s">
        <v>25</v>
      </c>
      <c r="M1112" t="s">
        <v>26</v>
      </c>
      <c r="N1112" t="s">
        <v>27</v>
      </c>
      <c r="O1112" t="s">
        <v>35</v>
      </c>
      <c r="P1112" t="s">
        <v>26</v>
      </c>
      <c r="Q1112">
        <v>0</v>
      </c>
    </row>
    <row r="1113" spans="1:17" x14ac:dyDescent="0.25">
      <c r="A1113" t="s">
        <v>17</v>
      </c>
      <c r="B1113" t="s">
        <v>36</v>
      </c>
      <c r="C1113">
        <v>112500</v>
      </c>
      <c r="D1113" t="s">
        <v>19</v>
      </c>
      <c r="E1113" t="s">
        <v>20</v>
      </c>
      <c r="F1113" t="s">
        <v>32</v>
      </c>
      <c r="G1113" t="s">
        <v>22</v>
      </c>
      <c r="H1113" t="s">
        <v>79</v>
      </c>
      <c r="I1113" t="s">
        <v>24</v>
      </c>
      <c r="J1113">
        <v>39141</v>
      </c>
      <c r="K1113">
        <v>3915</v>
      </c>
      <c r="L1113" t="s">
        <v>42</v>
      </c>
      <c r="M1113" t="s">
        <v>26</v>
      </c>
      <c r="N1113" t="s">
        <v>27</v>
      </c>
      <c r="O1113" t="s">
        <v>35</v>
      </c>
      <c r="P1113" t="s">
        <v>26</v>
      </c>
      <c r="Q1113">
        <v>0</v>
      </c>
    </row>
    <row r="1114" spans="1:17" x14ac:dyDescent="0.25">
      <c r="A1114" t="s">
        <v>17</v>
      </c>
      <c r="B1114" t="s">
        <v>36</v>
      </c>
      <c r="C1114">
        <v>112500</v>
      </c>
      <c r="D1114" t="s">
        <v>19</v>
      </c>
      <c r="E1114" t="s">
        <v>20</v>
      </c>
      <c r="F1114" t="s">
        <v>32</v>
      </c>
      <c r="G1114" t="s">
        <v>22</v>
      </c>
      <c r="H1114" t="s">
        <v>79</v>
      </c>
      <c r="I1114" t="s">
        <v>24</v>
      </c>
      <c r="J1114">
        <v>30068.73</v>
      </c>
      <c r="K1114">
        <v>3019.23</v>
      </c>
      <c r="L1114" t="s">
        <v>45</v>
      </c>
      <c r="M1114" t="s">
        <v>26</v>
      </c>
      <c r="N1114" t="s">
        <v>27</v>
      </c>
      <c r="O1114" t="s">
        <v>35</v>
      </c>
      <c r="P1114" t="s">
        <v>26</v>
      </c>
      <c r="Q1114">
        <v>0</v>
      </c>
    </row>
    <row r="1115" spans="1:17" x14ac:dyDescent="0.25">
      <c r="A1115" t="s">
        <v>17</v>
      </c>
      <c r="B1115" t="s">
        <v>36</v>
      </c>
      <c r="C1115">
        <v>112500</v>
      </c>
      <c r="D1115" t="s">
        <v>19</v>
      </c>
      <c r="E1115" t="s">
        <v>20</v>
      </c>
      <c r="F1115" t="s">
        <v>32</v>
      </c>
      <c r="G1115" t="s">
        <v>22</v>
      </c>
      <c r="H1115" t="s">
        <v>79</v>
      </c>
      <c r="I1115" t="s">
        <v>24</v>
      </c>
      <c r="J1115">
        <v>35995.5</v>
      </c>
      <c r="K1115">
        <v>3600</v>
      </c>
      <c r="L1115" t="s">
        <v>34</v>
      </c>
      <c r="M1115" t="s">
        <v>26</v>
      </c>
      <c r="N1115" t="s">
        <v>27</v>
      </c>
      <c r="O1115" t="s">
        <v>35</v>
      </c>
      <c r="P1115" t="s">
        <v>26</v>
      </c>
      <c r="Q1115">
        <v>0</v>
      </c>
    </row>
    <row r="1116" spans="1:17" x14ac:dyDescent="0.25">
      <c r="A1116" t="s">
        <v>17</v>
      </c>
      <c r="B1116" t="s">
        <v>36</v>
      </c>
      <c r="C1116">
        <v>112500</v>
      </c>
      <c r="D1116" t="s">
        <v>19</v>
      </c>
      <c r="E1116" t="s">
        <v>20</v>
      </c>
      <c r="F1116" t="s">
        <v>32</v>
      </c>
      <c r="G1116" t="s">
        <v>22</v>
      </c>
      <c r="H1116" t="s">
        <v>79</v>
      </c>
      <c r="I1116" t="s">
        <v>24</v>
      </c>
      <c r="J1116">
        <v>26010</v>
      </c>
      <c r="K1116">
        <v>0</v>
      </c>
      <c r="L1116" t="s">
        <v>43</v>
      </c>
      <c r="M1116" t="s">
        <v>26</v>
      </c>
      <c r="N1116" t="s">
        <v>27</v>
      </c>
      <c r="O1116" t="s">
        <v>35</v>
      </c>
      <c r="P1116" t="s">
        <v>26</v>
      </c>
      <c r="Q1116">
        <v>0</v>
      </c>
    </row>
    <row r="1117" spans="1:17" x14ac:dyDescent="0.25">
      <c r="A1117" t="s">
        <v>29</v>
      </c>
      <c r="B1117" t="s">
        <v>36</v>
      </c>
      <c r="C1117">
        <v>270000</v>
      </c>
      <c r="D1117" t="s">
        <v>44</v>
      </c>
      <c r="E1117" t="s">
        <v>20</v>
      </c>
      <c r="F1117" t="s">
        <v>32</v>
      </c>
      <c r="G1117" t="s">
        <v>22</v>
      </c>
      <c r="H1117" t="s">
        <v>41</v>
      </c>
      <c r="I1117" t="s">
        <v>24</v>
      </c>
      <c r="J1117">
        <v>26770.5</v>
      </c>
      <c r="K1117">
        <v>2677.5</v>
      </c>
      <c r="L1117" t="s">
        <v>25</v>
      </c>
      <c r="M1117" t="s">
        <v>26</v>
      </c>
      <c r="N1117" t="s">
        <v>27</v>
      </c>
      <c r="O1117" t="s">
        <v>35</v>
      </c>
      <c r="P1117" t="s">
        <v>26</v>
      </c>
      <c r="Q1117">
        <v>0</v>
      </c>
    </row>
    <row r="1118" spans="1:17" x14ac:dyDescent="0.25">
      <c r="A1118" t="s">
        <v>29</v>
      </c>
      <c r="B1118" t="s">
        <v>36</v>
      </c>
      <c r="C1118">
        <v>270000</v>
      </c>
      <c r="D1118" t="s">
        <v>44</v>
      </c>
      <c r="E1118" t="s">
        <v>20</v>
      </c>
      <c r="F1118" t="s">
        <v>32</v>
      </c>
      <c r="G1118" t="s">
        <v>22</v>
      </c>
      <c r="H1118" t="s">
        <v>41</v>
      </c>
      <c r="I1118" t="s">
        <v>24</v>
      </c>
      <c r="J1118">
        <v>138051</v>
      </c>
      <c r="K1118">
        <v>0</v>
      </c>
      <c r="L1118" t="s">
        <v>38</v>
      </c>
      <c r="M1118" t="s">
        <v>26</v>
      </c>
      <c r="N1118" t="s">
        <v>27</v>
      </c>
      <c r="O1118" t="s">
        <v>35</v>
      </c>
      <c r="P1118" t="s">
        <v>26</v>
      </c>
      <c r="Q1118">
        <v>0</v>
      </c>
    </row>
    <row r="1119" spans="1:17" x14ac:dyDescent="0.25">
      <c r="A1119" t="s">
        <v>29</v>
      </c>
      <c r="B1119" t="s">
        <v>36</v>
      </c>
      <c r="C1119">
        <v>270000</v>
      </c>
      <c r="D1119" t="s">
        <v>44</v>
      </c>
      <c r="E1119" t="s">
        <v>20</v>
      </c>
      <c r="F1119" t="s">
        <v>32</v>
      </c>
      <c r="G1119" t="s">
        <v>22</v>
      </c>
      <c r="H1119" t="s">
        <v>41</v>
      </c>
      <c r="I1119" t="s">
        <v>24</v>
      </c>
      <c r="J1119">
        <v>158067</v>
      </c>
      <c r="K1119">
        <v>7920</v>
      </c>
      <c r="L1119" t="s">
        <v>38</v>
      </c>
      <c r="M1119" t="s">
        <v>26</v>
      </c>
      <c r="N1119" t="s">
        <v>27</v>
      </c>
      <c r="O1119" t="s">
        <v>35</v>
      </c>
      <c r="P1119" t="s">
        <v>26</v>
      </c>
      <c r="Q1119">
        <v>0</v>
      </c>
    </row>
    <row r="1120" spans="1:17" x14ac:dyDescent="0.25">
      <c r="A1120" t="s">
        <v>29</v>
      </c>
      <c r="B1120" t="s">
        <v>36</v>
      </c>
      <c r="C1120">
        <v>270000</v>
      </c>
      <c r="D1120" t="s">
        <v>44</v>
      </c>
      <c r="E1120" t="s">
        <v>20</v>
      </c>
      <c r="F1120" t="s">
        <v>32</v>
      </c>
      <c r="G1120" t="s">
        <v>22</v>
      </c>
      <c r="H1120" t="s">
        <v>41</v>
      </c>
      <c r="I1120" t="s">
        <v>24</v>
      </c>
      <c r="J1120">
        <v>67410</v>
      </c>
      <c r="K1120">
        <v>6750</v>
      </c>
      <c r="L1120" t="s">
        <v>25</v>
      </c>
      <c r="M1120" t="s">
        <v>26</v>
      </c>
      <c r="N1120" t="s">
        <v>27</v>
      </c>
      <c r="O1120" t="s">
        <v>35</v>
      </c>
      <c r="P1120" t="s">
        <v>26</v>
      </c>
      <c r="Q1120">
        <v>0</v>
      </c>
    </row>
    <row r="1121" spans="1:17" x14ac:dyDescent="0.25">
      <c r="A1121" t="s">
        <v>17</v>
      </c>
      <c r="B1121" t="s">
        <v>18</v>
      </c>
      <c r="C1121">
        <v>202500</v>
      </c>
      <c r="D1121" t="s">
        <v>19</v>
      </c>
      <c r="E1121" t="s">
        <v>20</v>
      </c>
      <c r="F1121" t="s">
        <v>32</v>
      </c>
      <c r="G1121" t="s">
        <v>22</v>
      </c>
      <c r="H1121" t="s">
        <v>23</v>
      </c>
      <c r="I1121" t="s">
        <v>24</v>
      </c>
      <c r="J1121">
        <v>22365</v>
      </c>
      <c r="K1121">
        <v>2250</v>
      </c>
      <c r="L1121" t="s">
        <v>42</v>
      </c>
      <c r="M1121" t="s">
        <v>26</v>
      </c>
      <c r="N1121" t="s">
        <v>27</v>
      </c>
      <c r="O1121" t="s">
        <v>28</v>
      </c>
      <c r="P1121" t="s">
        <v>26</v>
      </c>
      <c r="Q1121">
        <v>0</v>
      </c>
    </row>
    <row r="1122" spans="1:17" x14ac:dyDescent="0.25">
      <c r="A1122" t="s">
        <v>17</v>
      </c>
      <c r="B1122" t="s">
        <v>18</v>
      </c>
      <c r="C1122">
        <v>202500</v>
      </c>
      <c r="D1122" t="s">
        <v>19</v>
      </c>
      <c r="E1122" t="s">
        <v>20</v>
      </c>
      <c r="F1122" t="s">
        <v>32</v>
      </c>
      <c r="G1122" t="s">
        <v>22</v>
      </c>
      <c r="H1122" t="s">
        <v>23</v>
      </c>
      <c r="I1122" t="s">
        <v>24</v>
      </c>
      <c r="J1122">
        <v>31230</v>
      </c>
      <c r="K1122">
        <v>0</v>
      </c>
      <c r="L1122" t="s">
        <v>38</v>
      </c>
      <c r="M1122" t="s">
        <v>26</v>
      </c>
      <c r="N1122" t="s">
        <v>76</v>
      </c>
      <c r="O1122" t="s">
        <v>35</v>
      </c>
      <c r="P1122" t="s">
        <v>77</v>
      </c>
      <c r="Q1122">
        <v>0</v>
      </c>
    </row>
    <row r="1123" spans="1:17" x14ac:dyDescent="0.25">
      <c r="A1123" t="s">
        <v>29</v>
      </c>
      <c r="B1123" t="s">
        <v>18</v>
      </c>
      <c r="C1123">
        <v>99000</v>
      </c>
      <c r="D1123" t="s">
        <v>30</v>
      </c>
      <c r="E1123" t="s">
        <v>20</v>
      </c>
      <c r="F1123" t="s">
        <v>32</v>
      </c>
      <c r="G1123" t="s">
        <v>22</v>
      </c>
      <c r="H1123" t="s">
        <v>56</v>
      </c>
      <c r="I1123" t="s">
        <v>24</v>
      </c>
      <c r="J1123">
        <v>76455</v>
      </c>
      <c r="K1123">
        <v>22500</v>
      </c>
      <c r="L1123" t="s">
        <v>34</v>
      </c>
      <c r="M1123" t="s">
        <v>26</v>
      </c>
      <c r="N1123" t="s">
        <v>27</v>
      </c>
      <c r="O1123" t="s">
        <v>35</v>
      </c>
      <c r="P1123" t="s">
        <v>26</v>
      </c>
      <c r="Q1123">
        <v>0</v>
      </c>
    </row>
    <row r="1124" spans="1:17" x14ac:dyDescent="0.25">
      <c r="A1124" t="s">
        <v>29</v>
      </c>
      <c r="B1124" t="s">
        <v>18</v>
      </c>
      <c r="C1124">
        <v>99000</v>
      </c>
      <c r="D1124" t="s">
        <v>30</v>
      </c>
      <c r="E1124" t="s">
        <v>20</v>
      </c>
      <c r="F1124" t="s">
        <v>32</v>
      </c>
      <c r="G1124" t="s">
        <v>22</v>
      </c>
      <c r="H1124" t="s">
        <v>56</v>
      </c>
      <c r="I1124" t="s">
        <v>24</v>
      </c>
      <c r="J1124">
        <v>146970</v>
      </c>
      <c r="K1124">
        <v>18000</v>
      </c>
      <c r="L1124" t="s">
        <v>34</v>
      </c>
      <c r="M1124" t="s">
        <v>26</v>
      </c>
      <c r="N1124" t="s">
        <v>27</v>
      </c>
      <c r="O1124" t="s">
        <v>35</v>
      </c>
      <c r="P1124" t="s">
        <v>26</v>
      </c>
      <c r="Q1124">
        <v>0</v>
      </c>
    </row>
    <row r="1125" spans="1:17" x14ac:dyDescent="0.25">
      <c r="A1125" t="s">
        <v>29</v>
      </c>
      <c r="B1125" t="s">
        <v>18</v>
      </c>
      <c r="C1125">
        <v>99000</v>
      </c>
      <c r="D1125" t="s">
        <v>30</v>
      </c>
      <c r="E1125" t="s">
        <v>20</v>
      </c>
      <c r="F1125" t="s">
        <v>32</v>
      </c>
      <c r="G1125" t="s">
        <v>22</v>
      </c>
      <c r="H1125" t="s">
        <v>56</v>
      </c>
      <c r="I1125" t="s">
        <v>24</v>
      </c>
      <c r="J1125">
        <v>147114</v>
      </c>
      <c r="K1125">
        <v>0</v>
      </c>
      <c r="L1125" t="s">
        <v>34</v>
      </c>
      <c r="M1125" t="s">
        <v>26</v>
      </c>
      <c r="N1125" t="s">
        <v>27</v>
      </c>
      <c r="O1125" t="s">
        <v>35</v>
      </c>
      <c r="P1125" t="s">
        <v>26</v>
      </c>
      <c r="Q1125">
        <v>0</v>
      </c>
    </row>
    <row r="1126" spans="1:17" x14ac:dyDescent="0.25">
      <c r="A1126" t="s">
        <v>29</v>
      </c>
      <c r="B1126" t="s">
        <v>18</v>
      </c>
      <c r="C1126">
        <v>90000</v>
      </c>
      <c r="D1126" t="s">
        <v>19</v>
      </c>
      <c r="E1126" t="s">
        <v>20</v>
      </c>
      <c r="F1126" t="s">
        <v>69</v>
      </c>
      <c r="G1126" t="s">
        <v>22</v>
      </c>
      <c r="H1126" t="s">
        <v>23</v>
      </c>
      <c r="I1126" t="s">
        <v>24</v>
      </c>
      <c r="J1126">
        <v>25870.5</v>
      </c>
      <c r="K1126">
        <v>0</v>
      </c>
      <c r="L1126" t="s">
        <v>38</v>
      </c>
      <c r="M1126" t="s">
        <v>26</v>
      </c>
      <c r="N1126" t="s">
        <v>27</v>
      </c>
      <c r="O1126" t="s">
        <v>35</v>
      </c>
      <c r="P1126" t="s">
        <v>26</v>
      </c>
      <c r="Q1126">
        <v>0</v>
      </c>
    </row>
    <row r="1127" spans="1:17" x14ac:dyDescent="0.25">
      <c r="A1127" t="s">
        <v>29</v>
      </c>
      <c r="B1127" t="s">
        <v>18</v>
      </c>
      <c r="C1127">
        <v>90000</v>
      </c>
      <c r="D1127" t="s">
        <v>19</v>
      </c>
      <c r="E1127" t="s">
        <v>20</v>
      </c>
      <c r="F1127" t="s">
        <v>69</v>
      </c>
      <c r="G1127" t="s">
        <v>22</v>
      </c>
      <c r="H1127" t="s">
        <v>23</v>
      </c>
      <c r="I1127" t="s">
        <v>24</v>
      </c>
      <c r="J1127">
        <v>33390</v>
      </c>
      <c r="K1127">
        <v>3339</v>
      </c>
      <c r="L1127" t="s">
        <v>43</v>
      </c>
      <c r="M1127" t="s">
        <v>26</v>
      </c>
      <c r="N1127" t="s">
        <v>27</v>
      </c>
      <c r="O1127" t="s">
        <v>35</v>
      </c>
      <c r="P1127" t="s">
        <v>26</v>
      </c>
      <c r="Q1127">
        <v>0</v>
      </c>
    </row>
    <row r="1128" spans="1:17" x14ac:dyDescent="0.25">
      <c r="A1128" t="s">
        <v>29</v>
      </c>
      <c r="B1128" t="s">
        <v>18</v>
      </c>
      <c r="C1128">
        <v>135000</v>
      </c>
      <c r="D1128" t="s">
        <v>19</v>
      </c>
      <c r="E1128" t="s">
        <v>20</v>
      </c>
      <c r="F1128" t="s">
        <v>32</v>
      </c>
      <c r="G1128" t="s">
        <v>22</v>
      </c>
      <c r="H1128" t="s">
        <v>41</v>
      </c>
      <c r="I1128" t="s">
        <v>24</v>
      </c>
      <c r="J1128">
        <v>34596</v>
      </c>
      <c r="K1128">
        <v>3672</v>
      </c>
      <c r="L1128" t="s">
        <v>51</v>
      </c>
      <c r="M1128" t="s">
        <v>26</v>
      </c>
      <c r="N1128" t="s">
        <v>27</v>
      </c>
      <c r="O1128" t="s">
        <v>35</v>
      </c>
      <c r="P1128" t="s">
        <v>26</v>
      </c>
      <c r="Q1128">
        <v>0</v>
      </c>
    </row>
    <row r="1129" spans="1:17" x14ac:dyDescent="0.25">
      <c r="A1129" t="s">
        <v>29</v>
      </c>
      <c r="B1129" t="s">
        <v>18</v>
      </c>
      <c r="C1129">
        <v>135000</v>
      </c>
      <c r="D1129" t="s">
        <v>19</v>
      </c>
      <c r="E1129" t="s">
        <v>20</v>
      </c>
      <c r="F1129" t="s">
        <v>32</v>
      </c>
      <c r="G1129" t="s">
        <v>22</v>
      </c>
      <c r="H1129" t="s">
        <v>41</v>
      </c>
      <c r="I1129" t="s">
        <v>24</v>
      </c>
      <c r="J1129">
        <v>54162</v>
      </c>
      <c r="K1129">
        <v>5418</v>
      </c>
      <c r="L1129" t="s">
        <v>45</v>
      </c>
      <c r="M1129" t="s">
        <v>26</v>
      </c>
      <c r="N1129" t="s">
        <v>27</v>
      </c>
      <c r="O1129" t="s">
        <v>35</v>
      </c>
      <c r="P1129" t="s">
        <v>26</v>
      </c>
      <c r="Q1129">
        <v>0</v>
      </c>
    </row>
    <row r="1130" spans="1:17" x14ac:dyDescent="0.25">
      <c r="A1130" t="s">
        <v>29</v>
      </c>
      <c r="B1130" t="s">
        <v>18</v>
      </c>
      <c r="C1130">
        <v>135000</v>
      </c>
      <c r="D1130" t="s">
        <v>44</v>
      </c>
      <c r="E1130" t="s">
        <v>31</v>
      </c>
      <c r="F1130" t="s">
        <v>32</v>
      </c>
      <c r="G1130" t="s">
        <v>22</v>
      </c>
      <c r="H1130" t="s">
        <v>63</v>
      </c>
      <c r="I1130" t="s">
        <v>24</v>
      </c>
      <c r="J1130">
        <v>168750</v>
      </c>
      <c r="K1130">
        <v>0</v>
      </c>
      <c r="L1130" t="s">
        <v>43</v>
      </c>
      <c r="M1130" t="s">
        <v>26</v>
      </c>
      <c r="N1130" t="s">
        <v>27</v>
      </c>
      <c r="O1130" t="s">
        <v>35</v>
      </c>
      <c r="P1130" t="s">
        <v>26</v>
      </c>
      <c r="Q1130">
        <v>0</v>
      </c>
    </row>
    <row r="1131" spans="1:17" x14ac:dyDescent="0.25">
      <c r="A1131" t="s">
        <v>29</v>
      </c>
      <c r="B1131" t="s">
        <v>18</v>
      </c>
      <c r="C1131">
        <v>135000</v>
      </c>
      <c r="D1131" t="s">
        <v>44</v>
      </c>
      <c r="E1131" t="s">
        <v>31</v>
      </c>
      <c r="F1131" t="s">
        <v>32</v>
      </c>
      <c r="G1131" t="s">
        <v>22</v>
      </c>
      <c r="H1131" t="s">
        <v>63</v>
      </c>
      <c r="I1131" t="s">
        <v>24</v>
      </c>
      <c r="J1131">
        <v>58140</v>
      </c>
      <c r="K1131">
        <v>0</v>
      </c>
      <c r="L1131" t="s">
        <v>38</v>
      </c>
      <c r="M1131" t="s">
        <v>26</v>
      </c>
      <c r="N1131" t="s">
        <v>27</v>
      </c>
      <c r="O1131" t="s">
        <v>35</v>
      </c>
      <c r="P1131" t="s">
        <v>26</v>
      </c>
      <c r="Q1131">
        <v>0</v>
      </c>
    </row>
    <row r="1132" spans="1:17" x14ac:dyDescent="0.25">
      <c r="A1132" t="s">
        <v>29</v>
      </c>
      <c r="B1132" t="s">
        <v>18</v>
      </c>
      <c r="C1132">
        <v>202500</v>
      </c>
      <c r="D1132" t="s">
        <v>19</v>
      </c>
      <c r="E1132" t="s">
        <v>20</v>
      </c>
      <c r="F1132" t="s">
        <v>39</v>
      </c>
      <c r="G1132" t="s">
        <v>22</v>
      </c>
      <c r="H1132" t="s">
        <v>23</v>
      </c>
      <c r="I1132" t="s">
        <v>24</v>
      </c>
      <c r="J1132">
        <v>39811.5</v>
      </c>
      <c r="K1132">
        <v>3982.5</v>
      </c>
      <c r="L1132" t="s">
        <v>38</v>
      </c>
      <c r="M1132" t="s">
        <v>26</v>
      </c>
      <c r="N1132" t="s">
        <v>27</v>
      </c>
      <c r="O1132" t="s">
        <v>35</v>
      </c>
      <c r="P1132" t="s">
        <v>26</v>
      </c>
      <c r="Q1132">
        <v>0</v>
      </c>
    </row>
    <row r="1133" spans="1:17" x14ac:dyDescent="0.25">
      <c r="A1133" t="s">
        <v>29</v>
      </c>
      <c r="B1133" t="s">
        <v>36</v>
      </c>
      <c r="C1133">
        <v>112500</v>
      </c>
      <c r="D1133" t="s">
        <v>19</v>
      </c>
      <c r="E1133" t="s">
        <v>20</v>
      </c>
      <c r="F1133" t="s">
        <v>21</v>
      </c>
      <c r="G1133" t="s">
        <v>22</v>
      </c>
      <c r="H1133" t="s">
        <v>23</v>
      </c>
      <c r="I1133" t="s">
        <v>24</v>
      </c>
      <c r="J1133">
        <v>114701.4</v>
      </c>
      <c r="K1133">
        <v>11471.4</v>
      </c>
      <c r="L1133" t="s">
        <v>34</v>
      </c>
      <c r="M1133" t="s">
        <v>26</v>
      </c>
      <c r="N1133" t="s">
        <v>27</v>
      </c>
      <c r="O1133" t="s">
        <v>35</v>
      </c>
      <c r="P1133" t="s">
        <v>26</v>
      </c>
      <c r="Q1133">
        <v>0</v>
      </c>
    </row>
    <row r="1134" spans="1:17" x14ac:dyDescent="0.25">
      <c r="A1134" t="s">
        <v>29</v>
      </c>
      <c r="B1134" t="s">
        <v>36</v>
      </c>
      <c r="C1134">
        <v>112500</v>
      </c>
      <c r="D1134" t="s">
        <v>19</v>
      </c>
      <c r="E1134" t="s">
        <v>20</v>
      </c>
      <c r="F1134" t="s">
        <v>21</v>
      </c>
      <c r="G1134" t="s">
        <v>22</v>
      </c>
      <c r="H1134" t="s">
        <v>23</v>
      </c>
      <c r="I1134" t="s">
        <v>24</v>
      </c>
      <c r="J1134">
        <v>36587.699999999997</v>
      </c>
      <c r="K1134">
        <v>3292.2</v>
      </c>
      <c r="L1134" t="s">
        <v>25</v>
      </c>
      <c r="M1134" t="s">
        <v>26</v>
      </c>
      <c r="N1134" t="s">
        <v>27</v>
      </c>
      <c r="O1134" t="s">
        <v>35</v>
      </c>
      <c r="P1134" t="s">
        <v>26</v>
      </c>
      <c r="Q1134">
        <v>0</v>
      </c>
    </row>
    <row r="1135" spans="1:17" x14ac:dyDescent="0.25">
      <c r="A1135" t="s">
        <v>29</v>
      </c>
      <c r="B1135" t="s">
        <v>18</v>
      </c>
      <c r="C1135">
        <v>135000</v>
      </c>
      <c r="D1135" t="s">
        <v>19</v>
      </c>
      <c r="E1135" t="s">
        <v>31</v>
      </c>
      <c r="F1135" t="s">
        <v>39</v>
      </c>
      <c r="G1135" t="s">
        <v>22</v>
      </c>
      <c r="H1135" t="s">
        <v>49</v>
      </c>
      <c r="I1135" t="s">
        <v>24</v>
      </c>
      <c r="J1135">
        <v>29250</v>
      </c>
      <c r="K1135">
        <v>0</v>
      </c>
      <c r="L1135" t="s">
        <v>42</v>
      </c>
      <c r="M1135" t="s">
        <v>26</v>
      </c>
      <c r="N1135" t="s">
        <v>27</v>
      </c>
      <c r="O1135" t="s">
        <v>35</v>
      </c>
      <c r="P1135" t="s">
        <v>26</v>
      </c>
      <c r="Q1135">
        <v>0</v>
      </c>
    </row>
    <row r="1136" spans="1:17" x14ac:dyDescent="0.25">
      <c r="A1136" t="s">
        <v>29</v>
      </c>
      <c r="B1136" t="s">
        <v>18</v>
      </c>
      <c r="C1136">
        <v>135000</v>
      </c>
      <c r="D1136" t="s">
        <v>19</v>
      </c>
      <c r="E1136" t="s">
        <v>31</v>
      </c>
      <c r="F1136" t="s">
        <v>39</v>
      </c>
      <c r="G1136" t="s">
        <v>22</v>
      </c>
      <c r="H1136" t="s">
        <v>49</v>
      </c>
      <c r="I1136" t="s">
        <v>24</v>
      </c>
      <c r="J1136">
        <v>69745.5</v>
      </c>
      <c r="K1136">
        <v>6975</v>
      </c>
      <c r="L1136" t="s">
        <v>51</v>
      </c>
      <c r="M1136" t="s">
        <v>26</v>
      </c>
      <c r="N1136" t="s">
        <v>27</v>
      </c>
      <c r="O1136" t="s">
        <v>35</v>
      </c>
      <c r="P1136" t="s">
        <v>26</v>
      </c>
      <c r="Q1136">
        <v>0</v>
      </c>
    </row>
    <row r="1137" spans="1:17" x14ac:dyDescent="0.25">
      <c r="A1137" t="s">
        <v>17</v>
      </c>
      <c r="B1137" t="s">
        <v>36</v>
      </c>
      <c r="C1137">
        <v>225000</v>
      </c>
      <c r="D1137" t="s">
        <v>44</v>
      </c>
      <c r="E1137" t="s">
        <v>31</v>
      </c>
      <c r="F1137" t="s">
        <v>32</v>
      </c>
      <c r="G1137" t="s">
        <v>22</v>
      </c>
      <c r="H1137" t="s">
        <v>48</v>
      </c>
      <c r="I1137" t="s">
        <v>24</v>
      </c>
      <c r="J1137">
        <v>70758</v>
      </c>
      <c r="K1137">
        <v>7074</v>
      </c>
      <c r="L1137" t="s">
        <v>45</v>
      </c>
      <c r="M1137" t="s">
        <v>26</v>
      </c>
      <c r="N1137" t="s">
        <v>27</v>
      </c>
      <c r="O1137" t="s">
        <v>35</v>
      </c>
      <c r="P1137" t="s">
        <v>26</v>
      </c>
      <c r="Q1137">
        <v>0</v>
      </c>
    </row>
    <row r="1138" spans="1:17" x14ac:dyDescent="0.25">
      <c r="A1138" t="s">
        <v>17</v>
      </c>
      <c r="B1138" t="s">
        <v>36</v>
      </c>
      <c r="C1138">
        <v>270000</v>
      </c>
      <c r="D1138" t="s">
        <v>19</v>
      </c>
      <c r="E1138" t="s">
        <v>20</v>
      </c>
      <c r="F1138" t="s">
        <v>32</v>
      </c>
      <c r="G1138" t="s">
        <v>22</v>
      </c>
      <c r="H1138" t="s">
        <v>23</v>
      </c>
      <c r="I1138" t="s">
        <v>24</v>
      </c>
      <c r="J1138">
        <v>40050</v>
      </c>
      <c r="K1138">
        <v>0</v>
      </c>
      <c r="L1138" t="s">
        <v>38</v>
      </c>
      <c r="M1138" t="s">
        <v>26</v>
      </c>
      <c r="N1138" t="s">
        <v>27</v>
      </c>
      <c r="O1138" t="s">
        <v>35</v>
      </c>
      <c r="P1138" t="s">
        <v>26</v>
      </c>
      <c r="Q1138">
        <v>0</v>
      </c>
    </row>
    <row r="1139" spans="1:17" x14ac:dyDescent="0.25">
      <c r="A1139" t="s">
        <v>17</v>
      </c>
      <c r="B1139" t="s">
        <v>36</v>
      </c>
      <c r="C1139">
        <v>270000</v>
      </c>
      <c r="D1139" t="s">
        <v>19</v>
      </c>
      <c r="E1139" t="s">
        <v>20</v>
      </c>
      <c r="F1139" t="s">
        <v>32</v>
      </c>
      <c r="G1139" t="s">
        <v>22</v>
      </c>
      <c r="H1139" t="s">
        <v>23</v>
      </c>
      <c r="I1139" t="s">
        <v>24</v>
      </c>
      <c r="J1139">
        <v>44991</v>
      </c>
      <c r="K1139">
        <v>9000</v>
      </c>
      <c r="L1139" t="s">
        <v>43</v>
      </c>
      <c r="M1139" t="s">
        <v>26</v>
      </c>
      <c r="N1139" t="s">
        <v>27</v>
      </c>
      <c r="O1139" t="s">
        <v>35</v>
      </c>
      <c r="P1139" t="s">
        <v>26</v>
      </c>
      <c r="Q1139">
        <v>0</v>
      </c>
    </row>
    <row r="1140" spans="1:17" x14ac:dyDescent="0.25">
      <c r="A1140" t="s">
        <v>17</v>
      </c>
      <c r="B1140" t="s">
        <v>36</v>
      </c>
      <c r="C1140">
        <v>112500</v>
      </c>
      <c r="D1140" t="s">
        <v>46</v>
      </c>
      <c r="E1140" t="s">
        <v>20</v>
      </c>
      <c r="F1140" t="s">
        <v>32</v>
      </c>
      <c r="G1140" t="s">
        <v>22</v>
      </c>
      <c r="H1140" t="s">
        <v>28</v>
      </c>
      <c r="I1140" t="s">
        <v>24</v>
      </c>
      <c r="J1140">
        <v>34141.5</v>
      </c>
      <c r="K1140">
        <v>0</v>
      </c>
      <c r="L1140" t="s">
        <v>45</v>
      </c>
      <c r="M1140" t="s">
        <v>26</v>
      </c>
      <c r="N1140" t="s">
        <v>76</v>
      </c>
      <c r="O1140" t="s">
        <v>35</v>
      </c>
      <c r="P1140" t="s">
        <v>77</v>
      </c>
      <c r="Q1140">
        <v>0</v>
      </c>
    </row>
    <row r="1141" spans="1:17" x14ac:dyDescent="0.25">
      <c r="A1141" t="s">
        <v>17</v>
      </c>
      <c r="B1141" t="s">
        <v>36</v>
      </c>
      <c r="C1141">
        <v>112500</v>
      </c>
      <c r="D1141" t="s">
        <v>46</v>
      </c>
      <c r="E1141" t="s">
        <v>20</v>
      </c>
      <c r="F1141" t="s">
        <v>32</v>
      </c>
      <c r="G1141" t="s">
        <v>22</v>
      </c>
      <c r="H1141" t="s">
        <v>28</v>
      </c>
      <c r="I1141" t="s">
        <v>66</v>
      </c>
      <c r="J1141">
        <v>135000</v>
      </c>
      <c r="K1141">
        <v>0</v>
      </c>
      <c r="L1141" t="s">
        <v>25</v>
      </c>
      <c r="M1141" t="s">
        <v>28</v>
      </c>
      <c r="N1141" t="s">
        <v>27</v>
      </c>
      <c r="O1141" t="s">
        <v>35</v>
      </c>
      <c r="P1141" t="s">
        <v>26</v>
      </c>
      <c r="Q1141">
        <v>0</v>
      </c>
    </row>
    <row r="1142" spans="1:17" x14ac:dyDescent="0.25">
      <c r="A1142" t="s">
        <v>17</v>
      </c>
      <c r="B1142" t="s">
        <v>36</v>
      </c>
      <c r="C1142">
        <v>112500</v>
      </c>
      <c r="D1142" t="s">
        <v>46</v>
      </c>
      <c r="E1142" t="s">
        <v>20</v>
      </c>
      <c r="F1142" t="s">
        <v>32</v>
      </c>
      <c r="G1142" t="s">
        <v>22</v>
      </c>
      <c r="H1142" t="s">
        <v>28</v>
      </c>
      <c r="I1142" t="s">
        <v>66</v>
      </c>
      <c r="J1142">
        <v>45000</v>
      </c>
      <c r="K1142">
        <v>0</v>
      </c>
      <c r="L1142" t="s">
        <v>45</v>
      </c>
      <c r="M1142" t="s">
        <v>28</v>
      </c>
      <c r="N1142" t="s">
        <v>27</v>
      </c>
      <c r="O1142" t="s">
        <v>35</v>
      </c>
      <c r="P1142" t="s">
        <v>26</v>
      </c>
      <c r="Q1142">
        <v>0</v>
      </c>
    </row>
    <row r="1143" spans="1:17" x14ac:dyDescent="0.25">
      <c r="A1143" t="s">
        <v>29</v>
      </c>
      <c r="B1143" t="s">
        <v>18</v>
      </c>
      <c r="C1143">
        <v>67500</v>
      </c>
      <c r="D1143" t="s">
        <v>19</v>
      </c>
      <c r="E1143" t="s">
        <v>31</v>
      </c>
      <c r="F1143" t="s">
        <v>32</v>
      </c>
      <c r="G1143" t="s">
        <v>22</v>
      </c>
      <c r="H1143" t="s">
        <v>68</v>
      </c>
      <c r="I1143" t="s">
        <v>24</v>
      </c>
      <c r="J1143">
        <v>50350.5</v>
      </c>
      <c r="K1143">
        <v>7555.5</v>
      </c>
      <c r="L1143" t="s">
        <v>38</v>
      </c>
      <c r="M1143" t="s">
        <v>26</v>
      </c>
      <c r="N1143" t="s">
        <v>27</v>
      </c>
      <c r="O1143" t="s">
        <v>35</v>
      </c>
      <c r="P1143" t="s">
        <v>26</v>
      </c>
      <c r="Q1143">
        <v>0</v>
      </c>
    </row>
    <row r="1144" spans="1:17" x14ac:dyDescent="0.25">
      <c r="A1144" t="s">
        <v>29</v>
      </c>
      <c r="B1144" t="s">
        <v>18</v>
      </c>
      <c r="C1144">
        <v>67500</v>
      </c>
      <c r="D1144" t="s">
        <v>19</v>
      </c>
      <c r="E1144" t="s">
        <v>31</v>
      </c>
      <c r="F1144" t="s">
        <v>32</v>
      </c>
      <c r="G1144" t="s">
        <v>22</v>
      </c>
      <c r="H1144" t="s">
        <v>68</v>
      </c>
      <c r="I1144" t="s">
        <v>24</v>
      </c>
      <c r="J1144">
        <v>34555.5</v>
      </c>
      <c r="K1144">
        <v>3465</v>
      </c>
      <c r="L1144" t="s">
        <v>38</v>
      </c>
      <c r="M1144" t="s">
        <v>26</v>
      </c>
      <c r="N1144" t="s">
        <v>27</v>
      </c>
      <c r="O1144" t="s">
        <v>35</v>
      </c>
      <c r="P1144" t="s">
        <v>26</v>
      </c>
      <c r="Q1144">
        <v>0</v>
      </c>
    </row>
    <row r="1145" spans="1:17" x14ac:dyDescent="0.25">
      <c r="A1145" t="s">
        <v>29</v>
      </c>
      <c r="B1145" t="s">
        <v>18</v>
      </c>
      <c r="C1145">
        <v>67500</v>
      </c>
      <c r="D1145" t="s">
        <v>19</v>
      </c>
      <c r="E1145" t="s">
        <v>31</v>
      </c>
      <c r="F1145" t="s">
        <v>32</v>
      </c>
      <c r="G1145" t="s">
        <v>22</v>
      </c>
      <c r="H1145" t="s">
        <v>68</v>
      </c>
      <c r="I1145" t="s">
        <v>24</v>
      </c>
      <c r="J1145">
        <v>50962.5</v>
      </c>
      <c r="K1145">
        <v>0</v>
      </c>
      <c r="L1145" t="s">
        <v>25</v>
      </c>
      <c r="M1145" t="s">
        <v>26</v>
      </c>
      <c r="N1145" t="s">
        <v>27</v>
      </c>
      <c r="O1145" t="s">
        <v>35</v>
      </c>
      <c r="P1145" t="s">
        <v>26</v>
      </c>
      <c r="Q1145">
        <v>0</v>
      </c>
    </row>
    <row r="1146" spans="1:17" x14ac:dyDescent="0.25">
      <c r="A1146" t="s">
        <v>29</v>
      </c>
      <c r="B1146" t="s">
        <v>36</v>
      </c>
      <c r="C1146">
        <v>54000</v>
      </c>
      <c r="D1146" t="s">
        <v>30</v>
      </c>
      <c r="E1146" t="s">
        <v>20</v>
      </c>
      <c r="F1146" t="s">
        <v>32</v>
      </c>
      <c r="G1146" t="s">
        <v>22</v>
      </c>
      <c r="H1146" t="s">
        <v>37</v>
      </c>
      <c r="I1146" t="s">
        <v>24</v>
      </c>
      <c r="J1146">
        <v>53257.5</v>
      </c>
      <c r="K1146">
        <v>3199.5</v>
      </c>
      <c r="L1146" t="s">
        <v>45</v>
      </c>
      <c r="M1146" t="s">
        <v>26</v>
      </c>
      <c r="N1146" t="s">
        <v>27</v>
      </c>
      <c r="O1146" t="s">
        <v>35</v>
      </c>
      <c r="P1146" t="s">
        <v>26</v>
      </c>
      <c r="Q1146">
        <v>0</v>
      </c>
    </row>
    <row r="1147" spans="1:17" x14ac:dyDescent="0.25">
      <c r="A1147" t="s">
        <v>29</v>
      </c>
      <c r="B1147" t="s">
        <v>18</v>
      </c>
      <c r="C1147">
        <v>180000</v>
      </c>
      <c r="D1147" t="s">
        <v>46</v>
      </c>
      <c r="E1147" t="s">
        <v>20</v>
      </c>
      <c r="F1147" t="s">
        <v>32</v>
      </c>
      <c r="G1147" t="s">
        <v>22</v>
      </c>
      <c r="H1147" t="s">
        <v>28</v>
      </c>
      <c r="I1147" t="s">
        <v>24</v>
      </c>
      <c r="J1147">
        <v>183042</v>
      </c>
      <c r="K1147">
        <v>18306</v>
      </c>
      <c r="L1147" t="s">
        <v>45</v>
      </c>
      <c r="M1147" t="s">
        <v>26</v>
      </c>
      <c r="N1147" t="s">
        <v>27</v>
      </c>
      <c r="O1147" t="s">
        <v>35</v>
      </c>
      <c r="P1147" t="s">
        <v>26</v>
      </c>
      <c r="Q1147">
        <v>0</v>
      </c>
    </row>
    <row r="1148" spans="1:17" x14ac:dyDescent="0.25">
      <c r="A1148" t="s">
        <v>29</v>
      </c>
      <c r="B1148" t="s">
        <v>18</v>
      </c>
      <c r="C1148">
        <v>261000</v>
      </c>
      <c r="D1148" t="s">
        <v>19</v>
      </c>
      <c r="E1148" t="s">
        <v>31</v>
      </c>
      <c r="F1148" t="s">
        <v>32</v>
      </c>
      <c r="G1148" t="s">
        <v>22</v>
      </c>
      <c r="H1148" t="s">
        <v>56</v>
      </c>
      <c r="I1148" t="s">
        <v>24</v>
      </c>
      <c r="J1148">
        <v>120240</v>
      </c>
      <c r="K1148">
        <v>24048</v>
      </c>
      <c r="L1148" t="s">
        <v>25</v>
      </c>
      <c r="M1148" t="s">
        <v>26</v>
      </c>
      <c r="N1148" t="s">
        <v>27</v>
      </c>
      <c r="O1148" t="s">
        <v>35</v>
      </c>
      <c r="P1148" t="s">
        <v>26</v>
      </c>
      <c r="Q1148">
        <v>0</v>
      </c>
    </row>
    <row r="1149" spans="1:17" x14ac:dyDescent="0.25">
      <c r="A1149" t="s">
        <v>29</v>
      </c>
      <c r="B1149" t="s">
        <v>18</v>
      </c>
      <c r="C1149">
        <v>135000</v>
      </c>
      <c r="D1149" t="s">
        <v>44</v>
      </c>
      <c r="E1149" t="s">
        <v>20</v>
      </c>
      <c r="F1149" t="s">
        <v>21</v>
      </c>
      <c r="G1149" t="s">
        <v>22</v>
      </c>
      <c r="H1149" t="s">
        <v>92</v>
      </c>
      <c r="I1149" t="s">
        <v>24</v>
      </c>
      <c r="J1149">
        <v>103500</v>
      </c>
      <c r="K1149">
        <v>0</v>
      </c>
      <c r="L1149" t="s">
        <v>42</v>
      </c>
      <c r="M1149" t="s">
        <v>26</v>
      </c>
      <c r="N1149" t="s">
        <v>27</v>
      </c>
      <c r="O1149" t="s">
        <v>35</v>
      </c>
      <c r="P1149" t="s">
        <v>26</v>
      </c>
      <c r="Q1149">
        <v>0</v>
      </c>
    </row>
    <row r="1150" spans="1:17" x14ac:dyDescent="0.25">
      <c r="A1150" t="s">
        <v>17</v>
      </c>
      <c r="B1150" t="s">
        <v>18</v>
      </c>
      <c r="C1150">
        <v>189000</v>
      </c>
      <c r="D1150" t="s">
        <v>19</v>
      </c>
      <c r="E1150" t="s">
        <v>20</v>
      </c>
      <c r="F1150" t="s">
        <v>32</v>
      </c>
      <c r="G1150" t="s">
        <v>22</v>
      </c>
      <c r="H1150" t="s">
        <v>33</v>
      </c>
      <c r="I1150" t="s">
        <v>24</v>
      </c>
      <c r="J1150">
        <v>121936.5</v>
      </c>
      <c r="K1150">
        <v>12195</v>
      </c>
      <c r="L1150" t="s">
        <v>43</v>
      </c>
      <c r="M1150" t="s">
        <v>26</v>
      </c>
      <c r="N1150" t="s">
        <v>27</v>
      </c>
      <c r="O1150" t="s">
        <v>35</v>
      </c>
      <c r="P1150" t="s">
        <v>26</v>
      </c>
      <c r="Q1150">
        <v>0</v>
      </c>
    </row>
    <row r="1151" spans="1:17" x14ac:dyDescent="0.25">
      <c r="A1151" t="s">
        <v>29</v>
      </c>
      <c r="B1151" t="s">
        <v>18</v>
      </c>
      <c r="C1151">
        <v>202500</v>
      </c>
      <c r="D1151" t="s">
        <v>44</v>
      </c>
      <c r="E1151" t="s">
        <v>20</v>
      </c>
      <c r="F1151" t="s">
        <v>39</v>
      </c>
      <c r="G1151" t="s">
        <v>22</v>
      </c>
      <c r="H1151" t="s">
        <v>23</v>
      </c>
      <c r="I1151" t="s">
        <v>90</v>
      </c>
      <c r="J1151">
        <v>157500</v>
      </c>
      <c r="K1151">
        <v>0</v>
      </c>
      <c r="L1151" t="s">
        <v>34</v>
      </c>
      <c r="M1151" t="s">
        <v>26</v>
      </c>
      <c r="N1151" t="s">
        <v>111</v>
      </c>
      <c r="O1151" t="s">
        <v>28</v>
      </c>
      <c r="P1151" t="s">
        <v>26</v>
      </c>
      <c r="Q1151">
        <v>0</v>
      </c>
    </row>
    <row r="1152" spans="1:17" x14ac:dyDescent="0.25">
      <c r="A1152" t="s">
        <v>29</v>
      </c>
      <c r="B1152" t="s">
        <v>18</v>
      </c>
      <c r="C1152">
        <v>202500</v>
      </c>
      <c r="D1152" t="s">
        <v>44</v>
      </c>
      <c r="E1152" t="s">
        <v>20</v>
      </c>
      <c r="F1152" t="s">
        <v>39</v>
      </c>
      <c r="G1152" t="s">
        <v>22</v>
      </c>
      <c r="H1152" t="s">
        <v>23</v>
      </c>
      <c r="I1152" t="s">
        <v>90</v>
      </c>
      <c r="J1152">
        <v>135000</v>
      </c>
      <c r="K1152">
        <v>0</v>
      </c>
      <c r="L1152" t="s">
        <v>25</v>
      </c>
      <c r="M1152" t="s">
        <v>26</v>
      </c>
      <c r="N1152" t="s">
        <v>111</v>
      </c>
      <c r="O1152" t="s">
        <v>28</v>
      </c>
      <c r="P1152" t="s">
        <v>26</v>
      </c>
      <c r="Q1152">
        <v>0</v>
      </c>
    </row>
    <row r="1153" spans="1:17" x14ac:dyDescent="0.25">
      <c r="A1153" t="s">
        <v>29</v>
      </c>
      <c r="B1153" t="s">
        <v>18</v>
      </c>
      <c r="C1153">
        <v>202500</v>
      </c>
      <c r="D1153" t="s">
        <v>44</v>
      </c>
      <c r="E1153" t="s">
        <v>20</v>
      </c>
      <c r="F1153" t="s">
        <v>39</v>
      </c>
      <c r="G1153" t="s">
        <v>22</v>
      </c>
      <c r="H1153" t="s">
        <v>23</v>
      </c>
      <c r="I1153" t="s">
        <v>24</v>
      </c>
      <c r="J1153">
        <v>68186.25</v>
      </c>
      <c r="K1153">
        <v>13637.25</v>
      </c>
      <c r="L1153" t="s">
        <v>25</v>
      </c>
      <c r="M1153" t="s">
        <v>26</v>
      </c>
      <c r="N1153" t="s">
        <v>27</v>
      </c>
      <c r="O1153" t="s">
        <v>35</v>
      </c>
      <c r="P1153" t="s">
        <v>26</v>
      </c>
      <c r="Q1153">
        <v>0</v>
      </c>
    </row>
    <row r="1154" spans="1:17" x14ac:dyDescent="0.25">
      <c r="A1154" t="s">
        <v>17</v>
      </c>
      <c r="B1154" t="s">
        <v>18</v>
      </c>
      <c r="C1154">
        <v>112500</v>
      </c>
      <c r="D1154" t="s">
        <v>46</v>
      </c>
      <c r="E1154" t="s">
        <v>20</v>
      </c>
      <c r="F1154" t="s">
        <v>69</v>
      </c>
      <c r="G1154" t="s">
        <v>22</v>
      </c>
      <c r="H1154" t="s">
        <v>28</v>
      </c>
      <c r="I1154" t="s">
        <v>24</v>
      </c>
      <c r="J1154">
        <v>87862.5</v>
      </c>
      <c r="K1154">
        <v>0</v>
      </c>
      <c r="L1154" t="s">
        <v>45</v>
      </c>
      <c r="M1154" t="s">
        <v>26</v>
      </c>
      <c r="N1154" t="s">
        <v>27</v>
      </c>
      <c r="O1154" t="s">
        <v>35</v>
      </c>
      <c r="P1154" t="s">
        <v>26</v>
      </c>
      <c r="Q1154">
        <v>0</v>
      </c>
    </row>
    <row r="1155" spans="1:17" x14ac:dyDescent="0.25">
      <c r="A1155" t="s">
        <v>17</v>
      </c>
      <c r="B1155" t="s">
        <v>18</v>
      </c>
      <c r="C1155">
        <v>112500</v>
      </c>
      <c r="D1155" t="s">
        <v>46</v>
      </c>
      <c r="E1155" t="s">
        <v>20</v>
      </c>
      <c r="F1155" t="s">
        <v>69</v>
      </c>
      <c r="G1155" t="s">
        <v>22</v>
      </c>
      <c r="H1155" t="s">
        <v>28</v>
      </c>
      <c r="I1155" t="s">
        <v>24</v>
      </c>
      <c r="J1155">
        <v>97870.5</v>
      </c>
      <c r="K1155">
        <v>9787.5</v>
      </c>
      <c r="L1155" t="s">
        <v>25</v>
      </c>
      <c r="M1155" t="s">
        <v>26</v>
      </c>
      <c r="N1155" t="s">
        <v>27</v>
      </c>
      <c r="O1155" t="s">
        <v>35</v>
      </c>
      <c r="P1155" t="s">
        <v>26</v>
      </c>
      <c r="Q1155">
        <v>0</v>
      </c>
    </row>
    <row r="1156" spans="1:17" x14ac:dyDescent="0.25">
      <c r="A1156" t="s">
        <v>17</v>
      </c>
      <c r="B1156" t="s">
        <v>36</v>
      </c>
      <c r="C1156">
        <v>153000</v>
      </c>
      <c r="D1156" t="s">
        <v>44</v>
      </c>
      <c r="E1156" t="s">
        <v>20</v>
      </c>
      <c r="F1156" t="s">
        <v>32</v>
      </c>
      <c r="G1156" t="s">
        <v>22</v>
      </c>
      <c r="H1156" t="s">
        <v>68</v>
      </c>
      <c r="I1156" t="s">
        <v>24</v>
      </c>
      <c r="J1156">
        <v>17996.400000000001</v>
      </c>
      <c r="K1156">
        <v>1800.9</v>
      </c>
      <c r="L1156" t="s">
        <v>42</v>
      </c>
      <c r="M1156" t="s">
        <v>26</v>
      </c>
      <c r="N1156" t="s">
        <v>27</v>
      </c>
      <c r="O1156" t="s">
        <v>35</v>
      </c>
      <c r="P1156" t="s">
        <v>26</v>
      </c>
      <c r="Q1156">
        <v>0</v>
      </c>
    </row>
    <row r="1157" spans="1:17" x14ac:dyDescent="0.25">
      <c r="A1157" t="s">
        <v>17</v>
      </c>
      <c r="B1157" t="s">
        <v>36</v>
      </c>
      <c r="C1157">
        <v>153000</v>
      </c>
      <c r="D1157" t="s">
        <v>44</v>
      </c>
      <c r="E1157" t="s">
        <v>20</v>
      </c>
      <c r="F1157" t="s">
        <v>32</v>
      </c>
      <c r="G1157" t="s">
        <v>22</v>
      </c>
      <c r="H1157" t="s">
        <v>68</v>
      </c>
      <c r="I1157" t="s">
        <v>24</v>
      </c>
      <c r="J1157">
        <v>53820</v>
      </c>
      <c r="K1157">
        <v>0</v>
      </c>
      <c r="L1157" t="s">
        <v>34</v>
      </c>
      <c r="M1157" t="s">
        <v>26</v>
      </c>
      <c r="N1157" t="s">
        <v>27</v>
      </c>
      <c r="O1157" t="s">
        <v>35</v>
      </c>
      <c r="P1157" t="s">
        <v>26</v>
      </c>
      <c r="Q1157">
        <v>0</v>
      </c>
    </row>
    <row r="1158" spans="1:17" x14ac:dyDescent="0.25">
      <c r="A1158" t="s">
        <v>17</v>
      </c>
      <c r="B1158" t="s">
        <v>36</v>
      </c>
      <c r="C1158">
        <v>112500</v>
      </c>
      <c r="D1158" t="s">
        <v>46</v>
      </c>
      <c r="E1158" t="s">
        <v>20</v>
      </c>
      <c r="F1158" t="s">
        <v>32</v>
      </c>
      <c r="G1158" t="s">
        <v>22</v>
      </c>
      <c r="H1158" t="s">
        <v>28</v>
      </c>
      <c r="I1158" t="s">
        <v>24</v>
      </c>
      <c r="J1158">
        <v>26505</v>
      </c>
      <c r="K1158">
        <v>0</v>
      </c>
      <c r="L1158" t="s">
        <v>38</v>
      </c>
      <c r="M1158" t="s">
        <v>26</v>
      </c>
      <c r="N1158" t="s">
        <v>58</v>
      </c>
      <c r="O1158" t="s">
        <v>35</v>
      </c>
      <c r="P1158" t="s">
        <v>59</v>
      </c>
      <c r="Q1158">
        <v>1</v>
      </c>
    </row>
    <row r="1159" spans="1:17" x14ac:dyDescent="0.25">
      <c r="A1159" t="s">
        <v>29</v>
      </c>
      <c r="B1159" t="s">
        <v>18</v>
      </c>
      <c r="C1159">
        <v>315000</v>
      </c>
      <c r="D1159" t="s">
        <v>19</v>
      </c>
      <c r="E1159" t="s">
        <v>20</v>
      </c>
      <c r="F1159" t="s">
        <v>21</v>
      </c>
      <c r="G1159" t="s">
        <v>22</v>
      </c>
      <c r="H1159" t="s">
        <v>48</v>
      </c>
      <c r="I1159" t="s">
        <v>24</v>
      </c>
      <c r="J1159">
        <v>124582.5</v>
      </c>
      <c r="K1159">
        <v>0</v>
      </c>
      <c r="L1159" t="s">
        <v>42</v>
      </c>
      <c r="M1159" t="s">
        <v>26</v>
      </c>
      <c r="N1159" t="s">
        <v>27</v>
      </c>
      <c r="O1159" t="s">
        <v>35</v>
      </c>
      <c r="P1159" t="s">
        <v>26</v>
      </c>
      <c r="Q1159">
        <v>0</v>
      </c>
    </row>
    <row r="1160" spans="1:17" x14ac:dyDescent="0.25">
      <c r="A1160" t="s">
        <v>29</v>
      </c>
      <c r="B1160" t="s">
        <v>18</v>
      </c>
      <c r="C1160">
        <v>315000</v>
      </c>
      <c r="D1160" t="s">
        <v>19</v>
      </c>
      <c r="E1160" t="s">
        <v>20</v>
      </c>
      <c r="F1160" t="s">
        <v>21</v>
      </c>
      <c r="G1160" t="s">
        <v>22</v>
      </c>
      <c r="H1160" t="s">
        <v>48</v>
      </c>
      <c r="I1160" t="s">
        <v>24</v>
      </c>
      <c r="J1160">
        <v>96525</v>
      </c>
      <c r="K1160">
        <v>0</v>
      </c>
      <c r="L1160" t="s">
        <v>25</v>
      </c>
      <c r="M1160" t="s">
        <v>26</v>
      </c>
      <c r="N1160" t="s">
        <v>27</v>
      </c>
      <c r="O1160" t="s">
        <v>35</v>
      </c>
      <c r="P1160" t="s">
        <v>26</v>
      </c>
      <c r="Q1160">
        <v>0</v>
      </c>
    </row>
    <row r="1161" spans="1:17" x14ac:dyDescent="0.25">
      <c r="A1161" t="s">
        <v>29</v>
      </c>
      <c r="B1161" t="s">
        <v>18</v>
      </c>
      <c r="C1161">
        <v>315000</v>
      </c>
      <c r="D1161" t="s">
        <v>19</v>
      </c>
      <c r="E1161" t="s">
        <v>20</v>
      </c>
      <c r="F1161" t="s">
        <v>21</v>
      </c>
      <c r="G1161" t="s">
        <v>22</v>
      </c>
      <c r="H1161" t="s">
        <v>48</v>
      </c>
      <c r="I1161" t="s">
        <v>24</v>
      </c>
      <c r="J1161">
        <v>28705.5</v>
      </c>
      <c r="K1161">
        <v>9000</v>
      </c>
      <c r="L1161" t="s">
        <v>43</v>
      </c>
      <c r="M1161" t="s">
        <v>26</v>
      </c>
      <c r="N1161" t="s">
        <v>27</v>
      </c>
      <c r="O1161" t="s">
        <v>35</v>
      </c>
      <c r="P1161" t="s">
        <v>26</v>
      </c>
      <c r="Q1161">
        <v>0</v>
      </c>
    </row>
    <row r="1162" spans="1:17" x14ac:dyDescent="0.25">
      <c r="A1162" t="s">
        <v>29</v>
      </c>
      <c r="B1162" t="s">
        <v>18</v>
      </c>
      <c r="C1162">
        <v>157500</v>
      </c>
      <c r="D1162" t="s">
        <v>44</v>
      </c>
      <c r="E1162" t="s">
        <v>31</v>
      </c>
      <c r="F1162" t="s">
        <v>21</v>
      </c>
      <c r="G1162" t="s">
        <v>22</v>
      </c>
      <c r="H1162" t="s">
        <v>23</v>
      </c>
      <c r="I1162" t="s">
        <v>24</v>
      </c>
      <c r="J1162">
        <v>40005</v>
      </c>
      <c r="K1162">
        <v>4000.5</v>
      </c>
      <c r="L1162" t="s">
        <v>38</v>
      </c>
      <c r="M1162" t="s">
        <v>26</v>
      </c>
      <c r="N1162" t="s">
        <v>27</v>
      </c>
      <c r="O1162" t="s">
        <v>35</v>
      </c>
      <c r="P1162" t="s">
        <v>26</v>
      </c>
      <c r="Q1162">
        <v>0</v>
      </c>
    </row>
    <row r="1163" spans="1:17" x14ac:dyDescent="0.25">
      <c r="A1163" t="s">
        <v>29</v>
      </c>
      <c r="B1163" t="s">
        <v>18</v>
      </c>
      <c r="C1163">
        <v>157500</v>
      </c>
      <c r="D1163" t="s">
        <v>44</v>
      </c>
      <c r="E1163" t="s">
        <v>31</v>
      </c>
      <c r="F1163" t="s">
        <v>21</v>
      </c>
      <c r="G1163" t="s">
        <v>22</v>
      </c>
      <c r="H1163" t="s">
        <v>23</v>
      </c>
      <c r="I1163" t="s">
        <v>24</v>
      </c>
      <c r="J1163">
        <v>44788.5</v>
      </c>
      <c r="K1163">
        <v>0</v>
      </c>
      <c r="L1163" t="s">
        <v>38</v>
      </c>
      <c r="M1163" t="s">
        <v>26</v>
      </c>
      <c r="N1163" t="s">
        <v>58</v>
      </c>
      <c r="O1163" t="s">
        <v>35</v>
      </c>
      <c r="P1163" t="s">
        <v>64</v>
      </c>
      <c r="Q1163">
        <v>1</v>
      </c>
    </row>
    <row r="1164" spans="1:17" x14ac:dyDescent="0.25">
      <c r="A1164" t="s">
        <v>29</v>
      </c>
      <c r="B1164" t="s">
        <v>18</v>
      </c>
      <c r="C1164">
        <v>157500</v>
      </c>
      <c r="D1164" t="s">
        <v>44</v>
      </c>
      <c r="E1164" t="s">
        <v>31</v>
      </c>
      <c r="F1164" t="s">
        <v>21</v>
      </c>
      <c r="G1164" t="s">
        <v>22</v>
      </c>
      <c r="H1164" t="s">
        <v>23</v>
      </c>
      <c r="I1164" t="s">
        <v>24</v>
      </c>
      <c r="J1164">
        <v>64215</v>
      </c>
      <c r="K1164">
        <v>22500</v>
      </c>
      <c r="L1164" t="s">
        <v>42</v>
      </c>
      <c r="M1164" t="s">
        <v>26</v>
      </c>
      <c r="N1164" t="s">
        <v>27</v>
      </c>
      <c r="O1164" t="s">
        <v>35</v>
      </c>
      <c r="P1164" t="s">
        <v>26</v>
      </c>
      <c r="Q1164">
        <v>0</v>
      </c>
    </row>
    <row r="1165" spans="1:17" x14ac:dyDescent="0.25">
      <c r="A1165" t="s">
        <v>29</v>
      </c>
      <c r="B1165" t="s">
        <v>18</v>
      </c>
      <c r="C1165">
        <v>157500</v>
      </c>
      <c r="D1165" t="s">
        <v>44</v>
      </c>
      <c r="E1165" t="s">
        <v>31</v>
      </c>
      <c r="F1165" t="s">
        <v>21</v>
      </c>
      <c r="G1165" t="s">
        <v>22</v>
      </c>
      <c r="H1165" t="s">
        <v>23</v>
      </c>
      <c r="I1165" t="s">
        <v>24</v>
      </c>
      <c r="J1165">
        <v>62955</v>
      </c>
      <c r="K1165">
        <v>6300</v>
      </c>
      <c r="L1165" t="s">
        <v>38</v>
      </c>
      <c r="M1165" t="s">
        <v>26</v>
      </c>
      <c r="N1165" t="s">
        <v>27</v>
      </c>
      <c r="O1165" t="s">
        <v>28</v>
      </c>
      <c r="P1165" t="s">
        <v>26</v>
      </c>
      <c r="Q1165">
        <v>0</v>
      </c>
    </row>
    <row r="1166" spans="1:17" x14ac:dyDescent="0.25">
      <c r="A1166" t="s">
        <v>17</v>
      </c>
      <c r="B1166" t="s">
        <v>18</v>
      </c>
      <c r="C1166">
        <v>112500</v>
      </c>
      <c r="D1166" t="s">
        <v>19</v>
      </c>
      <c r="E1166" t="s">
        <v>20</v>
      </c>
      <c r="F1166" t="s">
        <v>39</v>
      </c>
      <c r="G1166" t="s">
        <v>22</v>
      </c>
      <c r="H1166" t="s">
        <v>23</v>
      </c>
      <c r="I1166" t="s">
        <v>24</v>
      </c>
      <c r="J1166">
        <v>17802</v>
      </c>
      <c r="K1166">
        <v>1782</v>
      </c>
      <c r="L1166" t="s">
        <v>34</v>
      </c>
      <c r="M1166" t="s">
        <v>26</v>
      </c>
      <c r="N1166" t="s">
        <v>27</v>
      </c>
      <c r="O1166" t="s">
        <v>35</v>
      </c>
      <c r="P1166" t="s">
        <v>26</v>
      </c>
      <c r="Q1166">
        <v>0</v>
      </c>
    </row>
    <row r="1167" spans="1:17" x14ac:dyDescent="0.25">
      <c r="A1167" t="s">
        <v>29</v>
      </c>
      <c r="B1167" t="s">
        <v>18</v>
      </c>
      <c r="C1167">
        <v>112500</v>
      </c>
      <c r="D1167" t="s">
        <v>46</v>
      </c>
      <c r="E1167" t="s">
        <v>104</v>
      </c>
      <c r="F1167" t="s">
        <v>21</v>
      </c>
      <c r="G1167" t="s">
        <v>22</v>
      </c>
      <c r="H1167" t="s">
        <v>28</v>
      </c>
      <c r="I1167" t="s">
        <v>24</v>
      </c>
      <c r="J1167">
        <v>101250</v>
      </c>
      <c r="K1167">
        <v>0</v>
      </c>
      <c r="L1167" t="s">
        <v>43</v>
      </c>
      <c r="M1167" t="s">
        <v>26</v>
      </c>
      <c r="N1167" t="s">
        <v>27</v>
      </c>
      <c r="O1167" t="s">
        <v>35</v>
      </c>
      <c r="P1167" t="s">
        <v>26</v>
      </c>
      <c r="Q1167">
        <v>0</v>
      </c>
    </row>
    <row r="1168" spans="1:17" x14ac:dyDescent="0.25">
      <c r="A1168" t="s">
        <v>29</v>
      </c>
      <c r="B1168" t="s">
        <v>18</v>
      </c>
      <c r="C1168">
        <v>157500</v>
      </c>
      <c r="D1168" t="s">
        <v>30</v>
      </c>
      <c r="E1168" t="s">
        <v>20</v>
      </c>
      <c r="F1168" t="s">
        <v>39</v>
      </c>
      <c r="G1168" t="s">
        <v>22</v>
      </c>
      <c r="H1168" t="s">
        <v>56</v>
      </c>
      <c r="I1168" t="s">
        <v>24</v>
      </c>
      <c r="J1168">
        <v>20155.5</v>
      </c>
      <c r="K1168">
        <v>2016</v>
      </c>
      <c r="L1168" t="s">
        <v>43</v>
      </c>
      <c r="M1168" t="s">
        <v>26</v>
      </c>
      <c r="N1168" t="s">
        <v>27</v>
      </c>
      <c r="O1168" t="s">
        <v>35</v>
      </c>
      <c r="P1168" t="s">
        <v>26</v>
      </c>
      <c r="Q1168">
        <v>0</v>
      </c>
    </row>
    <row r="1169" spans="1:17" x14ac:dyDescent="0.25">
      <c r="A1169" t="s">
        <v>29</v>
      </c>
      <c r="B1169" t="s">
        <v>36</v>
      </c>
      <c r="C1169">
        <v>315000</v>
      </c>
      <c r="D1169" t="s">
        <v>44</v>
      </c>
      <c r="E1169" t="s">
        <v>20</v>
      </c>
      <c r="F1169" t="s">
        <v>39</v>
      </c>
      <c r="G1169" t="s">
        <v>22</v>
      </c>
      <c r="H1169" t="s">
        <v>63</v>
      </c>
      <c r="I1169" t="s">
        <v>24</v>
      </c>
      <c r="J1169">
        <v>158953.5</v>
      </c>
      <c r="K1169">
        <v>0</v>
      </c>
      <c r="L1169" t="s">
        <v>42</v>
      </c>
      <c r="M1169" t="s">
        <v>26</v>
      </c>
      <c r="N1169" t="s">
        <v>27</v>
      </c>
      <c r="O1169" t="s">
        <v>35</v>
      </c>
      <c r="P1169" t="s">
        <v>26</v>
      </c>
      <c r="Q1169">
        <v>0</v>
      </c>
    </row>
    <row r="1170" spans="1:17" x14ac:dyDescent="0.25">
      <c r="A1170" t="s">
        <v>29</v>
      </c>
      <c r="B1170" t="s">
        <v>36</v>
      </c>
      <c r="C1170">
        <v>135000</v>
      </c>
      <c r="D1170" t="s">
        <v>19</v>
      </c>
      <c r="E1170" t="s">
        <v>20</v>
      </c>
      <c r="F1170" t="s">
        <v>32</v>
      </c>
      <c r="G1170" t="s">
        <v>22</v>
      </c>
      <c r="H1170" t="s">
        <v>112</v>
      </c>
      <c r="I1170" t="s">
        <v>24</v>
      </c>
      <c r="J1170">
        <v>190557</v>
      </c>
      <c r="K1170">
        <v>0</v>
      </c>
      <c r="L1170" t="s">
        <v>25</v>
      </c>
      <c r="M1170" t="s">
        <v>26</v>
      </c>
      <c r="N1170" t="s">
        <v>27</v>
      </c>
      <c r="O1170" t="s">
        <v>35</v>
      </c>
      <c r="P1170" t="s">
        <v>26</v>
      </c>
      <c r="Q1170">
        <v>0</v>
      </c>
    </row>
    <row r="1171" spans="1:17" x14ac:dyDescent="0.25">
      <c r="A1171" t="s">
        <v>29</v>
      </c>
      <c r="B1171" t="s">
        <v>36</v>
      </c>
      <c r="C1171">
        <v>135000</v>
      </c>
      <c r="D1171" t="s">
        <v>19</v>
      </c>
      <c r="E1171" t="s">
        <v>20</v>
      </c>
      <c r="F1171" t="s">
        <v>32</v>
      </c>
      <c r="G1171" t="s">
        <v>22</v>
      </c>
      <c r="H1171" t="s">
        <v>112</v>
      </c>
      <c r="I1171" t="s">
        <v>24</v>
      </c>
      <c r="J1171">
        <v>233964</v>
      </c>
      <c r="K1171">
        <v>0</v>
      </c>
      <c r="L1171" t="s">
        <v>51</v>
      </c>
      <c r="M1171" t="s">
        <v>26</v>
      </c>
      <c r="N1171" t="s">
        <v>27</v>
      </c>
      <c r="O1171" t="s">
        <v>35</v>
      </c>
      <c r="P1171" t="s">
        <v>26</v>
      </c>
      <c r="Q1171">
        <v>0</v>
      </c>
    </row>
    <row r="1172" spans="1:17" x14ac:dyDescent="0.25">
      <c r="A1172" t="s">
        <v>29</v>
      </c>
      <c r="B1172" t="s">
        <v>36</v>
      </c>
      <c r="C1172">
        <v>90000</v>
      </c>
      <c r="D1172" t="s">
        <v>30</v>
      </c>
      <c r="E1172" t="s">
        <v>31</v>
      </c>
      <c r="F1172" t="s">
        <v>32</v>
      </c>
      <c r="G1172" t="s">
        <v>22</v>
      </c>
      <c r="H1172" t="s">
        <v>41</v>
      </c>
      <c r="I1172" t="s">
        <v>24</v>
      </c>
      <c r="J1172">
        <v>35500.5</v>
      </c>
      <c r="K1172">
        <v>3550.5</v>
      </c>
      <c r="L1172" t="s">
        <v>43</v>
      </c>
      <c r="M1172" t="s">
        <v>26</v>
      </c>
      <c r="N1172" t="s">
        <v>27</v>
      </c>
      <c r="O1172" t="s">
        <v>28</v>
      </c>
      <c r="P1172" t="s">
        <v>26</v>
      </c>
      <c r="Q1172">
        <v>0</v>
      </c>
    </row>
    <row r="1173" spans="1:17" x14ac:dyDescent="0.25">
      <c r="A1173" t="s">
        <v>17</v>
      </c>
      <c r="B1173" t="s">
        <v>18</v>
      </c>
      <c r="C1173">
        <v>81000</v>
      </c>
      <c r="D1173" t="s">
        <v>44</v>
      </c>
      <c r="E1173" t="s">
        <v>20</v>
      </c>
      <c r="F1173" t="s">
        <v>21</v>
      </c>
      <c r="G1173" t="s">
        <v>22</v>
      </c>
      <c r="H1173" t="s">
        <v>61</v>
      </c>
      <c r="I1173" t="s">
        <v>24</v>
      </c>
      <c r="J1173">
        <v>50625</v>
      </c>
      <c r="K1173">
        <v>2520</v>
      </c>
      <c r="L1173" t="s">
        <v>34</v>
      </c>
      <c r="M1173" t="s">
        <v>26</v>
      </c>
      <c r="N1173" t="s">
        <v>27</v>
      </c>
      <c r="O1173" t="s">
        <v>35</v>
      </c>
      <c r="P1173" t="s">
        <v>26</v>
      </c>
      <c r="Q1173">
        <v>0</v>
      </c>
    </row>
    <row r="1174" spans="1:17" x14ac:dyDescent="0.25">
      <c r="A1174" t="s">
        <v>29</v>
      </c>
      <c r="B1174" t="s">
        <v>36</v>
      </c>
      <c r="C1174">
        <v>135000</v>
      </c>
      <c r="D1174" t="s">
        <v>44</v>
      </c>
      <c r="E1174" t="s">
        <v>20</v>
      </c>
      <c r="F1174" t="s">
        <v>39</v>
      </c>
      <c r="G1174" t="s">
        <v>62</v>
      </c>
      <c r="H1174" t="s">
        <v>23</v>
      </c>
      <c r="I1174" t="s">
        <v>24</v>
      </c>
      <c r="J1174">
        <v>25191</v>
      </c>
      <c r="K1174">
        <v>0</v>
      </c>
      <c r="L1174" t="s">
        <v>51</v>
      </c>
      <c r="M1174" t="s">
        <v>26</v>
      </c>
      <c r="N1174" t="s">
        <v>27</v>
      </c>
      <c r="O1174" t="s">
        <v>35</v>
      </c>
      <c r="P1174" t="s">
        <v>26</v>
      </c>
      <c r="Q1174">
        <v>0</v>
      </c>
    </row>
    <row r="1175" spans="1:17" x14ac:dyDescent="0.25">
      <c r="A1175" t="s">
        <v>29</v>
      </c>
      <c r="B1175" t="s">
        <v>36</v>
      </c>
      <c r="C1175">
        <v>135000</v>
      </c>
      <c r="D1175" t="s">
        <v>44</v>
      </c>
      <c r="E1175" t="s">
        <v>20</v>
      </c>
      <c r="F1175" t="s">
        <v>39</v>
      </c>
      <c r="G1175" t="s">
        <v>62</v>
      </c>
      <c r="H1175" t="s">
        <v>23</v>
      </c>
      <c r="I1175" t="s">
        <v>24</v>
      </c>
      <c r="J1175">
        <v>60507</v>
      </c>
      <c r="K1175">
        <v>6052.5</v>
      </c>
      <c r="L1175" t="s">
        <v>43</v>
      </c>
      <c r="M1175" t="s">
        <v>26</v>
      </c>
      <c r="N1175" t="s">
        <v>27</v>
      </c>
      <c r="O1175" t="s">
        <v>35</v>
      </c>
      <c r="P1175" t="s">
        <v>26</v>
      </c>
      <c r="Q1175">
        <v>0</v>
      </c>
    </row>
    <row r="1176" spans="1:17" x14ac:dyDescent="0.25">
      <c r="A1176" t="s">
        <v>29</v>
      </c>
      <c r="B1176" t="s">
        <v>36</v>
      </c>
      <c r="C1176">
        <v>135000</v>
      </c>
      <c r="D1176" t="s">
        <v>44</v>
      </c>
      <c r="E1176" t="s">
        <v>20</v>
      </c>
      <c r="F1176" t="s">
        <v>39</v>
      </c>
      <c r="G1176" t="s">
        <v>62</v>
      </c>
      <c r="H1176" t="s">
        <v>23</v>
      </c>
      <c r="I1176" t="s">
        <v>24</v>
      </c>
      <c r="J1176">
        <v>78660</v>
      </c>
      <c r="K1176">
        <v>3915</v>
      </c>
      <c r="L1176" t="s">
        <v>38</v>
      </c>
      <c r="M1176" t="s">
        <v>26</v>
      </c>
      <c r="N1176" t="s">
        <v>27</v>
      </c>
      <c r="O1176" t="s">
        <v>35</v>
      </c>
      <c r="P1176" t="s">
        <v>26</v>
      </c>
      <c r="Q1176">
        <v>0</v>
      </c>
    </row>
    <row r="1177" spans="1:17" x14ac:dyDescent="0.25">
      <c r="A1177" t="s">
        <v>29</v>
      </c>
      <c r="B1177" t="s">
        <v>18</v>
      </c>
      <c r="C1177">
        <v>112500</v>
      </c>
      <c r="D1177" t="s">
        <v>44</v>
      </c>
      <c r="E1177" t="s">
        <v>20</v>
      </c>
      <c r="F1177" t="s">
        <v>32</v>
      </c>
      <c r="G1177" t="s">
        <v>22</v>
      </c>
      <c r="H1177" t="s">
        <v>65</v>
      </c>
      <c r="I1177" t="s">
        <v>24</v>
      </c>
      <c r="J1177">
        <v>56655</v>
      </c>
      <c r="K1177">
        <v>0</v>
      </c>
      <c r="L1177" t="s">
        <v>42</v>
      </c>
      <c r="M1177" t="s">
        <v>26</v>
      </c>
      <c r="N1177" t="s">
        <v>27</v>
      </c>
      <c r="O1177" t="s">
        <v>35</v>
      </c>
      <c r="P1177" t="s">
        <v>26</v>
      </c>
      <c r="Q1177">
        <v>0</v>
      </c>
    </row>
    <row r="1178" spans="1:17" x14ac:dyDescent="0.25">
      <c r="A1178" t="s">
        <v>29</v>
      </c>
      <c r="B1178" t="s">
        <v>18</v>
      </c>
      <c r="C1178">
        <v>112500</v>
      </c>
      <c r="D1178" t="s">
        <v>44</v>
      </c>
      <c r="E1178" t="s">
        <v>20</v>
      </c>
      <c r="F1178" t="s">
        <v>32</v>
      </c>
      <c r="G1178" t="s">
        <v>22</v>
      </c>
      <c r="H1178" t="s">
        <v>65</v>
      </c>
      <c r="I1178" t="s">
        <v>24</v>
      </c>
      <c r="J1178">
        <v>49045.5</v>
      </c>
      <c r="K1178">
        <v>0</v>
      </c>
      <c r="L1178" t="s">
        <v>42</v>
      </c>
      <c r="M1178" t="s">
        <v>26</v>
      </c>
      <c r="N1178" t="s">
        <v>27</v>
      </c>
      <c r="O1178" t="s">
        <v>35</v>
      </c>
      <c r="P1178" t="s">
        <v>26</v>
      </c>
      <c r="Q1178">
        <v>0</v>
      </c>
    </row>
    <row r="1179" spans="1:17" x14ac:dyDescent="0.25">
      <c r="A1179" t="s">
        <v>29</v>
      </c>
      <c r="B1179" t="s">
        <v>18</v>
      </c>
      <c r="C1179">
        <v>63000</v>
      </c>
      <c r="D1179" t="s">
        <v>19</v>
      </c>
      <c r="E1179" t="s">
        <v>20</v>
      </c>
      <c r="F1179" t="s">
        <v>21</v>
      </c>
      <c r="G1179" t="s">
        <v>22</v>
      </c>
      <c r="H1179" t="s">
        <v>49</v>
      </c>
      <c r="I1179" t="s">
        <v>24</v>
      </c>
      <c r="J1179">
        <v>14773.5</v>
      </c>
      <c r="K1179">
        <v>2970</v>
      </c>
      <c r="L1179" t="s">
        <v>25</v>
      </c>
      <c r="M1179" t="s">
        <v>26</v>
      </c>
      <c r="N1179" t="s">
        <v>27</v>
      </c>
      <c r="O1179" t="s">
        <v>35</v>
      </c>
      <c r="P1179" t="s">
        <v>26</v>
      </c>
      <c r="Q1179">
        <v>0</v>
      </c>
    </row>
    <row r="1180" spans="1:17" x14ac:dyDescent="0.25">
      <c r="A1180" t="s">
        <v>29</v>
      </c>
      <c r="B1180" t="s">
        <v>18</v>
      </c>
      <c r="C1180">
        <v>63000</v>
      </c>
      <c r="D1180" t="s">
        <v>19</v>
      </c>
      <c r="E1180" t="s">
        <v>20</v>
      </c>
      <c r="F1180" t="s">
        <v>21</v>
      </c>
      <c r="G1180" t="s">
        <v>22</v>
      </c>
      <c r="H1180" t="s">
        <v>49</v>
      </c>
      <c r="I1180" t="s">
        <v>24</v>
      </c>
      <c r="J1180">
        <v>22860</v>
      </c>
      <c r="K1180">
        <v>2286</v>
      </c>
      <c r="L1180" t="s">
        <v>43</v>
      </c>
      <c r="M1180" t="s">
        <v>26</v>
      </c>
      <c r="N1180" t="s">
        <v>27</v>
      </c>
      <c r="O1180" t="s">
        <v>35</v>
      </c>
      <c r="P1180" t="s">
        <v>26</v>
      </c>
      <c r="Q1180">
        <v>0</v>
      </c>
    </row>
    <row r="1181" spans="1:17" x14ac:dyDescent="0.25">
      <c r="A1181" t="s">
        <v>17</v>
      </c>
      <c r="B1181" t="s">
        <v>36</v>
      </c>
      <c r="C1181">
        <v>283500</v>
      </c>
      <c r="D1181" t="s">
        <v>19</v>
      </c>
      <c r="E1181" t="s">
        <v>20</v>
      </c>
      <c r="F1181" t="s">
        <v>39</v>
      </c>
      <c r="G1181" t="s">
        <v>22</v>
      </c>
      <c r="H1181" t="s">
        <v>23</v>
      </c>
      <c r="I1181" t="s">
        <v>24</v>
      </c>
      <c r="J1181">
        <v>35617.5</v>
      </c>
      <c r="K1181">
        <v>2853</v>
      </c>
      <c r="L1181" t="s">
        <v>25</v>
      </c>
      <c r="M1181" t="s">
        <v>26</v>
      </c>
      <c r="N1181" t="s">
        <v>27</v>
      </c>
      <c r="O1181" t="s">
        <v>35</v>
      </c>
      <c r="P1181" t="s">
        <v>26</v>
      </c>
      <c r="Q1181">
        <v>0</v>
      </c>
    </row>
    <row r="1182" spans="1:17" x14ac:dyDescent="0.25">
      <c r="A1182" t="s">
        <v>29</v>
      </c>
      <c r="B1182" t="s">
        <v>36</v>
      </c>
      <c r="C1182">
        <v>90000</v>
      </c>
      <c r="D1182" t="s">
        <v>19</v>
      </c>
      <c r="E1182" t="s">
        <v>20</v>
      </c>
      <c r="F1182" t="s">
        <v>32</v>
      </c>
      <c r="G1182" t="s">
        <v>22</v>
      </c>
      <c r="H1182" t="s">
        <v>49</v>
      </c>
      <c r="I1182" t="s">
        <v>24</v>
      </c>
      <c r="J1182">
        <v>102420</v>
      </c>
      <c r="K1182">
        <v>0</v>
      </c>
      <c r="L1182" t="s">
        <v>34</v>
      </c>
      <c r="M1182" t="s">
        <v>26</v>
      </c>
      <c r="N1182" t="s">
        <v>27</v>
      </c>
      <c r="O1182" t="s">
        <v>28</v>
      </c>
      <c r="P1182" t="s">
        <v>26</v>
      </c>
      <c r="Q1182">
        <v>0</v>
      </c>
    </row>
    <row r="1183" spans="1:17" x14ac:dyDescent="0.25">
      <c r="A1183" t="s">
        <v>29</v>
      </c>
      <c r="B1183" t="s">
        <v>18</v>
      </c>
      <c r="C1183">
        <v>216000</v>
      </c>
      <c r="D1183" t="s">
        <v>44</v>
      </c>
      <c r="E1183" t="s">
        <v>20</v>
      </c>
      <c r="F1183" t="s">
        <v>21</v>
      </c>
      <c r="G1183" t="s">
        <v>62</v>
      </c>
      <c r="H1183" t="s">
        <v>23</v>
      </c>
      <c r="I1183" t="s">
        <v>24</v>
      </c>
      <c r="J1183">
        <v>231727.5</v>
      </c>
      <c r="K1183">
        <v>23175</v>
      </c>
      <c r="L1183" t="s">
        <v>43</v>
      </c>
      <c r="M1183" t="s">
        <v>26</v>
      </c>
      <c r="N1183" t="s">
        <v>27</v>
      </c>
      <c r="O1183" t="s">
        <v>35</v>
      </c>
      <c r="P1183" t="s">
        <v>26</v>
      </c>
      <c r="Q1183">
        <v>0</v>
      </c>
    </row>
    <row r="1184" spans="1:17" x14ac:dyDescent="0.25">
      <c r="A1184" t="s">
        <v>29</v>
      </c>
      <c r="B1184" t="s">
        <v>36</v>
      </c>
      <c r="C1184">
        <v>180000</v>
      </c>
      <c r="D1184" t="s">
        <v>44</v>
      </c>
      <c r="E1184" t="s">
        <v>20</v>
      </c>
      <c r="F1184" t="s">
        <v>39</v>
      </c>
      <c r="G1184" t="s">
        <v>22</v>
      </c>
      <c r="H1184" t="s">
        <v>49</v>
      </c>
      <c r="I1184" t="s">
        <v>24</v>
      </c>
      <c r="J1184">
        <v>125941.5</v>
      </c>
      <c r="K1184">
        <v>13360.5</v>
      </c>
      <c r="L1184" t="s">
        <v>34</v>
      </c>
      <c r="M1184" t="s">
        <v>26</v>
      </c>
      <c r="N1184" t="s">
        <v>58</v>
      </c>
      <c r="O1184" t="s">
        <v>35</v>
      </c>
      <c r="P1184" t="s">
        <v>59</v>
      </c>
      <c r="Q1184">
        <v>1</v>
      </c>
    </row>
    <row r="1185" spans="1:17" x14ac:dyDescent="0.25">
      <c r="A1185" t="s">
        <v>29</v>
      </c>
      <c r="B1185" t="s">
        <v>18</v>
      </c>
      <c r="C1185">
        <v>202500</v>
      </c>
      <c r="D1185" t="s">
        <v>19</v>
      </c>
      <c r="E1185" t="s">
        <v>20</v>
      </c>
      <c r="F1185" t="s">
        <v>32</v>
      </c>
      <c r="G1185" t="s">
        <v>22</v>
      </c>
      <c r="H1185" t="s">
        <v>23</v>
      </c>
      <c r="I1185" t="s">
        <v>24</v>
      </c>
      <c r="J1185">
        <v>26955</v>
      </c>
      <c r="K1185">
        <v>3375</v>
      </c>
      <c r="L1185" t="s">
        <v>51</v>
      </c>
      <c r="M1185" t="s">
        <v>26</v>
      </c>
      <c r="N1185" t="s">
        <v>27</v>
      </c>
      <c r="O1185" t="s">
        <v>35</v>
      </c>
      <c r="P1185" t="s">
        <v>26</v>
      </c>
      <c r="Q1185">
        <v>0</v>
      </c>
    </row>
    <row r="1186" spans="1:17" x14ac:dyDescent="0.25">
      <c r="A1186" t="s">
        <v>29</v>
      </c>
      <c r="B1186" t="s">
        <v>18</v>
      </c>
      <c r="C1186">
        <v>202500</v>
      </c>
      <c r="D1186" t="s">
        <v>30</v>
      </c>
      <c r="E1186" t="s">
        <v>20</v>
      </c>
      <c r="F1186" t="s">
        <v>32</v>
      </c>
      <c r="G1186" t="s">
        <v>22</v>
      </c>
      <c r="H1186" t="s">
        <v>41</v>
      </c>
      <c r="I1186" t="s">
        <v>24</v>
      </c>
      <c r="J1186">
        <v>137025</v>
      </c>
      <c r="K1186">
        <v>0</v>
      </c>
      <c r="L1186" t="s">
        <v>38</v>
      </c>
      <c r="M1186" t="s">
        <v>26</v>
      </c>
      <c r="N1186" t="s">
        <v>27</v>
      </c>
      <c r="O1186" t="s">
        <v>35</v>
      </c>
      <c r="P1186" t="s">
        <v>26</v>
      </c>
      <c r="Q1186">
        <v>0</v>
      </c>
    </row>
    <row r="1187" spans="1:17" x14ac:dyDescent="0.25">
      <c r="A1187" t="s">
        <v>29</v>
      </c>
      <c r="B1187" t="s">
        <v>18</v>
      </c>
      <c r="C1187">
        <v>135000</v>
      </c>
      <c r="D1187" t="s">
        <v>46</v>
      </c>
      <c r="E1187" t="s">
        <v>31</v>
      </c>
      <c r="F1187" t="s">
        <v>54</v>
      </c>
      <c r="G1187" t="s">
        <v>22</v>
      </c>
      <c r="H1187" t="s">
        <v>28</v>
      </c>
      <c r="I1187" t="s">
        <v>24</v>
      </c>
      <c r="J1187">
        <v>56205</v>
      </c>
      <c r="K1187">
        <v>5400</v>
      </c>
      <c r="L1187" t="s">
        <v>42</v>
      </c>
      <c r="M1187" t="s">
        <v>26</v>
      </c>
      <c r="N1187" t="s">
        <v>27</v>
      </c>
      <c r="O1187" t="s">
        <v>35</v>
      </c>
      <c r="P1187" t="s">
        <v>26</v>
      </c>
      <c r="Q1187">
        <v>0</v>
      </c>
    </row>
    <row r="1188" spans="1:17" x14ac:dyDescent="0.25">
      <c r="A1188" t="s">
        <v>29</v>
      </c>
      <c r="B1188" t="s">
        <v>18</v>
      </c>
      <c r="C1188">
        <v>135000</v>
      </c>
      <c r="D1188" t="s">
        <v>46</v>
      </c>
      <c r="E1188" t="s">
        <v>31</v>
      </c>
      <c r="F1188" t="s">
        <v>54</v>
      </c>
      <c r="G1188" t="s">
        <v>22</v>
      </c>
      <c r="H1188" t="s">
        <v>28</v>
      </c>
      <c r="I1188" t="s">
        <v>24</v>
      </c>
      <c r="J1188">
        <v>75600</v>
      </c>
      <c r="K1188">
        <v>7560</v>
      </c>
      <c r="L1188" t="s">
        <v>51</v>
      </c>
      <c r="M1188" t="s">
        <v>26</v>
      </c>
      <c r="N1188" t="s">
        <v>27</v>
      </c>
      <c r="O1188" t="s">
        <v>35</v>
      </c>
      <c r="P1188" t="s">
        <v>26</v>
      </c>
      <c r="Q1188">
        <v>0</v>
      </c>
    </row>
    <row r="1189" spans="1:17" x14ac:dyDescent="0.25">
      <c r="A1189" t="s">
        <v>29</v>
      </c>
      <c r="B1189" t="s">
        <v>36</v>
      </c>
      <c r="C1189">
        <v>157500</v>
      </c>
      <c r="D1189" t="s">
        <v>19</v>
      </c>
      <c r="E1189" t="s">
        <v>20</v>
      </c>
      <c r="F1189" t="s">
        <v>32</v>
      </c>
      <c r="G1189" t="s">
        <v>22</v>
      </c>
      <c r="H1189" t="s">
        <v>49</v>
      </c>
      <c r="I1189" t="s">
        <v>24</v>
      </c>
      <c r="J1189">
        <v>106312.5</v>
      </c>
      <c r="K1189">
        <v>0</v>
      </c>
      <c r="L1189" t="s">
        <v>45</v>
      </c>
      <c r="M1189" t="s">
        <v>26</v>
      </c>
      <c r="N1189" t="s">
        <v>27</v>
      </c>
      <c r="O1189" t="s">
        <v>35</v>
      </c>
      <c r="P1189" t="s">
        <v>26</v>
      </c>
      <c r="Q1189">
        <v>0</v>
      </c>
    </row>
    <row r="1190" spans="1:17" x14ac:dyDescent="0.25">
      <c r="A1190" t="s">
        <v>29</v>
      </c>
      <c r="B1190" t="s">
        <v>36</v>
      </c>
      <c r="C1190">
        <v>157500</v>
      </c>
      <c r="D1190" t="s">
        <v>19</v>
      </c>
      <c r="E1190" t="s">
        <v>20</v>
      </c>
      <c r="F1190" t="s">
        <v>32</v>
      </c>
      <c r="G1190" t="s">
        <v>22</v>
      </c>
      <c r="H1190" t="s">
        <v>49</v>
      </c>
      <c r="I1190" t="s">
        <v>24</v>
      </c>
      <c r="J1190">
        <v>130032</v>
      </c>
      <c r="K1190">
        <v>13500</v>
      </c>
      <c r="L1190" t="s">
        <v>38</v>
      </c>
      <c r="M1190" t="s">
        <v>26</v>
      </c>
      <c r="N1190" t="s">
        <v>27</v>
      </c>
      <c r="O1190" t="s">
        <v>35</v>
      </c>
      <c r="P1190" t="s">
        <v>26</v>
      </c>
      <c r="Q1190">
        <v>0</v>
      </c>
    </row>
    <row r="1191" spans="1:17" x14ac:dyDescent="0.25">
      <c r="A1191" t="s">
        <v>29</v>
      </c>
      <c r="B1191" t="s">
        <v>36</v>
      </c>
      <c r="C1191">
        <v>126000</v>
      </c>
      <c r="D1191" t="s">
        <v>19</v>
      </c>
      <c r="E1191" t="s">
        <v>20</v>
      </c>
      <c r="F1191" t="s">
        <v>32</v>
      </c>
      <c r="G1191" t="s">
        <v>22</v>
      </c>
      <c r="H1191" t="s">
        <v>23</v>
      </c>
      <c r="I1191" t="s">
        <v>24</v>
      </c>
      <c r="J1191">
        <v>47862</v>
      </c>
      <c r="K1191">
        <v>0</v>
      </c>
      <c r="L1191" t="s">
        <v>42</v>
      </c>
      <c r="M1191" t="s">
        <v>26</v>
      </c>
      <c r="N1191" t="s">
        <v>27</v>
      </c>
      <c r="O1191" t="s">
        <v>35</v>
      </c>
      <c r="P1191" t="s">
        <v>26</v>
      </c>
      <c r="Q1191">
        <v>0</v>
      </c>
    </row>
    <row r="1192" spans="1:17" x14ac:dyDescent="0.25">
      <c r="A1192" t="s">
        <v>29</v>
      </c>
      <c r="B1192" t="s">
        <v>36</v>
      </c>
      <c r="C1192">
        <v>90000</v>
      </c>
      <c r="D1192" t="s">
        <v>46</v>
      </c>
      <c r="E1192" t="s">
        <v>20</v>
      </c>
      <c r="F1192" t="s">
        <v>32</v>
      </c>
      <c r="G1192" t="s">
        <v>22</v>
      </c>
      <c r="H1192" t="s">
        <v>28</v>
      </c>
      <c r="I1192" t="s">
        <v>24</v>
      </c>
      <c r="J1192">
        <v>122301</v>
      </c>
      <c r="K1192">
        <v>0</v>
      </c>
      <c r="L1192" t="s">
        <v>25</v>
      </c>
      <c r="M1192" t="s">
        <v>26</v>
      </c>
      <c r="N1192" t="s">
        <v>27</v>
      </c>
      <c r="O1192" t="s">
        <v>35</v>
      </c>
      <c r="P1192" t="s">
        <v>26</v>
      </c>
      <c r="Q1192">
        <v>0</v>
      </c>
    </row>
    <row r="1193" spans="1:17" x14ac:dyDescent="0.25">
      <c r="A1193" t="s">
        <v>29</v>
      </c>
      <c r="B1193" t="s">
        <v>36</v>
      </c>
      <c r="C1193">
        <v>67500</v>
      </c>
      <c r="D1193" t="s">
        <v>19</v>
      </c>
      <c r="E1193" t="s">
        <v>20</v>
      </c>
      <c r="F1193" t="s">
        <v>32</v>
      </c>
      <c r="G1193" t="s">
        <v>22</v>
      </c>
      <c r="H1193" t="s">
        <v>49</v>
      </c>
      <c r="I1193" t="s">
        <v>24</v>
      </c>
      <c r="J1193">
        <v>117585</v>
      </c>
      <c r="K1193">
        <v>11758.5</v>
      </c>
      <c r="L1193" t="s">
        <v>25</v>
      </c>
      <c r="M1193" t="s">
        <v>26</v>
      </c>
      <c r="N1193" t="s">
        <v>27</v>
      </c>
      <c r="O1193" t="s">
        <v>35</v>
      </c>
      <c r="P1193" t="s">
        <v>26</v>
      </c>
      <c r="Q1193">
        <v>0</v>
      </c>
    </row>
    <row r="1194" spans="1:17" x14ac:dyDescent="0.25">
      <c r="A1194" t="s">
        <v>29</v>
      </c>
      <c r="B1194" t="s">
        <v>18</v>
      </c>
      <c r="C1194">
        <v>157500</v>
      </c>
      <c r="D1194" t="s">
        <v>19</v>
      </c>
      <c r="E1194" t="s">
        <v>20</v>
      </c>
      <c r="F1194" t="s">
        <v>32</v>
      </c>
      <c r="G1194" t="s">
        <v>22</v>
      </c>
      <c r="H1194" t="s">
        <v>57</v>
      </c>
      <c r="I1194" t="s">
        <v>24</v>
      </c>
      <c r="J1194">
        <v>76455</v>
      </c>
      <c r="K1194">
        <v>0</v>
      </c>
      <c r="L1194" t="s">
        <v>42</v>
      </c>
      <c r="M1194" t="s">
        <v>26</v>
      </c>
      <c r="N1194" t="s">
        <v>27</v>
      </c>
      <c r="O1194" t="s">
        <v>35</v>
      </c>
      <c r="P1194" t="s">
        <v>26</v>
      </c>
      <c r="Q1194">
        <v>0</v>
      </c>
    </row>
    <row r="1195" spans="1:17" x14ac:dyDescent="0.25">
      <c r="A1195" t="s">
        <v>29</v>
      </c>
      <c r="B1195" t="s">
        <v>18</v>
      </c>
      <c r="C1195">
        <v>81000</v>
      </c>
      <c r="D1195" t="s">
        <v>19</v>
      </c>
      <c r="E1195" t="s">
        <v>20</v>
      </c>
      <c r="F1195" t="s">
        <v>21</v>
      </c>
      <c r="G1195" t="s">
        <v>22</v>
      </c>
      <c r="H1195" t="s">
        <v>92</v>
      </c>
      <c r="I1195" t="s">
        <v>24</v>
      </c>
      <c r="J1195">
        <v>128340</v>
      </c>
      <c r="K1195">
        <v>0</v>
      </c>
      <c r="L1195" t="s">
        <v>25</v>
      </c>
      <c r="M1195" t="s">
        <v>26</v>
      </c>
      <c r="N1195" t="s">
        <v>27</v>
      </c>
      <c r="O1195" t="s">
        <v>35</v>
      </c>
      <c r="P1195" t="s">
        <v>26</v>
      </c>
      <c r="Q1195">
        <v>0</v>
      </c>
    </row>
    <row r="1196" spans="1:17" x14ac:dyDescent="0.25">
      <c r="A1196" t="s">
        <v>29</v>
      </c>
      <c r="B1196" t="s">
        <v>18</v>
      </c>
      <c r="C1196">
        <v>81000</v>
      </c>
      <c r="D1196" t="s">
        <v>19</v>
      </c>
      <c r="E1196" t="s">
        <v>20</v>
      </c>
      <c r="F1196" t="s">
        <v>21</v>
      </c>
      <c r="G1196" t="s">
        <v>22</v>
      </c>
      <c r="H1196" t="s">
        <v>92</v>
      </c>
      <c r="I1196" t="s">
        <v>24</v>
      </c>
      <c r="J1196">
        <v>44887.5</v>
      </c>
      <c r="K1196">
        <v>13468.5</v>
      </c>
      <c r="L1196" t="s">
        <v>38</v>
      </c>
      <c r="M1196" t="s">
        <v>26</v>
      </c>
      <c r="N1196" t="s">
        <v>27</v>
      </c>
      <c r="O1196" t="s">
        <v>35</v>
      </c>
      <c r="P1196" t="s">
        <v>26</v>
      </c>
      <c r="Q1196">
        <v>0</v>
      </c>
    </row>
    <row r="1197" spans="1:17" x14ac:dyDescent="0.25">
      <c r="A1197" t="s">
        <v>17</v>
      </c>
      <c r="B1197" t="s">
        <v>36</v>
      </c>
      <c r="C1197">
        <v>180000</v>
      </c>
      <c r="D1197" t="s">
        <v>19</v>
      </c>
      <c r="E1197" t="s">
        <v>20</v>
      </c>
      <c r="F1197" t="s">
        <v>32</v>
      </c>
      <c r="G1197" t="s">
        <v>22</v>
      </c>
      <c r="H1197" t="s">
        <v>49</v>
      </c>
      <c r="I1197" t="s">
        <v>24</v>
      </c>
      <c r="J1197">
        <v>150168.78</v>
      </c>
      <c r="K1197">
        <v>13062.78</v>
      </c>
      <c r="L1197" t="s">
        <v>34</v>
      </c>
      <c r="M1197" t="s">
        <v>26</v>
      </c>
      <c r="N1197" t="s">
        <v>27</v>
      </c>
      <c r="O1197" t="s">
        <v>35</v>
      </c>
      <c r="P1197" t="s">
        <v>26</v>
      </c>
      <c r="Q1197">
        <v>0</v>
      </c>
    </row>
    <row r="1198" spans="1:17" x14ac:dyDescent="0.25">
      <c r="A1198" t="s">
        <v>17</v>
      </c>
      <c r="B1198" t="s">
        <v>36</v>
      </c>
      <c r="C1198">
        <v>180000</v>
      </c>
      <c r="D1198" t="s">
        <v>19</v>
      </c>
      <c r="E1198" t="s">
        <v>31</v>
      </c>
      <c r="F1198" t="s">
        <v>21</v>
      </c>
      <c r="G1198" t="s">
        <v>22</v>
      </c>
      <c r="H1198" t="s">
        <v>23</v>
      </c>
      <c r="I1198" t="s">
        <v>24</v>
      </c>
      <c r="J1198">
        <v>57285</v>
      </c>
      <c r="K1198">
        <v>0</v>
      </c>
      <c r="L1198" t="s">
        <v>51</v>
      </c>
      <c r="M1198" t="s">
        <v>26</v>
      </c>
      <c r="N1198" t="s">
        <v>27</v>
      </c>
      <c r="O1198" t="s">
        <v>35</v>
      </c>
      <c r="P1198" t="s">
        <v>26</v>
      </c>
      <c r="Q1198">
        <v>0</v>
      </c>
    </row>
    <row r="1199" spans="1:17" x14ac:dyDescent="0.25">
      <c r="A1199" t="s">
        <v>29</v>
      </c>
      <c r="B1199" t="s">
        <v>36</v>
      </c>
      <c r="C1199">
        <v>112500</v>
      </c>
      <c r="D1199" t="s">
        <v>19</v>
      </c>
      <c r="E1199" t="s">
        <v>20</v>
      </c>
      <c r="F1199" t="s">
        <v>21</v>
      </c>
      <c r="G1199" t="s">
        <v>22</v>
      </c>
      <c r="H1199" t="s">
        <v>49</v>
      </c>
      <c r="I1199" t="s">
        <v>24</v>
      </c>
      <c r="J1199">
        <v>15525</v>
      </c>
      <c r="K1199">
        <v>2025</v>
      </c>
      <c r="L1199" t="s">
        <v>51</v>
      </c>
      <c r="M1199" t="s">
        <v>26</v>
      </c>
      <c r="N1199" t="s">
        <v>58</v>
      </c>
      <c r="O1199" t="s">
        <v>35</v>
      </c>
      <c r="P1199" t="s">
        <v>64</v>
      </c>
      <c r="Q1199">
        <v>1</v>
      </c>
    </row>
    <row r="1200" spans="1:17" x14ac:dyDescent="0.25">
      <c r="A1200" t="s">
        <v>17</v>
      </c>
      <c r="B1200" t="s">
        <v>18</v>
      </c>
      <c r="C1200">
        <v>157500</v>
      </c>
      <c r="D1200" t="s">
        <v>19</v>
      </c>
      <c r="E1200" t="s">
        <v>20</v>
      </c>
      <c r="F1200" t="s">
        <v>32</v>
      </c>
      <c r="G1200" t="s">
        <v>22</v>
      </c>
      <c r="H1200" t="s">
        <v>68</v>
      </c>
      <c r="I1200" t="s">
        <v>24</v>
      </c>
      <c r="J1200">
        <v>113355</v>
      </c>
      <c r="K1200">
        <v>22671</v>
      </c>
      <c r="L1200" t="s">
        <v>43</v>
      </c>
      <c r="M1200" t="s">
        <v>26</v>
      </c>
      <c r="N1200" t="s">
        <v>27</v>
      </c>
      <c r="O1200" t="s">
        <v>35</v>
      </c>
      <c r="P1200" t="s">
        <v>26</v>
      </c>
      <c r="Q1200">
        <v>0</v>
      </c>
    </row>
    <row r="1201" spans="1:17" x14ac:dyDescent="0.25">
      <c r="A1201" t="s">
        <v>17</v>
      </c>
      <c r="B1201" t="s">
        <v>18</v>
      </c>
      <c r="C1201">
        <v>157500</v>
      </c>
      <c r="D1201" t="s">
        <v>19</v>
      </c>
      <c r="E1201" t="s">
        <v>20</v>
      </c>
      <c r="F1201" t="s">
        <v>32</v>
      </c>
      <c r="G1201" t="s">
        <v>22</v>
      </c>
      <c r="H1201" t="s">
        <v>68</v>
      </c>
      <c r="I1201" t="s">
        <v>24</v>
      </c>
      <c r="J1201">
        <v>42750</v>
      </c>
      <c r="K1201">
        <v>4275</v>
      </c>
      <c r="L1201" t="s">
        <v>45</v>
      </c>
      <c r="M1201" t="s">
        <v>26</v>
      </c>
      <c r="N1201" t="s">
        <v>27</v>
      </c>
      <c r="O1201" t="s">
        <v>35</v>
      </c>
      <c r="P1201" t="s">
        <v>26</v>
      </c>
      <c r="Q1201">
        <v>0</v>
      </c>
    </row>
    <row r="1202" spans="1:17" x14ac:dyDescent="0.25">
      <c r="A1202" t="s">
        <v>17</v>
      </c>
      <c r="B1202" t="s">
        <v>18</v>
      </c>
      <c r="C1202">
        <v>117000</v>
      </c>
      <c r="D1202" t="s">
        <v>19</v>
      </c>
      <c r="E1202" t="s">
        <v>20</v>
      </c>
      <c r="F1202" t="s">
        <v>39</v>
      </c>
      <c r="G1202" t="s">
        <v>22</v>
      </c>
      <c r="H1202" t="s">
        <v>23</v>
      </c>
      <c r="I1202" t="s">
        <v>24</v>
      </c>
      <c r="J1202">
        <v>35482.5</v>
      </c>
      <c r="K1202">
        <v>18000</v>
      </c>
      <c r="L1202" t="s">
        <v>45</v>
      </c>
      <c r="M1202" t="s">
        <v>26</v>
      </c>
      <c r="N1202" t="s">
        <v>27</v>
      </c>
      <c r="O1202" t="s">
        <v>28</v>
      </c>
      <c r="P1202" t="s">
        <v>26</v>
      </c>
      <c r="Q1202">
        <v>0</v>
      </c>
    </row>
    <row r="1203" spans="1:17" x14ac:dyDescent="0.25">
      <c r="A1203" t="s">
        <v>17</v>
      </c>
      <c r="B1203" t="s">
        <v>18</v>
      </c>
      <c r="C1203">
        <v>117000</v>
      </c>
      <c r="D1203" t="s">
        <v>19</v>
      </c>
      <c r="E1203" t="s">
        <v>20</v>
      </c>
      <c r="F1203" t="s">
        <v>39</v>
      </c>
      <c r="G1203" t="s">
        <v>22</v>
      </c>
      <c r="H1203" t="s">
        <v>23</v>
      </c>
      <c r="I1203" t="s">
        <v>24</v>
      </c>
      <c r="J1203">
        <v>83650.5</v>
      </c>
      <c r="K1203">
        <v>9000</v>
      </c>
      <c r="L1203" t="s">
        <v>42</v>
      </c>
      <c r="M1203" t="s">
        <v>26</v>
      </c>
      <c r="N1203" t="s">
        <v>27</v>
      </c>
      <c r="O1203" t="s">
        <v>35</v>
      </c>
      <c r="P1203" t="s">
        <v>26</v>
      </c>
      <c r="Q1203">
        <v>0</v>
      </c>
    </row>
    <row r="1204" spans="1:17" x14ac:dyDescent="0.25">
      <c r="A1204" t="s">
        <v>17</v>
      </c>
      <c r="B1204" t="s">
        <v>18</v>
      </c>
      <c r="C1204">
        <v>117000</v>
      </c>
      <c r="D1204" t="s">
        <v>19</v>
      </c>
      <c r="E1204" t="s">
        <v>20</v>
      </c>
      <c r="F1204" t="s">
        <v>39</v>
      </c>
      <c r="G1204" t="s">
        <v>22</v>
      </c>
      <c r="H1204" t="s">
        <v>23</v>
      </c>
      <c r="I1204" t="s">
        <v>24</v>
      </c>
      <c r="J1204">
        <v>30555</v>
      </c>
      <c r="K1204">
        <v>15750</v>
      </c>
      <c r="L1204" t="s">
        <v>34</v>
      </c>
      <c r="M1204" t="s">
        <v>26</v>
      </c>
      <c r="N1204" t="s">
        <v>27</v>
      </c>
      <c r="O1204" t="s">
        <v>35</v>
      </c>
      <c r="P1204" t="s">
        <v>26</v>
      </c>
      <c r="Q1204">
        <v>0</v>
      </c>
    </row>
    <row r="1205" spans="1:17" x14ac:dyDescent="0.25">
      <c r="A1205" t="s">
        <v>17</v>
      </c>
      <c r="B1205" t="s">
        <v>18</v>
      </c>
      <c r="C1205">
        <v>135000</v>
      </c>
      <c r="D1205" t="s">
        <v>19</v>
      </c>
      <c r="E1205" t="s">
        <v>20</v>
      </c>
      <c r="F1205" t="s">
        <v>32</v>
      </c>
      <c r="G1205" t="s">
        <v>22</v>
      </c>
      <c r="H1205" t="s">
        <v>23</v>
      </c>
      <c r="I1205" t="s">
        <v>24</v>
      </c>
      <c r="J1205">
        <v>45405</v>
      </c>
      <c r="K1205">
        <v>0</v>
      </c>
      <c r="L1205" t="s">
        <v>45</v>
      </c>
      <c r="M1205" t="s">
        <v>26</v>
      </c>
      <c r="N1205" t="s">
        <v>27</v>
      </c>
      <c r="O1205" t="s">
        <v>35</v>
      </c>
      <c r="P1205" t="s">
        <v>26</v>
      </c>
      <c r="Q1205">
        <v>0</v>
      </c>
    </row>
    <row r="1206" spans="1:17" x14ac:dyDescent="0.25">
      <c r="A1206" t="s">
        <v>17</v>
      </c>
      <c r="B1206" t="s">
        <v>18</v>
      </c>
      <c r="C1206">
        <v>135000</v>
      </c>
      <c r="D1206" t="s">
        <v>19</v>
      </c>
      <c r="E1206" t="s">
        <v>20</v>
      </c>
      <c r="F1206" t="s">
        <v>32</v>
      </c>
      <c r="G1206" t="s">
        <v>22</v>
      </c>
      <c r="H1206" t="s">
        <v>23</v>
      </c>
      <c r="I1206" t="s">
        <v>24</v>
      </c>
      <c r="J1206">
        <v>86400</v>
      </c>
      <c r="K1206">
        <v>0</v>
      </c>
      <c r="L1206" t="s">
        <v>25</v>
      </c>
      <c r="M1206" t="s">
        <v>26</v>
      </c>
      <c r="N1206" t="s">
        <v>27</v>
      </c>
      <c r="O1206" t="s">
        <v>35</v>
      </c>
      <c r="P1206" t="s">
        <v>26</v>
      </c>
      <c r="Q1206">
        <v>0</v>
      </c>
    </row>
    <row r="1207" spans="1:17" x14ac:dyDescent="0.25">
      <c r="A1207" t="s">
        <v>17</v>
      </c>
      <c r="B1207" t="s">
        <v>18</v>
      </c>
      <c r="C1207">
        <v>135000</v>
      </c>
      <c r="D1207" t="s">
        <v>19</v>
      </c>
      <c r="E1207" t="s">
        <v>20</v>
      </c>
      <c r="F1207" t="s">
        <v>32</v>
      </c>
      <c r="G1207" t="s">
        <v>22</v>
      </c>
      <c r="H1207" t="s">
        <v>23</v>
      </c>
      <c r="I1207" t="s">
        <v>24</v>
      </c>
      <c r="J1207">
        <v>43605</v>
      </c>
      <c r="K1207">
        <v>0</v>
      </c>
      <c r="L1207" t="s">
        <v>25</v>
      </c>
      <c r="M1207" t="s">
        <v>26</v>
      </c>
      <c r="N1207" t="s">
        <v>27</v>
      </c>
      <c r="O1207" t="s">
        <v>35</v>
      </c>
      <c r="P1207" t="s">
        <v>26</v>
      </c>
      <c r="Q1207">
        <v>0</v>
      </c>
    </row>
    <row r="1208" spans="1:17" x14ac:dyDescent="0.25">
      <c r="A1208" t="s">
        <v>29</v>
      </c>
      <c r="B1208" t="s">
        <v>18</v>
      </c>
      <c r="C1208">
        <v>112500</v>
      </c>
      <c r="D1208" t="s">
        <v>19</v>
      </c>
      <c r="E1208" t="s">
        <v>20</v>
      </c>
      <c r="F1208" t="s">
        <v>21</v>
      </c>
      <c r="G1208" t="s">
        <v>73</v>
      </c>
      <c r="H1208" t="s">
        <v>23</v>
      </c>
      <c r="I1208" t="s">
        <v>24</v>
      </c>
      <c r="J1208">
        <v>53977.5</v>
      </c>
      <c r="K1208">
        <v>5400</v>
      </c>
      <c r="L1208" t="s">
        <v>34</v>
      </c>
      <c r="M1208" t="s">
        <v>26</v>
      </c>
      <c r="N1208" t="s">
        <v>27</v>
      </c>
      <c r="O1208" t="s">
        <v>35</v>
      </c>
      <c r="P1208" t="s">
        <v>26</v>
      </c>
      <c r="Q1208">
        <v>0</v>
      </c>
    </row>
    <row r="1209" spans="1:17" x14ac:dyDescent="0.25">
      <c r="A1209" t="s">
        <v>29</v>
      </c>
      <c r="B1209" t="s">
        <v>18</v>
      </c>
      <c r="C1209">
        <v>112500</v>
      </c>
      <c r="D1209" t="s">
        <v>19</v>
      </c>
      <c r="E1209" t="s">
        <v>20</v>
      </c>
      <c r="F1209" t="s">
        <v>21</v>
      </c>
      <c r="G1209" t="s">
        <v>73</v>
      </c>
      <c r="H1209" t="s">
        <v>23</v>
      </c>
      <c r="I1209" t="s">
        <v>24</v>
      </c>
      <c r="J1209">
        <v>161838</v>
      </c>
      <c r="K1209">
        <v>0</v>
      </c>
      <c r="L1209" t="s">
        <v>34</v>
      </c>
      <c r="M1209" t="s">
        <v>26</v>
      </c>
      <c r="N1209" t="s">
        <v>58</v>
      </c>
      <c r="O1209" t="s">
        <v>35</v>
      </c>
      <c r="P1209" t="s">
        <v>60</v>
      </c>
      <c r="Q1209">
        <v>1</v>
      </c>
    </row>
    <row r="1210" spans="1:17" x14ac:dyDescent="0.25">
      <c r="A1210" t="s">
        <v>29</v>
      </c>
      <c r="B1210" t="s">
        <v>36</v>
      </c>
      <c r="C1210">
        <v>157500</v>
      </c>
      <c r="D1210" t="s">
        <v>19</v>
      </c>
      <c r="E1210" t="s">
        <v>31</v>
      </c>
      <c r="F1210" t="s">
        <v>21</v>
      </c>
      <c r="G1210" t="s">
        <v>22</v>
      </c>
      <c r="H1210" t="s">
        <v>23</v>
      </c>
      <c r="I1210" t="s">
        <v>24</v>
      </c>
      <c r="J1210">
        <v>45000</v>
      </c>
      <c r="K1210">
        <v>0</v>
      </c>
      <c r="L1210" t="s">
        <v>42</v>
      </c>
      <c r="M1210" t="s">
        <v>26</v>
      </c>
      <c r="N1210" t="s">
        <v>76</v>
      </c>
      <c r="O1210" t="s">
        <v>35</v>
      </c>
      <c r="P1210" t="s">
        <v>77</v>
      </c>
      <c r="Q1210">
        <v>0</v>
      </c>
    </row>
    <row r="1211" spans="1:17" x14ac:dyDescent="0.25">
      <c r="A1211" t="s">
        <v>17</v>
      </c>
      <c r="B1211" t="s">
        <v>18</v>
      </c>
      <c r="C1211">
        <v>157500</v>
      </c>
      <c r="D1211" t="s">
        <v>44</v>
      </c>
      <c r="E1211" t="s">
        <v>20</v>
      </c>
      <c r="F1211" t="s">
        <v>32</v>
      </c>
      <c r="G1211" t="s">
        <v>22</v>
      </c>
      <c r="H1211" t="s">
        <v>49</v>
      </c>
      <c r="I1211" t="s">
        <v>24</v>
      </c>
      <c r="J1211">
        <v>360000</v>
      </c>
      <c r="K1211">
        <v>0</v>
      </c>
      <c r="L1211" t="s">
        <v>42</v>
      </c>
      <c r="M1211" t="s">
        <v>26</v>
      </c>
      <c r="N1211" t="s">
        <v>58</v>
      </c>
      <c r="O1211" t="s">
        <v>35</v>
      </c>
      <c r="P1211" t="s">
        <v>60</v>
      </c>
      <c r="Q1211">
        <v>1</v>
      </c>
    </row>
    <row r="1212" spans="1:17" x14ac:dyDescent="0.25">
      <c r="A1212" t="s">
        <v>29</v>
      </c>
      <c r="B1212" t="s">
        <v>18</v>
      </c>
      <c r="C1212">
        <v>157500</v>
      </c>
      <c r="D1212" t="s">
        <v>44</v>
      </c>
      <c r="E1212" t="s">
        <v>20</v>
      </c>
      <c r="F1212" t="s">
        <v>32</v>
      </c>
      <c r="G1212" t="s">
        <v>73</v>
      </c>
      <c r="H1212" t="s">
        <v>49</v>
      </c>
      <c r="I1212" t="s">
        <v>24</v>
      </c>
      <c r="J1212">
        <v>115150.5</v>
      </c>
      <c r="K1212">
        <v>11515.5</v>
      </c>
      <c r="L1212" t="s">
        <v>34</v>
      </c>
      <c r="M1212" t="s">
        <v>26</v>
      </c>
      <c r="N1212" t="s">
        <v>27</v>
      </c>
      <c r="O1212" t="s">
        <v>35</v>
      </c>
      <c r="P1212" t="s">
        <v>26</v>
      </c>
      <c r="Q1212">
        <v>0</v>
      </c>
    </row>
    <row r="1213" spans="1:17" x14ac:dyDescent="0.25">
      <c r="A1213" t="s">
        <v>29</v>
      </c>
      <c r="B1213" t="s">
        <v>18</v>
      </c>
      <c r="C1213">
        <v>157500</v>
      </c>
      <c r="D1213" t="s">
        <v>44</v>
      </c>
      <c r="E1213" t="s">
        <v>20</v>
      </c>
      <c r="F1213" t="s">
        <v>32</v>
      </c>
      <c r="G1213" t="s">
        <v>73</v>
      </c>
      <c r="H1213" t="s">
        <v>49</v>
      </c>
      <c r="I1213" t="s">
        <v>24</v>
      </c>
      <c r="J1213">
        <v>83205</v>
      </c>
      <c r="K1213">
        <v>16641</v>
      </c>
      <c r="L1213" t="s">
        <v>25</v>
      </c>
      <c r="M1213" t="s">
        <v>26</v>
      </c>
      <c r="N1213" t="s">
        <v>27</v>
      </c>
      <c r="O1213" t="s">
        <v>35</v>
      </c>
      <c r="P1213" t="s">
        <v>26</v>
      </c>
      <c r="Q1213">
        <v>0</v>
      </c>
    </row>
    <row r="1214" spans="1:17" x14ac:dyDescent="0.25">
      <c r="A1214" t="s">
        <v>29</v>
      </c>
      <c r="B1214" t="s">
        <v>18</v>
      </c>
      <c r="C1214">
        <v>157500</v>
      </c>
      <c r="D1214" t="s">
        <v>44</v>
      </c>
      <c r="E1214" t="s">
        <v>20</v>
      </c>
      <c r="F1214" t="s">
        <v>32</v>
      </c>
      <c r="G1214" t="s">
        <v>73</v>
      </c>
      <c r="H1214" t="s">
        <v>49</v>
      </c>
      <c r="I1214" t="s">
        <v>24</v>
      </c>
      <c r="J1214">
        <v>59206.5</v>
      </c>
      <c r="K1214">
        <v>0</v>
      </c>
      <c r="L1214" t="s">
        <v>25</v>
      </c>
      <c r="M1214" t="s">
        <v>26</v>
      </c>
      <c r="N1214" t="s">
        <v>27</v>
      </c>
      <c r="O1214" t="s">
        <v>35</v>
      </c>
      <c r="P1214" t="s">
        <v>26</v>
      </c>
      <c r="Q1214">
        <v>0</v>
      </c>
    </row>
    <row r="1215" spans="1:17" x14ac:dyDescent="0.25">
      <c r="A1215" t="s">
        <v>29</v>
      </c>
      <c r="B1215" t="s">
        <v>36</v>
      </c>
      <c r="C1215">
        <v>112500</v>
      </c>
      <c r="D1215" t="s">
        <v>44</v>
      </c>
      <c r="E1215" t="s">
        <v>20</v>
      </c>
      <c r="F1215" t="s">
        <v>32</v>
      </c>
      <c r="G1215" t="s">
        <v>22</v>
      </c>
      <c r="H1215" t="s">
        <v>78</v>
      </c>
      <c r="I1215" t="s">
        <v>24</v>
      </c>
      <c r="J1215">
        <v>22959</v>
      </c>
      <c r="K1215">
        <v>4594.5</v>
      </c>
      <c r="L1215" t="s">
        <v>42</v>
      </c>
      <c r="M1215" t="s">
        <v>26</v>
      </c>
      <c r="N1215" t="s">
        <v>27</v>
      </c>
      <c r="O1215" t="s">
        <v>35</v>
      </c>
      <c r="P1215" t="s">
        <v>26</v>
      </c>
      <c r="Q1215">
        <v>0</v>
      </c>
    </row>
    <row r="1216" spans="1:17" x14ac:dyDescent="0.25">
      <c r="A1216" t="s">
        <v>29</v>
      </c>
      <c r="B1216" t="s">
        <v>36</v>
      </c>
      <c r="C1216">
        <v>112500</v>
      </c>
      <c r="D1216" t="s">
        <v>44</v>
      </c>
      <c r="E1216" t="s">
        <v>20</v>
      </c>
      <c r="F1216" t="s">
        <v>32</v>
      </c>
      <c r="G1216" t="s">
        <v>22</v>
      </c>
      <c r="H1216" t="s">
        <v>78</v>
      </c>
      <c r="I1216" t="s">
        <v>24</v>
      </c>
      <c r="J1216">
        <v>95710.5</v>
      </c>
      <c r="K1216">
        <v>0</v>
      </c>
      <c r="L1216" t="s">
        <v>42</v>
      </c>
      <c r="M1216" t="s">
        <v>26</v>
      </c>
      <c r="N1216" t="s">
        <v>58</v>
      </c>
      <c r="O1216" t="s">
        <v>35</v>
      </c>
      <c r="P1216" t="s">
        <v>60</v>
      </c>
      <c r="Q1216">
        <v>1</v>
      </c>
    </row>
    <row r="1217" spans="1:17" x14ac:dyDescent="0.25">
      <c r="A1217" t="s">
        <v>29</v>
      </c>
      <c r="B1217" t="s">
        <v>18</v>
      </c>
      <c r="C1217">
        <v>180000</v>
      </c>
      <c r="D1217" t="s">
        <v>46</v>
      </c>
      <c r="E1217" t="s">
        <v>20</v>
      </c>
      <c r="F1217" t="s">
        <v>21</v>
      </c>
      <c r="G1217" t="s">
        <v>22</v>
      </c>
      <c r="H1217" t="s">
        <v>28</v>
      </c>
      <c r="I1217" t="s">
        <v>66</v>
      </c>
      <c r="J1217">
        <v>90000</v>
      </c>
      <c r="K1217">
        <v>0</v>
      </c>
      <c r="L1217" t="s">
        <v>34</v>
      </c>
      <c r="M1217" t="s">
        <v>28</v>
      </c>
      <c r="N1217" t="s">
        <v>58</v>
      </c>
      <c r="O1217" t="s">
        <v>35</v>
      </c>
      <c r="P1217" t="s">
        <v>64</v>
      </c>
      <c r="Q1217">
        <v>1</v>
      </c>
    </row>
    <row r="1218" spans="1:17" x14ac:dyDescent="0.25">
      <c r="A1218" t="s">
        <v>29</v>
      </c>
      <c r="B1218" t="s">
        <v>18</v>
      </c>
      <c r="C1218">
        <v>180000</v>
      </c>
      <c r="D1218" t="s">
        <v>46</v>
      </c>
      <c r="E1218" t="s">
        <v>20</v>
      </c>
      <c r="F1218" t="s">
        <v>21</v>
      </c>
      <c r="G1218" t="s">
        <v>22</v>
      </c>
      <c r="H1218" t="s">
        <v>28</v>
      </c>
      <c r="I1218" t="s">
        <v>66</v>
      </c>
      <c r="J1218">
        <v>67500</v>
      </c>
      <c r="K1218">
        <v>0</v>
      </c>
      <c r="L1218" t="s">
        <v>34</v>
      </c>
      <c r="M1218" t="s">
        <v>28</v>
      </c>
      <c r="N1218" t="s">
        <v>58</v>
      </c>
      <c r="O1218" t="s">
        <v>35</v>
      </c>
      <c r="P1218" t="s">
        <v>64</v>
      </c>
      <c r="Q1218">
        <v>1</v>
      </c>
    </row>
    <row r="1219" spans="1:17" x14ac:dyDescent="0.25">
      <c r="A1219" t="s">
        <v>29</v>
      </c>
      <c r="B1219" t="s">
        <v>18</v>
      </c>
      <c r="C1219">
        <v>90000</v>
      </c>
      <c r="D1219" t="s">
        <v>44</v>
      </c>
      <c r="E1219" t="s">
        <v>70</v>
      </c>
      <c r="F1219" t="s">
        <v>21</v>
      </c>
      <c r="G1219" t="s">
        <v>22</v>
      </c>
      <c r="H1219" t="s">
        <v>49</v>
      </c>
      <c r="I1219" t="s">
        <v>24</v>
      </c>
      <c r="J1219">
        <v>21168</v>
      </c>
      <c r="K1219">
        <v>0</v>
      </c>
      <c r="L1219" t="s">
        <v>34</v>
      </c>
      <c r="M1219" t="s">
        <v>26</v>
      </c>
      <c r="N1219" t="s">
        <v>27</v>
      </c>
      <c r="O1219" t="s">
        <v>28</v>
      </c>
      <c r="P1219" t="s">
        <v>26</v>
      </c>
      <c r="Q1219">
        <v>0</v>
      </c>
    </row>
    <row r="1220" spans="1:17" x14ac:dyDescent="0.25">
      <c r="A1220" t="s">
        <v>29</v>
      </c>
      <c r="B1220" t="s">
        <v>18</v>
      </c>
      <c r="C1220">
        <v>67500</v>
      </c>
      <c r="D1220" t="s">
        <v>19</v>
      </c>
      <c r="E1220" t="s">
        <v>20</v>
      </c>
      <c r="F1220" t="s">
        <v>32</v>
      </c>
      <c r="G1220" t="s">
        <v>22</v>
      </c>
      <c r="H1220" t="s">
        <v>106</v>
      </c>
      <c r="I1220" t="s">
        <v>24</v>
      </c>
      <c r="J1220">
        <v>22140</v>
      </c>
      <c r="K1220">
        <v>2475</v>
      </c>
      <c r="L1220" t="s">
        <v>38</v>
      </c>
      <c r="M1220" t="s">
        <v>26</v>
      </c>
      <c r="N1220" t="s">
        <v>27</v>
      </c>
      <c r="O1220" t="s">
        <v>35</v>
      </c>
      <c r="P1220" t="s">
        <v>26</v>
      </c>
      <c r="Q1220">
        <v>0</v>
      </c>
    </row>
    <row r="1221" spans="1:17" x14ac:dyDescent="0.25">
      <c r="A1221" t="s">
        <v>29</v>
      </c>
      <c r="B1221" t="s">
        <v>18</v>
      </c>
      <c r="C1221">
        <v>112500</v>
      </c>
      <c r="D1221" t="s">
        <v>19</v>
      </c>
      <c r="E1221" t="s">
        <v>20</v>
      </c>
      <c r="F1221" t="s">
        <v>32</v>
      </c>
      <c r="G1221" t="s">
        <v>22</v>
      </c>
      <c r="H1221" t="s">
        <v>49</v>
      </c>
      <c r="I1221" t="s">
        <v>24</v>
      </c>
      <c r="J1221">
        <v>65866.5</v>
      </c>
      <c r="K1221">
        <v>6588</v>
      </c>
      <c r="L1221" t="s">
        <v>38</v>
      </c>
      <c r="M1221" t="s">
        <v>26</v>
      </c>
      <c r="N1221" t="s">
        <v>27</v>
      </c>
      <c r="O1221" t="s">
        <v>35</v>
      </c>
      <c r="P1221" t="s">
        <v>26</v>
      </c>
      <c r="Q1221">
        <v>0</v>
      </c>
    </row>
    <row r="1222" spans="1:17" x14ac:dyDescent="0.25">
      <c r="A1222" t="s">
        <v>29</v>
      </c>
      <c r="B1222" t="s">
        <v>18</v>
      </c>
      <c r="C1222">
        <v>112500</v>
      </c>
      <c r="D1222" t="s">
        <v>44</v>
      </c>
      <c r="E1222" t="s">
        <v>20</v>
      </c>
      <c r="F1222" t="s">
        <v>32</v>
      </c>
      <c r="G1222" t="s">
        <v>22</v>
      </c>
      <c r="H1222" t="s">
        <v>23</v>
      </c>
      <c r="I1222" t="s">
        <v>24</v>
      </c>
      <c r="J1222">
        <v>50350.5</v>
      </c>
      <c r="K1222">
        <v>10350</v>
      </c>
      <c r="L1222" t="s">
        <v>34</v>
      </c>
      <c r="M1222" t="s">
        <v>26</v>
      </c>
      <c r="N1222" t="s">
        <v>27</v>
      </c>
      <c r="O1222" t="s">
        <v>35</v>
      </c>
      <c r="P1222" t="s">
        <v>26</v>
      </c>
      <c r="Q1222">
        <v>0</v>
      </c>
    </row>
    <row r="1223" spans="1:17" x14ac:dyDescent="0.25">
      <c r="A1223" t="s">
        <v>29</v>
      </c>
      <c r="B1223" t="s">
        <v>18</v>
      </c>
      <c r="C1223">
        <v>112500</v>
      </c>
      <c r="D1223" t="s">
        <v>44</v>
      </c>
      <c r="E1223" t="s">
        <v>20</v>
      </c>
      <c r="F1223" t="s">
        <v>32</v>
      </c>
      <c r="G1223" t="s">
        <v>22</v>
      </c>
      <c r="H1223" t="s">
        <v>23</v>
      </c>
      <c r="I1223" t="s">
        <v>24</v>
      </c>
      <c r="J1223">
        <v>122985</v>
      </c>
      <c r="K1223">
        <v>0</v>
      </c>
      <c r="L1223" t="s">
        <v>34</v>
      </c>
      <c r="M1223" t="s">
        <v>26</v>
      </c>
      <c r="N1223" t="s">
        <v>27</v>
      </c>
      <c r="O1223" t="s">
        <v>35</v>
      </c>
      <c r="P1223" t="s">
        <v>26</v>
      </c>
      <c r="Q1223">
        <v>0</v>
      </c>
    </row>
    <row r="1224" spans="1:17" x14ac:dyDescent="0.25">
      <c r="A1224" t="s">
        <v>17</v>
      </c>
      <c r="B1224" t="s">
        <v>36</v>
      </c>
      <c r="C1224">
        <v>202500</v>
      </c>
      <c r="D1224" t="s">
        <v>19</v>
      </c>
      <c r="E1224" t="s">
        <v>31</v>
      </c>
      <c r="F1224" t="s">
        <v>32</v>
      </c>
      <c r="G1224" t="s">
        <v>22</v>
      </c>
      <c r="H1224" t="s">
        <v>49</v>
      </c>
      <c r="I1224" t="s">
        <v>24</v>
      </c>
      <c r="J1224">
        <v>38358</v>
      </c>
      <c r="K1224">
        <v>0</v>
      </c>
      <c r="L1224" t="s">
        <v>34</v>
      </c>
      <c r="M1224" t="s">
        <v>26</v>
      </c>
      <c r="N1224" t="s">
        <v>27</v>
      </c>
      <c r="O1224" t="s">
        <v>35</v>
      </c>
      <c r="P1224" t="s">
        <v>26</v>
      </c>
      <c r="Q1224">
        <v>0</v>
      </c>
    </row>
    <row r="1225" spans="1:17" x14ac:dyDescent="0.25">
      <c r="A1225" t="s">
        <v>29</v>
      </c>
      <c r="B1225" t="s">
        <v>36</v>
      </c>
      <c r="C1225">
        <v>225000</v>
      </c>
      <c r="D1225" t="s">
        <v>19</v>
      </c>
      <c r="E1225" t="s">
        <v>20</v>
      </c>
      <c r="F1225" t="s">
        <v>32</v>
      </c>
      <c r="G1225" t="s">
        <v>22</v>
      </c>
      <c r="H1225" t="s">
        <v>48</v>
      </c>
      <c r="I1225" t="s">
        <v>24</v>
      </c>
      <c r="J1225">
        <v>138442.5</v>
      </c>
      <c r="K1225">
        <v>13846.5</v>
      </c>
      <c r="L1225" t="s">
        <v>51</v>
      </c>
      <c r="M1225" t="s">
        <v>26</v>
      </c>
      <c r="N1225" t="s">
        <v>27</v>
      </c>
      <c r="O1225" t="s">
        <v>35</v>
      </c>
      <c r="P1225" t="s">
        <v>26</v>
      </c>
      <c r="Q1225">
        <v>0</v>
      </c>
    </row>
    <row r="1226" spans="1:17" x14ac:dyDescent="0.25">
      <c r="A1226" t="s">
        <v>29</v>
      </c>
      <c r="B1226" t="s">
        <v>36</v>
      </c>
      <c r="C1226">
        <v>225000</v>
      </c>
      <c r="D1226" t="s">
        <v>19</v>
      </c>
      <c r="E1226" t="s">
        <v>20</v>
      </c>
      <c r="F1226" t="s">
        <v>32</v>
      </c>
      <c r="G1226" t="s">
        <v>22</v>
      </c>
      <c r="H1226" t="s">
        <v>48</v>
      </c>
      <c r="I1226" t="s">
        <v>24</v>
      </c>
      <c r="J1226">
        <v>126270</v>
      </c>
      <c r="K1226">
        <v>12627</v>
      </c>
      <c r="L1226" t="s">
        <v>34</v>
      </c>
      <c r="M1226" t="s">
        <v>26</v>
      </c>
      <c r="N1226" t="s">
        <v>27</v>
      </c>
      <c r="O1226" t="s">
        <v>88</v>
      </c>
      <c r="P1226" t="s">
        <v>26</v>
      </c>
      <c r="Q1226">
        <v>0</v>
      </c>
    </row>
    <row r="1227" spans="1:17" x14ac:dyDescent="0.25">
      <c r="A1227" t="s">
        <v>29</v>
      </c>
      <c r="B1227" t="s">
        <v>36</v>
      </c>
      <c r="C1227">
        <v>225000</v>
      </c>
      <c r="D1227" t="s">
        <v>19</v>
      </c>
      <c r="E1227" t="s">
        <v>20</v>
      </c>
      <c r="F1227" t="s">
        <v>32</v>
      </c>
      <c r="G1227" t="s">
        <v>22</v>
      </c>
      <c r="H1227" t="s">
        <v>48</v>
      </c>
      <c r="I1227" t="s">
        <v>24</v>
      </c>
      <c r="J1227">
        <v>106186.5</v>
      </c>
      <c r="K1227">
        <v>10620</v>
      </c>
      <c r="L1227" t="s">
        <v>38</v>
      </c>
      <c r="M1227" t="s">
        <v>26</v>
      </c>
      <c r="N1227" t="s">
        <v>27</v>
      </c>
      <c r="O1227" t="s">
        <v>35</v>
      </c>
      <c r="P1227" t="s">
        <v>26</v>
      </c>
      <c r="Q1227">
        <v>0</v>
      </c>
    </row>
    <row r="1228" spans="1:17" x14ac:dyDescent="0.25">
      <c r="A1228" t="s">
        <v>29</v>
      </c>
      <c r="B1228" t="s">
        <v>36</v>
      </c>
      <c r="C1228">
        <v>225000</v>
      </c>
      <c r="D1228" t="s">
        <v>19</v>
      </c>
      <c r="E1228" t="s">
        <v>20</v>
      </c>
      <c r="F1228" t="s">
        <v>32</v>
      </c>
      <c r="G1228" t="s">
        <v>22</v>
      </c>
      <c r="H1228" t="s">
        <v>48</v>
      </c>
      <c r="I1228" t="s">
        <v>24</v>
      </c>
      <c r="J1228">
        <v>106186.5</v>
      </c>
      <c r="K1228">
        <v>10620</v>
      </c>
      <c r="L1228" t="s">
        <v>38</v>
      </c>
      <c r="M1228" t="s">
        <v>26</v>
      </c>
      <c r="N1228" t="s">
        <v>58</v>
      </c>
      <c r="O1228" t="s">
        <v>35</v>
      </c>
      <c r="P1228" t="s">
        <v>59</v>
      </c>
      <c r="Q1228">
        <v>1</v>
      </c>
    </row>
    <row r="1229" spans="1:17" x14ac:dyDescent="0.25">
      <c r="A1229" t="s">
        <v>17</v>
      </c>
      <c r="B1229" t="s">
        <v>36</v>
      </c>
      <c r="C1229">
        <v>315000</v>
      </c>
      <c r="D1229" t="s">
        <v>19</v>
      </c>
      <c r="E1229" t="s">
        <v>20</v>
      </c>
      <c r="F1229" t="s">
        <v>39</v>
      </c>
      <c r="G1229" t="s">
        <v>22</v>
      </c>
      <c r="H1229" t="s">
        <v>49</v>
      </c>
      <c r="I1229" t="s">
        <v>24</v>
      </c>
      <c r="J1229">
        <v>191250</v>
      </c>
      <c r="K1229">
        <v>112500</v>
      </c>
      <c r="L1229" t="s">
        <v>43</v>
      </c>
      <c r="M1229" t="s">
        <v>26</v>
      </c>
      <c r="N1229" t="s">
        <v>27</v>
      </c>
      <c r="O1229" t="s">
        <v>35</v>
      </c>
      <c r="P1229" t="s">
        <v>26</v>
      </c>
      <c r="Q1229">
        <v>0</v>
      </c>
    </row>
    <row r="1230" spans="1:17" x14ac:dyDescent="0.25">
      <c r="A1230" t="s">
        <v>29</v>
      </c>
      <c r="B1230" t="s">
        <v>36</v>
      </c>
      <c r="C1230">
        <v>135000</v>
      </c>
      <c r="D1230" t="s">
        <v>46</v>
      </c>
      <c r="E1230" t="s">
        <v>20</v>
      </c>
      <c r="F1230" t="s">
        <v>32</v>
      </c>
      <c r="G1230" t="s">
        <v>22</v>
      </c>
      <c r="H1230" t="s">
        <v>28</v>
      </c>
      <c r="I1230" t="s">
        <v>24</v>
      </c>
      <c r="J1230">
        <v>104985</v>
      </c>
      <c r="K1230">
        <v>0</v>
      </c>
      <c r="L1230" t="s">
        <v>43</v>
      </c>
      <c r="M1230" t="s">
        <v>26</v>
      </c>
      <c r="N1230" t="s">
        <v>27</v>
      </c>
      <c r="O1230" t="s">
        <v>35</v>
      </c>
      <c r="P1230" t="s">
        <v>26</v>
      </c>
      <c r="Q1230">
        <v>0</v>
      </c>
    </row>
    <row r="1231" spans="1:17" x14ac:dyDescent="0.25">
      <c r="A1231" t="s">
        <v>29</v>
      </c>
      <c r="B1231" t="s">
        <v>36</v>
      </c>
      <c r="C1231">
        <v>135000</v>
      </c>
      <c r="D1231" t="s">
        <v>46</v>
      </c>
      <c r="E1231" t="s">
        <v>20</v>
      </c>
      <c r="F1231" t="s">
        <v>32</v>
      </c>
      <c r="G1231" t="s">
        <v>22</v>
      </c>
      <c r="H1231" t="s">
        <v>28</v>
      </c>
      <c r="I1231" t="s">
        <v>24</v>
      </c>
      <c r="J1231">
        <v>119965.5</v>
      </c>
      <c r="K1231">
        <v>0</v>
      </c>
      <c r="L1231" t="s">
        <v>45</v>
      </c>
      <c r="M1231" t="s">
        <v>26</v>
      </c>
      <c r="N1231" t="s">
        <v>27</v>
      </c>
      <c r="O1231" t="s">
        <v>35</v>
      </c>
      <c r="P1231" t="s">
        <v>26</v>
      </c>
      <c r="Q1231">
        <v>0</v>
      </c>
    </row>
    <row r="1232" spans="1:17" x14ac:dyDescent="0.25">
      <c r="A1232" t="s">
        <v>17</v>
      </c>
      <c r="B1232" t="s">
        <v>36</v>
      </c>
      <c r="C1232">
        <v>238500</v>
      </c>
      <c r="D1232" t="s">
        <v>19</v>
      </c>
      <c r="E1232" t="s">
        <v>31</v>
      </c>
      <c r="F1232" t="s">
        <v>32</v>
      </c>
      <c r="G1232" t="s">
        <v>22</v>
      </c>
      <c r="H1232" t="s">
        <v>33</v>
      </c>
      <c r="I1232" t="s">
        <v>24</v>
      </c>
      <c r="J1232">
        <v>89550</v>
      </c>
      <c r="K1232">
        <v>8955</v>
      </c>
      <c r="L1232" t="s">
        <v>38</v>
      </c>
      <c r="M1232" t="s">
        <v>26</v>
      </c>
      <c r="N1232" t="s">
        <v>27</v>
      </c>
      <c r="O1232" t="s">
        <v>35</v>
      </c>
      <c r="P1232" t="s">
        <v>26</v>
      </c>
      <c r="Q1232">
        <v>0</v>
      </c>
    </row>
    <row r="1233" spans="1:17" x14ac:dyDescent="0.25">
      <c r="A1233" t="s">
        <v>17</v>
      </c>
      <c r="B1233" t="s">
        <v>36</v>
      </c>
      <c r="C1233">
        <v>238500</v>
      </c>
      <c r="D1233" t="s">
        <v>19</v>
      </c>
      <c r="E1233" t="s">
        <v>31</v>
      </c>
      <c r="F1233" t="s">
        <v>32</v>
      </c>
      <c r="G1233" t="s">
        <v>22</v>
      </c>
      <c r="H1233" t="s">
        <v>33</v>
      </c>
      <c r="I1233" t="s">
        <v>24</v>
      </c>
      <c r="J1233">
        <v>123804</v>
      </c>
      <c r="K1233">
        <v>0</v>
      </c>
      <c r="L1233" t="s">
        <v>42</v>
      </c>
      <c r="M1233" t="s">
        <v>26</v>
      </c>
      <c r="N1233" t="s">
        <v>27</v>
      </c>
      <c r="O1233" t="s">
        <v>35</v>
      </c>
      <c r="P1233" t="s">
        <v>26</v>
      </c>
      <c r="Q1233">
        <v>0</v>
      </c>
    </row>
    <row r="1234" spans="1:17" x14ac:dyDescent="0.25">
      <c r="A1234" t="s">
        <v>17</v>
      </c>
      <c r="B1234" t="s">
        <v>36</v>
      </c>
      <c r="C1234">
        <v>238500</v>
      </c>
      <c r="D1234" t="s">
        <v>19</v>
      </c>
      <c r="E1234" t="s">
        <v>31</v>
      </c>
      <c r="F1234" t="s">
        <v>32</v>
      </c>
      <c r="G1234" t="s">
        <v>22</v>
      </c>
      <c r="H1234" t="s">
        <v>33</v>
      </c>
      <c r="I1234" t="s">
        <v>24</v>
      </c>
      <c r="J1234">
        <v>31455</v>
      </c>
      <c r="K1234">
        <v>3145.5</v>
      </c>
      <c r="L1234" t="s">
        <v>43</v>
      </c>
      <c r="M1234" t="s">
        <v>26</v>
      </c>
      <c r="N1234" t="s">
        <v>27</v>
      </c>
      <c r="O1234" t="s">
        <v>35</v>
      </c>
      <c r="P1234" t="s">
        <v>26</v>
      </c>
      <c r="Q1234">
        <v>0</v>
      </c>
    </row>
    <row r="1235" spans="1:17" x14ac:dyDescent="0.25">
      <c r="A1235" t="s">
        <v>17</v>
      </c>
      <c r="B1235" t="s">
        <v>36</v>
      </c>
      <c r="C1235">
        <v>238500</v>
      </c>
      <c r="D1235" t="s">
        <v>19</v>
      </c>
      <c r="E1235" t="s">
        <v>31</v>
      </c>
      <c r="F1235" t="s">
        <v>32</v>
      </c>
      <c r="G1235" t="s">
        <v>22</v>
      </c>
      <c r="H1235" t="s">
        <v>33</v>
      </c>
      <c r="I1235" t="s">
        <v>24</v>
      </c>
      <c r="J1235">
        <v>102897</v>
      </c>
      <c r="K1235">
        <v>10291.5</v>
      </c>
      <c r="L1235" t="s">
        <v>42</v>
      </c>
      <c r="M1235" t="s">
        <v>26</v>
      </c>
      <c r="N1235" t="s">
        <v>27</v>
      </c>
      <c r="O1235" t="s">
        <v>35</v>
      </c>
      <c r="P1235" t="s">
        <v>26</v>
      </c>
      <c r="Q1235">
        <v>0</v>
      </c>
    </row>
    <row r="1236" spans="1:17" x14ac:dyDescent="0.25">
      <c r="A1236" t="s">
        <v>29</v>
      </c>
      <c r="B1236" t="s">
        <v>18</v>
      </c>
      <c r="C1236">
        <v>112500</v>
      </c>
      <c r="D1236" t="s">
        <v>46</v>
      </c>
      <c r="E1236" t="s">
        <v>20</v>
      </c>
      <c r="F1236" t="s">
        <v>54</v>
      </c>
      <c r="G1236" t="s">
        <v>22</v>
      </c>
      <c r="H1236" t="s">
        <v>28</v>
      </c>
      <c r="I1236" t="s">
        <v>66</v>
      </c>
      <c r="J1236">
        <v>54000</v>
      </c>
      <c r="K1236">
        <v>0</v>
      </c>
      <c r="L1236" t="s">
        <v>43</v>
      </c>
      <c r="M1236" t="s">
        <v>41</v>
      </c>
      <c r="N1236" t="s">
        <v>58</v>
      </c>
      <c r="O1236" t="s">
        <v>35</v>
      </c>
      <c r="P1236" t="s">
        <v>64</v>
      </c>
      <c r="Q1236">
        <v>1</v>
      </c>
    </row>
    <row r="1237" spans="1:17" x14ac:dyDescent="0.25">
      <c r="A1237" t="s">
        <v>29</v>
      </c>
      <c r="B1237" t="s">
        <v>18</v>
      </c>
      <c r="C1237">
        <v>112500</v>
      </c>
      <c r="D1237" t="s">
        <v>46</v>
      </c>
      <c r="E1237" t="s">
        <v>20</v>
      </c>
      <c r="F1237" t="s">
        <v>54</v>
      </c>
      <c r="G1237" t="s">
        <v>22</v>
      </c>
      <c r="H1237" t="s">
        <v>28</v>
      </c>
      <c r="I1237" t="s">
        <v>66</v>
      </c>
      <c r="J1237">
        <v>54000</v>
      </c>
      <c r="K1237">
        <v>0</v>
      </c>
      <c r="L1237" t="s">
        <v>51</v>
      </c>
      <c r="M1237" t="s">
        <v>28</v>
      </c>
      <c r="N1237" t="s">
        <v>27</v>
      </c>
      <c r="O1237" t="s">
        <v>35</v>
      </c>
      <c r="P1237" t="s">
        <v>26</v>
      </c>
      <c r="Q1237">
        <v>0</v>
      </c>
    </row>
    <row r="1238" spans="1:17" x14ac:dyDescent="0.25">
      <c r="A1238" t="s">
        <v>17</v>
      </c>
      <c r="B1238" t="s">
        <v>36</v>
      </c>
      <c r="C1238">
        <v>135000</v>
      </c>
      <c r="D1238" t="s">
        <v>19</v>
      </c>
      <c r="E1238" t="s">
        <v>20</v>
      </c>
      <c r="F1238" t="s">
        <v>32</v>
      </c>
      <c r="G1238" t="s">
        <v>22</v>
      </c>
      <c r="H1238" t="s">
        <v>49</v>
      </c>
      <c r="I1238" t="s">
        <v>24</v>
      </c>
      <c r="J1238">
        <v>42750</v>
      </c>
      <c r="K1238">
        <v>8550</v>
      </c>
      <c r="L1238" t="s">
        <v>38</v>
      </c>
      <c r="M1238" t="s">
        <v>26</v>
      </c>
      <c r="N1238" t="s">
        <v>27</v>
      </c>
      <c r="O1238" t="s">
        <v>35</v>
      </c>
      <c r="P1238" t="s">
        <v>26</v>
      </c>
      <c r="Q1238">
        <v>0</v>
      </c>
    </row>
    <row r="1239" spans="1:17" x14ac:dyDescent="0.25">
      <c r="A1239" t="s">
        <v>17</v>
      </c>
      <c r="B1239" t="s">
        <v>36</v>
      </c>
      <c r="C1239">
        <v>315000</v>
      </c>
      <c r="D1239" t="s">
        <v>19</v>
      </c>
      <c r="E1239" t="s">
        <v>31</v>
      </c>
      <c r="F1239" t="s">
        <v>32</v>
      </c>
      <c r="G1239" t="s">
        <v>22</v>
      </c>
      <c r="H1239" t="s">
        <v>49</v>
      </c>
      <c r="I1239" t="s">
        <v>24</v>
      </c>
      <c r="J1239">
        <v>436234.5</v>
      </c>
      <c r="K1239">
        <v>130873.5</v>
      </c>
      <c r="L1239" t="s">
        <v>45</v>
      </c>
      <c r="M1239" t="s">
        <v>26</v>
      </c>
      <c r="N1239" t="s">
        <v>27</v>
      </c>
      <c r="O1239" t="s">
        <v>35</v>
      </c>
      <c r="P1239" t="s">
        <v>26</v>
      </c>
      <c r="Q1239">
        <v>0</v>
      </c>
    </row>
    <row r="1240" spans="1:17" x14ac:dyDescent="0.25">
      <c r="A1240" t="s">
        <v>29</v>
      </c>
      <c r="B1240" t="s">
        <v>36</v>
      </c>
      <c r="C1240">
        <v>67500</v>
      </c>
      <c r="D1240" t="s">
        <v>19</v>
      </c>
      <c r="E1240" t="s">
        <v>31</v>
      </c>
      <c r="F1240" t="s">
        <v>32</v>
      </c>
      <c r="G1240" t="s">
        <v>22</v>
      </c>
      <c r="H1240" t="s">
        <v>63</v>
      </c>
      <c r="I1240" t="s">
        <v>24</v>
      </c>
      <c r="J1240">
        <v>86296.5</v>
      </c>
      <c r="K1240">
        <v>0</v>
      </c>
      <c r="L1240" t="s">
        <v>38</v>
      </c>
      <c r="M1240" t="s">
        <v>26</v>
      </c>
      <c r="N1240" t="s">
        <v>27</v>
      </c>
      <c r="O1240" t="s">
        <v>35</v>
      </c>
      <c r="P1240" t="s">
        <v>26</v>
      </c>
      <c r="Q1240">
        <v>0</v>
      </c>
    </row>
    <row r="1241" spans="1:17" x14ac:dyDescent="0.25">
      <c r="A1241" t="s">
        <v>29</v>
      </c>
      <c r="B1241" t="s">
        <v>36</v>
      </c>
      <c r="C1241">
        <v>67500</v>
      </c>
      <c r="D1241" t="s">
        <v>19</v>
      </c>
      <c r="E1241" t="s">
        <v>31</v>
      </c>
      <c r="F1241" t="s">
        <v>32</v>
      </c>
      <c r="G1241" t="s">
        <v>22</v>
      </c>
      <c r="H1241" t="s">
        <v>63</v>
      </c>
      <c r="I1241" t="s">
        <v>24</v>
      </c>
      <c r="J1241">
        <v>111960</v>
      </c>
      <c r="K1241">
        <v>0</v>
      </c>
      <c r="L1241" t="s">
        <v>42</v>
      </c>
      <c r="M1241" t="s">
        <v>26</v>
      </c>
      <c r="N1241" t="s">
        <v>27</v>
      </c>
      <c r="O1241" t="s">
        <v>35</v>
      </c>
      <c r="P1241" t="s">
        <v>26</v>
      </c>
      <c r="Q1241">
        <v>0</v>
      </c>
    </row>
    <row r="1242" spans="1:17" x14ac:dyDescent="0.25">
      <c r="A1242" t="s">
        <v>29</v>
      </c>
      <c r="B1242" t="s">
        <v>18</v>
      </c>
      <c r="C1242">
        <v>195750</v>
      </c>
      <c r="D1242" t="s">
        <v>19</v>
      </c>
      <c r="E1242" t="s">
        <v>20</v>
      </c>
      <c r="F1242" t="s">
        <v>39</v>
      </c>
      <c r="G1242" t="s">
        <v>22</v>
      </c>
      <c r="H1242" t="s">
        <v>37</v>
      </c>
      <c r="I1242" t="s">
        <v>24</v>
      </c>
      <c r="J1242">
        <v>142992</v>
      </c>
      <c r="K1242">
        <v>0</v>
      </c>
      <c r="L1242" t="s">
        <v>42</v>
      </c>
      <c r="M1242" t="s">
        <v>26</v>
      </c>
      <c r="N1242" t="s">
        <v>27</v>
      </c>
      <c r="O1242" t="s">
        <v>35</v>
      </c>
      <c r="P1242" t="s">
        <v>26</v>
      </c>
      <c r="Q1242">
        <v>0</v>
      </c>
    </row>
    <row r="1243" spans="1:17" x14ac:dyDescent="0.25">
      <c r="A1243" t="s">
        <v>29</v>
      </c>
      <c r="B1243" t="s">
        <v>18</v>
      </c>
      <c r="C1243">
        <v>195750</v>
      </c>
      <c r="D1243" t="s">
        <v>19</v>
      </c>
      <c r="E1243" t="s">
        <v>20</v>
      </c>
      <c r="F1243" t="s">
        <v>39</v>
      </c>
      <c r="G1243" t="s">
        <v>22</v>
      </c>
      <c r="H1243" t="s">
        <v>37</v>
      </c>
      <c r="I1243" t="s">
        <v>24</v>
      </c>
      <c r="J1243">
        <v>199800</v>
      </c>
      <c r="K1243">
        <v>0</v>
      </c>
      <c r="L1243" t="s">
        <v>51</v>
      </c>
      <c r="M1243" t="s">
        <v>26</v>
      </c>
      <c r="N1243" t="s">
        <v>27</v>
      </c>
      <c r="O1243" t="s">
        <v>35</v>
      </c>
      <c r="P1243" t="s">
        <v>26</v>
      </c>
      <c r="Q1243">
        <v>0</v>
      </c>
    </row>
    <row r="1244" spans="1:17" x14ac:dyDescent="0.25">
      <c r="A1244" t="s">
        <v>29</v>
      </c>
      <c r="B1244" t="s">
        <v>18</v>
      </c>
      <c r="C1244">
        <v>195750</v>
      </c>
      <c r="D1244" t="s">
        <v>19</v>
      </c>
      <c r="E1244" t="s">
        <v>20</v>
      </c>
      <c r="F1244" t="s">
        <v>39</v>
      </c>
      <c r="G1244" t="s">
        <v>22</v>
      </c>
      <c r="H1244" t="s">
        <v>37</v>
      </c>
      <c r="I1244" t="s">
        <v>66</v>
      </c>
      <c r="J1244">
        <v>135000</v>
      </c>
      <c r="K1244">
        <v>0</v>
      </c>
      <c r="L1244" t="s">
        <v>43</v>
      </c>
      <c r="M1244" t="s">
        <v>28</v>
      </c>
      <c r="N1244" t="s">
        <v>27</v>
      </c>
      <c r="O1244" t="s">
        <v>28</v>
      </c>
      <c r="P1244" t="s">
        <v>26</v>
      </c>
      <c r="Q1244">
        <v>0</v>
      </c>
    </row>
    <row r="1245" spans="1:17" x14ac:dyDescent="0.25">
      <c r="A1245" t="s">
        <v>29</v>
      </c>
      <c r="B1245" t="s">
        <v>36</v>
      </c>
      <c r="C1245">
        <v>112500</v>
      </c>
      <c r="D1245" t="s">
        <v>44</v>
      </c>
      <c r="E1245" t="s">
        <v>70</v>
      </c>
      <c r="F1245" t="s">
        <v>32</v>
      </c>
      <c r="G1245" t="s">
        <v>22</v>
      </c>
      <c r="H1245" t="s">
        <v>71</v>
      </c>
      <c r="I1245" t="s">
        <v>24</v>
      </c>
      <c r="J1245">
        <v>146736</v>
      </c>
      <c r="K1245">
        <v>0</v>
      </c>
      <c r="L1245" t="s">
        <v>34</v>
      </c>
      <c r="M1245" t="s">
        <v>26</v>
      </c>
      <c r="N1245" t="s">
        <v>58</v>
      </c>
      <c r="O1245" t="s">
        <v>35</v>
      </c>
      <c r="P1245" t="s">
        <v>102</v>
      </c>
      <c r="Q1245">
        <v>1</v>
      </c>
    </row>
    <row r="1246" spans="1:17" x14ac:dyDescent="0.25">
      <c r="A1246" t="s">
        <v>29</v>
      </c>
      <c r="B1246" t="s">
        <v>36</v>
      </c>
      <c r="C1246">
        <v>112500</v>
      </c>
      <c r="D1246" t="s">
        <v>44</v>
      </c>
      <c r="E1246" t="s">
        <v>70</v>
      </c>
      <c r="F1246" t="s">
        <v>32</v>
      </c>
      <c r="G1246" t="s">
        <v>22</v>
      </c>
      <c r="H1246" t="s">
        <v>71</v>
      </c>
      <c r="I1246" t="s">
        <v>24</v>
      </c>
      <c r="J1246">
        <v>149017.5</v>
      </c>
      <c r="K1246">
        <v>14904</v>
      </c>
      <c r="L1246" t="s">
        <v>34</v>
      </c>
      <c r="M1246" t="s">
        <v>26</v>
      </c>
      <c r="N1246" t="s">
        <v>27</v>
      </c>
      <c r="O1246" t="s">
        <v>35</v>
      </c>
      <c r="P1246" t="s">
        <v>26</v>
      </c>
      <c r="Q1246">
        <v>0</v>
      </c>
    </row>
    <row r="1247" spans="1:17" x14ac:dyDescent="0.25">
      <c r="A1247" t="s">
        <v>29</v>
      </c>
      <c r="B1247" t="s">
        <v>36</v>
      </c>
      <c r="C1247">
        <v>112500</v>
      </c>
      <c r="D1247" t="s">
        <v>44</v>
      </c>
      <c r="E1247" t="s">
        <v>70</v>
      </c>
      <c r="F1247" t="s">
        <v>32</v>
      </c>
      <c r="G1247" t="s">
        <v>22</v>
      </c>
      <c r="H1247" t="s">
        <v>71</v>
      </c>
      <c r="I1247" t="s">
        <v>24</v>
      </c>
      <c r="J1247">
        <v>60655.5</v>
      </c>
      <c r="K1247">
        <v>0</v>
      </c>
      <c r="L1247" t="s">
        <v>25</v>
      </c>
      <c r="M1247" t="s">
        <v>26</v>
      </c>
      <c r="N1247" t="s">
        <v>27</v>
      </c>
      <c r="O1247" t="s">
        <v>28</v>
      </c>
      <c r="P1247" t="s">
        <v>26</v>
      </c>
      <c r="Q1247">
        <v>0</v>
      </c>
    </row>
    <row r="1248" spans="1:17" x14ac:dyDescent="0.25">
      <c r="A1248" t="s">
        <v>29</v>
      </c>
      <c r="B1248" t="s">
        <v>36</v>
      </c>
      <c r="C1248">
        <v>112500</v>
      </c>
      <c r="D1248" t="s">
        <v>44</v>
      </c>
      <c r="E1248" t="s">
        <v>70</v>
      </c>
      <c r="F1248" t="s">
        <v>32</v>
      </c>
      <c r="G1248" t="s">
        <v>22</v>
      </c>
      <c r="H1248" t="s">
        <v>71</v>
      </c>
      <c r="I1248" t="s">
        <v>24</v>
      </c>
      <c r="J1248">
        <v>128479.5</v>
      </c>
      <c r="K1248">
        <v>13500</v>
      </c>
      <c r="L1248" t="s">
        <v>38</v>
      </c>
      <c r="M1248" t="s">
        <v>26</v>
      </c>
      <c r="N1248" t="s">
        <v>27</v>
      </c>
      <c r="O1248" t="s">
        <v>28</v>
      </c>
      <c r="P1248" t="s">
        <v>26</v>
      </c>
      <c r="Q1248">
        <v>0</v>
      </c>
    </row>
    <row r="1249" spans="1:17" x14ac:dyDescent="0.25">
      <c r="A1249" t="s">
        <v>29</v>
      </c>
      <c r="B1249" t="s">
        <v>36</v>
      </c>
      <c r="C1249">
        <v>112500</v>
      </c>
      <c r="D1249" t="s">
        <v>44</v>
      </c>
      <c r="E1249" t="s">
        <v>70</v>
      </c>
      <c r="F1249" t="s">
        <v>32</v>
      </c>
      <c r="G1249" t="s">
        <v>22</v>
      </c>
      <c r="H1249" t="s">
        <v>71</v>
      </c>
      <c r="I1249" t="s">
        <v>24</v>
      </c>
      <c r="J1249">
        <v>126863.28</v>
      </c>
      <c r="K1249">
        <v>0</v>
      </c>
      <c r="L1249" t="s">
        <v>34</v>
      </c>
      <c r="M1249" t="s">
        <v>26</v>
      </c>
      <c r="N1249" t="s">
        <v>27</v>
      </c>
      <c r="O1249" t="s">
        <v>35</v>
      </c>
      <c r="P1249" t="s">
        <v>26</v>
      </c>
      <c r="Q1249">
        <v>0</v>
      </c>
    </row>
    <row r="1250" spans="1:17" x14ac:dyDescent="0.25">
      <c r="A1250" t="s">
        <v>29</v>
      </c>
      <c r="B1250" t="s">
        <v>18</v>
      </c>
      <c r="C1250">
        <v>67500</v>
      </c>
      <c r="D1250" t="s">
        <v>46</v>
      </c>
      <c r="E1250" t="s">
        <v>20</v>
      </c>
      <c r="F1250" t="s">
        <v>69</v>
      </c>
      <c r="G1250" t="s">
        <v>22</v>
      </c>
      <c r="H1250" t="s">
        <v>28</v>
      </c>
      <c r="I1250" t="s">
        <v>24</v>
      </c>
      <c r="J1250">
        <v>99625.5</v>
      </c>
      <c r="K1250">
        <v>0</v>
      </c>
      <c r="L1250" t="s">
        <v>45</v>
      </c>
      <c r="M1250" t="s">
        <v>26</v>
      </c>
      <c r="N1250" t="s">
        <v>27</v>
      </c>
      <c r="O1250" t="s">
        <v>28</v>
      </c>
      <c r="P1250" t="s">
        <v>26</v>
      </c>
      <c r="Q1250">
        <v>0</v>
      </c>
    </row>
    <row r="1251" spans="1:17" x14ac:dyDescent="0.25">
      <c r="A1251" t="s">
        <v>29</v>
      </c>
      <c r="B1251" t="s">
        <v>18</v>
      </c>
      <c r="C1251">
        <v>247500</v>
      </c>
      <c r="D1251" t="s">
        <v>46</v>
      </c>
      <c r="E1251" t="s">
        <v>20</v>
      </c>
      <c r="F1251" t="s">
        <v>54</v>
      </c>
      <c r="G1251" t="s">
        <v>22</v>
      </c>
      <c r="H1251" t="s">
        <v>28</v>
      </c>
      <c r="I1251" t="s">
        <v>66</v>
      </c>
      <c r="J1251">
        <v>94500</v>
      </c>
      <c r="K1251">
        <v>0</v>
      </c>
      <c r="L1251" t="s">
        <v>45</v>
      </c>
      <c r="M1251" t="s">
        <v>28</v>
      </c>
      <c r="N1251" t="s">
        <v>27</v>
      </c>
      <c r="O1251" t="s">
        <v>35</v>
      </c>
      <c r="P1251" t="s">
        <v>26</v>
      </c>
      <c r="Q1251">
        <v>0</v>
      </c>
    </row>
    <row r="1252" spans="1:17" x14ac:dyDescent="0.25">
      <c r="A1252" t="s">
        <v>29</v>
      </c>
      <c r="B1252" t="s">
        <v>18</v>
      </c>
      <c r="C1252">
        <v>247500</v>
      </c>
      <c r="D1252" t="s">
        <v>46</v>
      </c>
      <c r="E1252" t="s">
        <v>20</v>
      </c>
      <c r="F1252" t="s">
        <v>54</v>
      </c>
      <c r="G1252" t="s">
        <v>22</v>
      </c>
      <c r="H1252" t="s">
        <v>28</v>
      </c>
      <c r="I1252" t="s">
        <v>66</v>
      </c>
      <c r="J1252">
        <v>450000</v>
      </c>
      <c r="K1252">
        <v>0</v>
      </c>
      <c r="L1252" t="s">
        <v>43</v>
      </c>
      <c r="M1252" t="s">
        <v>28</v>
      </c>
      <c r="N1252" t="s">
        <v>27</v>
      </c>
      <c r="O1252" t="s">
        <v>35</v>
      </c>
      <c r="P1252" t="s">
        <v>26</v>
      </c>
      <c r="Q1252">
        <v>0</v>
      </c>
    </row>
    <row r="1253" spans="1:17" x14ac:dyDescent="0.25">
      <c r="A1253" t="s">
        <v>29</v>
      </c>
      <c r="B1253" t="s">
        <v>18</v>
      </c>
      <c r="C1253">
        <v>247500</v>
      </c>
      <c r="D1253" t="s">
        <v>46</v>
      </c>
      <c r="E1253" t="s">
        <v>20</v>
      </c>
      <c r="F1253" t="s">
        <v>54</v>
      </c>
      <c r="G1253" t="s">
        <v>22</v>
      </c>
      <c r="H1253" t="s">
        <v>28</v>
      </c>
      <c r="I1253" t="s">
        <v>66</v>
      </c>
      <c r="J1253">
        <v>63000</v>
      </c>
      <c r="K1253">
        <v>0</v>
      </c>
      <c r="L1253" t="s">
        <v>51</v>
      </c>
      <c r="M1253" t="s">
        <v>113</v>
      </c>
      <c r="N1253" t="s">
        <v>58</v>
      </c>
      <c r="O1253" t="s">
        <v>35</v>
      </c>
      <c r="P1253" t="s">
        <v>64</v>
      </c>
      <c r="Q1253">
        <v>1</v>
      </c>
    </row>
    <row r="1254" spans="1:17" x14ac:dyDescent="0.25">
      <c r="A1254" t="s">
        <v>17</v>
      </c>
      <c r="B1254" t="s">
        <v>36</v>
      </c>
      <c r="C1254">
        <v>180000</v>
      </c>
      <c r="D1254" t="s">
        <v>19</v>
      </c>
      <c r="E1254" t="s">
        <v>20</v>
      </c>
      <c r="F1254" t="s">
        <v>32</v>
      </c>
      <c r="G1254" t="s">
        <v>22</v>
      </c>
      <c r="H1254" t="s">
        <v>65</v>
      </c>
      <c r="I1254" t="s">
        <v>24</v>
      </c>
      <c r="J1254">
        <v>19935</v>
      </c>
      <c r="K1254">
        <v>1993.5</v>
      </c>
      <c r="L1254" t="s">
        <v>45</v>
      </c>
      <c r="M1254" t="s">
        <v>26</v>
      </c>
      <c r="N1254" t="s">
        <v>27</v>
      </c>
      <c r="O1254" t="s">
        <v>28</v>
      </c>
      <c r="P1254" t="s">
        <v>26</v>
      </c>
      <c r="Q1254">
        <v>0</v>
      </c>
    </row>
    <row r="1255" spans="1:17" x14ac:dyDescent="0.25">
      <c r="A1255" t="s">
        <v>29</v>
      </c>
      <c r="B1255" t="s">
        <v>36</v>
      </c>
      <c r="C1255">
        <v>315000</v>
      </c>
      <c r="D1255" t="s">
        <v>44</v>
      </c>
      <c r="E1255" t="s">
        <v>31</v>
      </c>
      <c r="F1255" t="s">
        <v>32</v>
      </c>
      <c r="G1255" t="s">
        <v>22</v>
      </c>
      <c r="H1255" t="s">
        <v>23</v>
      </c>
      <c r="I1255" t="s">
        <v>24</v>
      </c>
      <c r="J1255">
        <v>65300.4</v>
      </c>
      <c r="K1255">
        <v>13059.9</v>
      </c>
      <c r="L1255" t="s">
        <v>38</v>
      </c>
      <c r="M1255" t="s">
        <v>26</v>
      </c>
      <c r="N1255" t="s">
        <v>27</v>
      </c>
      <c r="O1255" t="s">
        <v>35</v>
      </c>
      <c r="P1255" t="s">
        <v>26</v>
      </c>
      <c r="Q1255">
        <v>0</v>
      </c>
    </row>
    <row r="1256" spans="1:17" x14ac:dyDescent="0.25">
      <c r="A1256" t="s">
        <v>29</v>
      </c>
      <c r="B1256" t="s">
        <v>18</v>
      </c>
      <c r="C1256">
        <v>157500</v>
      </c>
      <c r="D1256" t="s">
        <v>19</v>
      </c>
      <c r="E1256" t="s">
        <v>20</v>
      </c>
      <c r="F1256" t="s">
        <v>32</v>
      </c>
      <c r="G1256" t="s">
        <v>22</v>
      </c>
      <c r="H1256" t="s">
        <v>114</v>
      </c>
      <c r="I1256" t="s">
        <v>24</v>
      </c>
      <c r="J1256">
        <v>30946.5</v>
      </c>
      <c r="K1256">
        <v>3096</v>
      </c>
      <c r="L1256" t="s">
        <v>43</v>
      </c>
      <c r="M1256" t="s">
        <v>26</v>
      </c>
      <c r="N1256" t="s">
        <v>27</v>
      </c>
      <c r="O1256" t="s">
        <v>35</v>
      </c>
      <c r="P1256" t="s">
        <v>26</v>
      </c>
      <c r="Q1256">
        <v>0</v>
      </c>
    </row>
    <row r="1257" spans="1:17" x14ac:dyDescent="0.25">
      <c r="A1257" t="s">
        <v>29</v>
      </c>
      <c r="B1257" t="s">
        <v>18</v>
      </c>
      <c r="C1257">
        <v>157500</v>
      </c>
      <c r="D1257" t="s">
        <v>19</v>
      </c>
      <c r="E1257" t="s">
        <v>20</v>
      </c>
      <c r="F1257" t="s">
        <v>32</v>
      </c>
      <c r="G1257" t="s">
        <v>22</v>
      </c>
      <c r="H1257" t="s">
        <v>114</v>
      </c>
      <c r="I1257" t="s">
        <v>66</v>
      </c>
      <c r="J1257">
        <v>315000</v>
      </c>
      <c r="K1257">
        <v>0</v>
      </c>
      <c r="L1257" t="s">
        <v>51</v>
      </c>
      <c r="M1257" t="s">
        <v>28</v>
      </c>
      <c r="N1257" t="s">
        <v>27</v>
      </c>
      <c r="O1257" t="s">
        <v>35</v>
      </c>
      <c r="P1257" t="s">
        <v>26</v>
      </c>
      <c r="Q1257">
        <v>0</v>
      </c>
    </row>
    <row r="1258" spans="1:17" x14ac:dyDescent="0.25">
      <c r="A1258" t="s">
        <v>29</v>
      </c>
      <c r="B1258" t="s">
        <v>36</v>
      </c>
      <c r="C1258">
        <v>67500</v>
      </c>
      <c r="D1258" t="s">
        <v>19</v>
      </c>
      <c r="E1258" t="s">
        <v>20</v>
      </c>
      <c r="F1258" t="s">
        <v>39</v>
      </c>
      <c r="G1258" t="s">
        <v>22</v>
      </c>
      <c r="H1258" t="s">
        <v>23</v>
      </c>
      <c r="I1258" t="s">
        <v>24</v>
      </c>
      <c r="J1258">
        <v>31720.5</v>
      </c>
      <c r="K1258">
        <v>7650</v>
      </c>
      <c r="L1258" t="s">
        <v>45</v>
      </c>
      <c r="M1258" t="s">
        <v>26</v>
      </c>
      <c r="N1258" t="s">
        <v>27</v>
      </c>
      <c r="O1258" t="s">
        <v>35</v>
      </c>
      <c r="P1258" t="s">
        <v>26</v>
      </c>
      <c r="Q1258">
        <v>0</v>
      </c>
    </row>
    <row r="1259" spans="1:17" x14ac:dyDescent="0.25">
      <c r="A1259" t="s">
        <v>29</v>
      </c>
      <c r="B1259" t="s">
        <v>36</v>
      </c>
      <c r="C1259">
        <v>67500</v>
      </c>
      <c r="D1259" t="s">
        <v>19</v>
      </c>
      <c r="E1259" t="s">
        <v>20</v>
      </c>
      <c r="F1259" t="s">
        <v>39</v>
      </c>
      <c r="G1259" t="s">
        <v>22</v>
      </c>
      <c r="H1259" t="s">
        <v>23</v>
      </c>
      <c r="I1259" t="s">
        <v>24</v>
      </c>
      <c r="J1259">
        <v>26010</v>
      </c>
      <c r="K1259">
        <v>0</v>
      </c>
      <c r="L1259" t="s">
        <v>38</v>
      </c>
      <c r="M1259" t="s">
        <v>26</v>
      </c>
      <c r="N1259" t="s">
        <v>58</v>
      </c>
      <c r="O1259" t="s">
        <v>35</v>
      </c>
      <c r="P1259" t="s">
        <v>60</v>
      </c>
      <c r="Q1259">
        <v>1</v>
      </c>
    </row>
    <row r="1260" spans="1:17" x14ac:dyDescent="0.25">
      <c r="A1260" t="s">
        <v>29</v>
      </c>
      <c r="B1260" t="s">
        <v>36</v>
      </c>
      <c r="C1260">
        <v>67500</v>
      </c>
      <c r="D1260" t="s">
        <v>19</v>
      </c>
      <c r="E1260" t="s">
        <v>20</v>
      </c>
      <c r="F1260" t="s">
        <v>39</v>
      </c>
      <c r="G1260" t="s">
        <v>22</v>
      </c>
      <c r="H1260" t="s">
        <v>23</v>
      </c>
      <c r="I1260" t="s">
        <v>24</v>
      </c>
      <c r="J1260">
        <v>26010</v>
      </c>
      <c r="K1260">
        <v>0</v>
      </c>
      <c r="L1260" t="s">
        <v>38</v>
      </c>
      <c r="M1260" t="s">
        <v>26</v>
      </c>
      <c r="N1260" t="s">
        <v>58</v>
      </c>
      <c r="O1260" t="s">
        <v>35</v>
      </c>
      <c r="P1260" t="s">
        <v>60</v>
      </c>
      <c r="Q1260">
        <v>1</v>
      </c>
    </row>
    <row r="1261" spans="1:17" x14ac:dyDescent="0.25">
      <c r="A1261" t="s">
        <v>29</v>
      </c>
      <c r="B1261" t="s">
        <v>18</v>
      </c>
      <c r="C1261">
        <v>112500</v>
      </c>
      <c r="D1261" t="s">
        <v>19</v>
      </c>
      <c r="E1261" t="s">
        <v>20</v>
      </c>
      <c r="F1261" t="s">
        <v>32</v>
      </c>
      <c r="G1261" t="s">
        <v>22</v>
      </c>
      <c r="H1261" t="s">
        <v>53</v>
      </c>
      <c r="I1261" t="s">
        <v>24</v>
      </c>
      <c r="J1261">
        <v>35955</v>
      </c>
      <c r="K1261">
        <v>9000</v>
      </c>
      <c r="L1261" t="s">
        <v>51</v>
      </c>
      <c r="M1261" t="s">
        <v>26</v>
      </c>
      <c r="N1261" t="s">
        <v>27</v>
      </c>
      <c r="O1261" t="s">
        <v>28</v>
      </c>
      <c r="P1261" t="s">
        <v>26</v>
      </c>
      <c r="Q1261">
        <v>0</v>
      </c>
    </row>
    <row r="1262" spans="1:17" x14ac:dyDescent="0.25">
      <c r="A1262" t="s">
        <v>29</v>
      </c>
      <c r="B1262" t="s">
        <v>18</v>
      </c>
      <c r="C1262">
        <v>112500</v>
      </c>
      <c r="D1262" t="s">
        <v>19</v>
      </c>
      <c r="E1262" t="s">
        <v>20</v>
      </c>
      <c r="F1262" t="s">
        <v>32</v>
      </c>
      <c r="G1262" t="s">
        <v>22</v>
      </c>
      <c r="H1262" t="s">
        <v>53</v>
      </c>
      <c r="I1262" t="s">
        <v>24</v>
      </c>
      <c r="J1262">
        <v>51750</v>
      </c>
      <c r="K1262">
        <v>9000</v>
      </c>
      <c r="L1262" t="s">
        <v>34</v>
      </c>
      <c r="M1262" t="s">
        <v>26</v>
      </c>
      <c r="N1262" t="s">
        <v>27</v>
      </c>
      <c r="O1262" t="s">
        <v>35</v>
      </c>
      <c r="P1262" t="s">
        <v>26</v>
      </c>
      <c r="Q1262">
        <v>0</v>
      </c>
    </row>
    <row r="1263" spans="1:17" x14ac:dyDescent="0.25">
      <c r="A1263" t="s">
        <v>29</v>
      </c>
      <c r="B1263" t="s">
        <v>18</v>
      </c>
      <c r="C1263">
        <v>112500</v>
      </c>
      <c r="D1263" t="s">
        <v>19</v>
      </c>
      <c r="E1263" t="s">
        <v>20</v>
      </c>
      <c r="F1263" t="s">
        <v>32</v>
      </c>
      <c r="G1263" t="s">
        <v>22</v>
      </c>
      <c r="H1263" t="s">
        <v>53</v>
      </c>
      <c r="I1263" t="s">
        <v>24</v>
      </c>
      <c r="J1263">
        <v>16065</v>
      </c>
      <c r="K1263">
        <v>2565</v>
      </c>
      <c r="L1263" t="s">
        <v>34</v>
      </c>
      <c r="M1263" t="s">
        <v>26</v>
      </c>
      <c r="N1263" t="s">
        <v>27</v>
      </c>
      <c r="O1263" t="s">
        <v>28</v>
      </c>
      <c r="P1263" t="s">
        <v>26</v>
      </c>
      <c r="Q1263">
        <v>0</v>
      </c>
    </row>
    <row r="1264" spans="1:17" x14ac:dyDescent="0.25">
      <c r="A1264" t="s">
        <v>29</v>
      </c>
      <c r="B1264" t="s">
        <v>18</v>
      </c>
      <c r="C1264">
        <v>112500</v>
      </c>
      <c r="D1264" t="s">
        <v>19</v>
      </c>
      <c r="E1264" t="s">
        <v>20</v>
      </c>
      <c r="F1264" t="s">
        <v>32</v>
      </c>
      <c r="G1264" t="s">
        <v>22</v>
      </c>
      <c r="H1264" t="s">
        <v>53</v>
      </c>
      <c r="I1264" t="s">
        <v>24</v>
      </c>
      <c r="J1264">
        <v>23220</v>
      </c>
      <c r="K1264">
        <v>2322</v>
      </c>
      <c r="L1264" t="s">
        <v>34</v>
      </c>
      <c r="M1264" t="s">
        <v>26</v>
      </c>
      <c r="N1264" t="s">
        <v>27</v>
      </c>
      <c r="O1264" t="s">
        <v>35</v>
      </c>
      <c r="P1264" t="s">
        <v>26</v>
      </c>
      <c r="Q1264">
        <v>0</v>
      </c>
    </row>
    <row r="1265" spans="1:17" x14ac:dyDescent="0.25">
      <c r="A1265" t="s">
        <v>17</v>
      </c>
      <c r="B1265" t="s">
        <v>36</v>
      </c>
      <c r="C1265">
        <v>202500</v>
      </c>
      <c r="D1265" t="s">
        <v>19</v>
      </c>
      <c r="E1265" t="s">
        <v>20</v>
      </c>
      <c r="F1265" t="s">
        <v>32</v>
      </c>
      <c r="G1265" t="s">
        <v>22</v>
      </c>
      <c r="H1265" t="s">
        <v>53</v>
      </c>
      <c r="I1265" t="s">
        <v>24</v>
      </c>
      <c r="J1265">
        <v>54900</v>
      </c>
      <c r="K1265">
        <v>5490</v>
      </c>
      <c r="L1265" t="s">
        <v>43</v>
      </c>
      <c r="M1265" t="s">
        <v>26</v>
      </c>
      <c r="N1265" t="s">
        <v>27</v>
      </c>
      <c r="O1265" t="s">
        <v>35</v>
      </c>
      <c r="P1265" t="s">
        <v>26</v>
      </c>
      <c r="Q1265">
        <v>0</v>
      </c>
    </row>
    <row r="1266" spans="1:17" x14ac:dyDescent="0.25">
      <c r="A1266" t="s">
        <v>17</v>
      </c>
      <c r="B1266" t="s">
        <v>36</v>
      </c>
      <c r="C1266">
        <v>99000</v>
      </c>
      <c r="D1266" t="s">
        <v>19</v>
      </c>
      <c r="E1266" t="s">
        <v>20</v>
      </c>
      <c r="F1266" t="s">
        <v>32</v>
      </c>
      <c r="G1266" t="s">
        <v>22</v>
      </c>
      <c r="H1266" t="s">
        <v>37</v>
      </c>
      <c r="I1266" t="s">
        <v>24</v>
      </c>
      <c r="J1266">
        <v>33273</v>
      </c>
      <c r="K1266">
        <v>0</v>
      </c>
      <c r="L1266" t="s">
        <v>34</v>
      </c>
      <c r="M1266" t="s">
        <v>26</v>
      </c>
      <c r="N1266" t="s">
        <v>27</v>
      </c>
      <c r="O1266" t="s">
        <v>35</v>
      </c>
      <c r="P1266" t="s">
        <v>26</v>
      </c>
      <c r="Q1266">
        <v>0</v>
      </c>
    </row>
    <row r="1267" spans="1:17" x14ac:dyDescent="0.25">
      <c r="A1267" t="s">
        <v>17</v>
      </c>
      <c r="B1267" t="s">
        <v>36</v>
      </c>
      <c r="C1267">
        <v>99000</v>
      </c>
      <c r="D1267" t="s">
        <v>19</v>
      </c>
      <c r="E1267" t="s">
        <v>20</v>
      </c>
      <c r="F1267" t="s">
        <v>32</v>
      </c>
      <c r="G1267" t="s">
        <v>22</v>
      </c>
      <c r="H1267" t="s">
        <v>37</v>
      </c>
      <c r="I1267" t="s">
        <v>24</v>
      </c>
      <c r="J1267">
        <v>22185</v>
      </c>
      <c r="K1267">
        <v>0</v>
      </c>
      <c r="L1267" t="s">
        <v>43</v>
      </c>
      <c r="M1267" t="s">
        <v>26</v>
      </c>
      <c r="N1267" t="s">
        <v>76</v>
      </c>
      <c r="O1267" t="s">
        <v>35</v>
      </c>
      <c r="P1267" t="s">
        <v>77</v>
      </c>
      <c r="Q1267">
        <v>0</v>
      </c>
    </row>
    <row r="1268" spans="1:17" x14ac:dyDescent="0.25">
      <c r="A1268" t="s">
        <v>17</v>
      </c>
      <c r="B1268" t="s">
        <v>36</v>
      </c>
      <c r="C1268">
        <v>99000</v>
      </c>
      <c r="D1268" t="s">
        <v>19</v>
      </c>
      <c r="E1268" t="s">
        <v>20</v>
      </c>
      <c r="F1268" t="s">
        <v>32</v>
      </c>
      <c r="G1268" t="s">
        <v>22</v>
      </c>
      <c r="H1268" t="s">
        <v>37</v>
      </c>
      <c r="I1268" t="s">
        <v>24</v>
      </c>
      <c r="J1268">
        <v>50670</v>
      </c>
      <c r="K1268">
        <v>0</v>
      </c>
      <c r="L1268" t="s">
        <v>45</v>
      </c>
      <c r="M1268" t="s">
        <v>26</v>
      </c>
      <c r="N1268" t="s">
        <v>27</v>
      </c>
      <c r="O1268" t="s">
        <v>35</v>
      </c>
      <c r="P1268" t="s">
        <v>26</v>
      </c>
      <c r="Q1268">
        <v>0</v>
      </c>
    </row>
    <row r="1269" spans="1:17" x14ac:dyDescent="0.25">
      <c r="A1269" t="s">
        <v>17</v>
      </c>
      <c r="B1269" t="s">
        <v>36</v>
      </c>
      <c r="C1269">
        <v>99000</v>
      </c>
      <c r="D1269" t="s">
        <v>19</v>
      </c>
      <c r="E1269" t="s">
        <v>20</v>
      </c>
      <c r="F1269" t="s">
        <v>32</v>
      </c>
      <c r="G1269" t="s">
        <v>22</v>
      </c>
      <c r="H1269" t="s">
        <v>37</v>
      </c>
      <c r="I1269" t="s">
        <v>24</v>
      </c>
      <c r="J1269">
        <v>57141</v>
      </c>
      <c r="K1269">
        <v>0</v>
      </c>
      <c r="L1269" t="s">
        <v>51</v>
      </c>
      <c r="M1269" t="s">
        <v>26</v>
      </c>
      <c r="N1269" t="s">
        <v>27</v>
      </c>
      <c r="O1269" t="s">
        <v>35</v>
      </c>
      <c r="P1269" t="s">
        <v>26</v>
      </c>
      <c r="Q1269">
        <v>0</v>
      </c>
    </row>
    <row r="1270" spans="1:17" x14ac:dyDescent="0.25">
      <c r="A1270" t="s">
        <v>29</v>
      </c>
      <c r="B1270" t="s">
        <v>18</v>
      </c>
      <c r="C1270">
        <v>157500</v>
      </c>
      <c r="D1270" t="s">
        <v>19</v>
      </c>
      <c r="E1270" t="s">
        <v>20</v>
      </c>
      <c r="F1270" t="s">
        <v>32</v>
      </c>
      <c r="G1270" t="s">
        <v>22</v>
      </c>
      <c r="H1270" t="s">
        <v>68</v>
      </c>
      <c r="I1270" t="s">
        <v>24</v>
      </c>
      <c r="J1270">
        <v>51660</v>
      </c>
      <c r="K1270">
        <v>10332</v>
      </c>
      <c r="L1270" t="s">
        <v>43</v>
      </c>
      <c r="M1270" t="s">
        <v>26</v>
      </c>
      <c r="N1270" t="s">
        <v>27</v>
      </c>
      <c r="O1270" t="s">
        <v>35</v>
      </c>
      <c r="P1270" t="s">
        <v>26</v>
      </c>
      <c r="Q1270">
        <v>0</v>
      </c>
    </row>
    <row r="1271" spans="1:17" x14ac:dyDescent="0.25">
      <c r="A1271" t="s">
        <v>29</v>
      </c>
      <c r="B1271" t="s">
        <v>18</v>
      </c>
      <c r="C1271">
        <v>135000</v>
      </c>
      <c r="D1271" t="s">
        <v>19</v>
      </c>
      <c r="E1271" t="s">
        <v>31</v>
      </c>
      <c r="F1271" t="s">
        <v>21</v>
      </c>
      <c r="G1271" t="s">
        <v>22</v>
      </c>
      <c r="H1271" t="s">
        <v>53</v>
      </c>
      <c r="I1271" t="s">
        <v>24</v>
      </c>
      <c r="J1271">
        <v>307912.5</v>
      </c>
      <c r="K1271">
        <v>61582.5</v>
      </c>
      <c r="L1271" t="s">
        <v>43</v>
      </c>
      <c r="M1271" t="s">
        <v>26</v>
      </c>
      <c r="N1271" t="s">
        <v>27</v>
      </c>
      <c r="O1271" t="s">
        <v>35</v>
      </c>
      <c r="P1271" t="s">
        <v>26</v>
      </c>
      <c r="Q1271">
        <v>0</v>
      </c>
    </row>
    <row r="1272" spans="1:17" x14ac:dyDescent="0.25">
      <c r="A1272" t="s">
        <v>29</v>
      </c>
      <c r="B1272" t="s">
        <v>18</v>
      </c>
      <c r="C1272">
        <v>135000</v>
      </c>
      <c r="D1272" t="s">
        <v>19</v>
      </c>
      <c r="E1272" t="s">
        <v>31</v>
      </c>
      <c r="F1272" t="s">
        <v>21</v>
      </c>
      <c r="G1272" t="s">
        <v>22</v>
      </c>
      <c r="H1272" t="s">
        <v>53</v>
      </c>
      <c r="I1272" t="s">
        <v>24</v>
      </c>
      <c r="J1272">
        <v>116955</v>
      </c>
      <c r="K1272">
        <v>46800</v>
      </c>
      <c r="L1272" t="s">
        <v>42</v>
      </c>
      <c r="M1272" t="s">
        <v>26</v>
      </c>
      <c r="N1272" t="s">
        <v>27</v>
      </c>
      <c r="O1272" t="s">
        <v>35</v>
      </c>
      <c r="P1272" t="s">
        <v>26</v>
      </c>
      <c r="Q1272">
        <v>0</v>
      </c>
    </row>
    <row r="1273" spans="1:17" x14ac:dyDescent="0.25">
      <c r="A1273" t="s">
        <v>29</v>
      </c>
      <c r="B1273" t="s">
        <v>18</v>
      </c>
      <c r="C1273">
        <v>135000</v>
      </c>
      <c r="D1273" t="s">
        <v>19</v>
      </c>
      <c r="E1273" t="s">
        <v>31</v>
      </c>
      <c r="F1273" t="s">
        <v>21</v>
      </c>
      <c r="G1273" t="s">
        <v>22</v>
      </c>
      <c r="H1273" t="s">
        <v>53</v>
      </c>
      <c r="I1273" t="s">
        <v>24</v>
      </c>
      <c r="J1273">
        <v>116955</v>
      </c>
      <c r="K1273">
        <v>22500</v>
      </c>
      <c r="L1273" t="s">
        <v>42</v>
      </c>
      <c r="M1273" t="s">
        <v>26</v>
      </c>
      <c r="N1273" t="s">
        <v>58</v>
      </c>
      <c r="O1273" t="s">
        <v>35</v>
      </c>
      <c r="P1273" t="s">
        <v>59</v>
      </c>
      <c r="Q1273">
        <v>1</v>
      </c>
    </row>
    <row r="1274" spans="1:17" x14ac:dyDescent="0.25">
      <c r="A1274" t="s">
        <v>29</v>
      </c>
      <c r="B1274" t="s">
        <v>18</v>
      </c>
      <c r="C1274">
        <v>135000</v>
      </c>
      <c r="D1274" t="s">
        <v>19</v>
      </c>
      <c r="E1274" t="s">
        <v>20</v>
      </c>
      <c r="F1274" t="s">
        <v>32</v>
      </c>
      <c r="G1274" t="s">
        <v>22</v>
      </c>
      <c r="H1274" t="s">
        <v>48</v>
      </c>
      <c r="I1274" t="s">
        <v>24</v>
      </c>
      <c r="J1274">
        <v>55530</v>
      </c>
      <c r="K1274">
        <v>0</v>
      </c>
      <c r="L1274" t="s">
        <v>38</v>
      </c>
      <c r="M1274" t="s">
        <v>26</v>
      </c>
      <c r="N1274" t="s">
        <v>27</v>
      </c>
      <c r="O1274" t="s">
        <v>35</v>
      </c>
      <c r="P1274" t="s">
        <v>26</v>
      </c>
      <c r="Q1274">
        <v>0</v>
      </c>
    </row>
    <row r="1275" spans="1:17" x14ac:dyDescent="0.25">
      <c r="A1275" t="s">
        <v>29</v>
      </c>
      <c r="B1275" t="s">
        <v>18</v>
      </c>
      <c r="C1275">
        <v>90000</v>
      </c>
      <c r="D1275" t="s">
        <v>19</v>
      </c>
      <c r="E1275" t="s">
        <v>20</v>
      </c>
      <c r="F1275" t="s">
        <v>32</v>
      </c>
      <c r="G1275" t="s">
        <v>62</v>
      </c>
      <c r="H1275" t="s">
        <v>68</v>
      </c>
      <c r="I1275" t="s">
        <v>24</v>
      </c>
      <c r="J1275">
        <v>22801.5</v>
      </c>
      <c r="K1275">
        <v>2281.5</v>
      </c>
      <c r="L1275" t="s">
        <v>34</v>
      </c>
      <c r="M1275" t="s">
        <v>26</v>
      </c>
      <c r="N1275" t="s">
        <v>27</v>
      </c>
      <c r="O1275" t="s">
        <v>35</v>
      </c>
      <c r="P1275" t="s">
        <v>26</v>
      </c>
      <c r="Q1275">
        <v>0</v>
      </c>
    </row>
    <row r="1276" spans="1:17" x14ac:dyDescent="0.25">
      <c r="A1276" t="s">
        <v>29</v>
      </c>
      <c r="B1276" t="s">
        <v>18</v>
      </c>
      <c r="C1276">
        <v>90000</v>
      </c>
      <c r="D1276" t="s">
        <v>19</v>
      </c>
      <c r="E1276" t="s">
        <v>20</v>
      </c>
      <c r="F1276" t="s">
        <v>32</v>
      </c>
      <c r="G1276" t="s">
        <v>62</v>
      </c>
      <c r="H1276" t="s">
        <v>68</v>
      </c>
      <c r="I1276" t="s">
        <v>24</v>
      </c>
      <c r="J1276">
        <v>94094.595000000001</v>
      </c>
      <c r="K1276">
        <v>9454.0949999999993</v>
      </c>
      <c r="L1276" t="s">
        <v>38</v>
      </c>
      <c r="M1276" t="s">
        <v>26</v>
      </c>
      <c r="N1276" t="s">
        <v>27</v>
      </c>
      <c r="O1276" t="s">
        <v>35</v>
      </c>
      <c r="P1276" t="s">
        <v>26</v>
      </c>
      <c r="Q1276">
        <v>0</v>
      </c>
    </row>
    <row r="1277" spans="1:17" x14ac:dyDescent="0.25">
      <c r="A1277" t="s">
        <v>17</v>
      </c>
      <c r="B1277" t="s">
        <v>36</v>
      </c>
      <c r="C1277">
        <v>225000</v>
      </c>
      <c r="D1277" t="s">
        <v>19</v>
      </c>
      <c r="E1277" t="s">
        <v>31</v>
      </c>
      <c r="F1277" t="s">
        <v>32</v>
      </c>
      <c r="G1277" t="s">
        <v>22</v>
      </c>
      <c r="H1277" t="s">
        <v>93</v>
      </c>
      <c r="I1277" t="s">
        <v>24</v>
      </c>
      <c r="J1277">
        <v>86728.5</v>
      </c>
      <c r="K1277">
        <v>0</v>
      </c>
      <c r="L1277" t="s">
        <v>51</v>
      </c>
      <c r="M1277" t="s">
        <v>26</v>
      </c>
      <c r="N1277" t="s">
        <v>27</v>
      </c>
      <c r="O1277" t="s">
        <v>35</v>
      </c>
      <c r="P1277" t="s">
        <v>26</v>
      </c>
      <c r="Q1277">
        <v>0</v>
      </c>
    </row>
    <row r="1278" spans="1:17" x14ac:dyDescent="0.25">
      <c r="A1278" t="s">
        <v>17</v>
      </c>
      <c r="B1278" t="s">
        <v>36</v>
      </c>
      <c r="C1278">
        <v>225000</v>
      </c>
      <c r="D1278" t="s">
        <v>19</v>
      </c>
      <c r="E1278" t="s">
        <v>31</v>
      </c>
      <c r="F1278" t="s">
        <v>32</v>
      </c>
      <c r="G1278" t="s">
        <v>22</v>
      </c>
      <c r="H1278" t="s">
        <v>93</v>
      </c>
      <c r="I1278" t="s">
        <v>24</v>
      </c>
      <c r="J1278">
        <v>80685</v>
      </c>
      <c r="K1278">
        <v>4500</v>
      </c>
      <c r="L1278" t="s">
        <v>43</v>
      </c>
      <c r="M1278" t="s">
        <v>26</v>
      </c>
      <c r="N1278" t="s">
        <v>27</v>
      </c>
      <c r="O1278" t="s">
        <v>35</v>
      </c>
      <c r="P1278" t="s">
        <v>26</v>
      </c>
      <c r="Q1278">
        <v>0</v>
      </c>
    </row>
    <row r="1279" spans="1:17" x14ac:dyDescent="0.25">
      <c r="A1279" t="s">
        <v>17</v>
      </c>
      <c r="B1279" t="s">
        <v>36</v>
      </c>
      <c r="C1279">
        <v>225000</v>
      </c>
      <c r="D1279" t="s">
        <v>19</v>
      </c>
      <c r="E1279" t="s">
        <v>31</v>
      </c>
      <c r="F1279" t="s">
        <v>32</v>
      </c>
      <c r="G1279" t="s">
        <v>22</v>
      </c>
      <c r="H1279" t="s">
        <v>93</v>
      </c>
      <c r="I1279" t="s">
        <v>24</v>
      </c>
      <c r="J1279">
        <v>57100.5</v>
      </c>
      <c r="K1279">
        <v>9000</v>
      </c>
      <c r="L1279" t="s">
        <v>25</v>
      </c>
      <c r="M1279" t="s">
        <v>26</v>
      </c>
      <c r="N1279" t="s">
        <v>27</v>
      </c>
      <c r="O1279" t="s">
        <v>35</v>
      </c>
      <c r="P1279" t="s">
        <v>26</v>
      </c>
      <c r="Q1279">
        <v>0</v>
      </c>
    </row>
    <row r="1280" spans="1:17" x14ac:dyDescent="0.25">
      <c r="A1280" t="s">
        <v>29</v>
      </c>
      <c r="B1280" t="s">
        <v>18</v>
      </c>
      <c r="C1280">
        <v>162000</v>
      </c>
      <c r="D1280" t="s">
        <v>19</v>
      </c>
      <c r="E1280" t="s">
        <v>20</v>
      </c>
      <c r="F1280" t="s">
        <v>32</v>
      </c>
      <c r="G1280" t="s">
        <v>22</v>
      </c>
      <c r="H1280" t="s">
        <v>37</v>
      </c>
      <c r="I1280" t="s">
        <v>24</v>
      </c>
      <c r="J1280">
        <v>55350</v>
      </c>
      <c r="K1280">
        <v>0</v>
      </c>
      <c r="L1280" t="s">
        <v>43</v>
      </c>
      <c r="M1280" t="s">
        <v>26</v>
      </c>
      <c r="N1280" t="s">
        <v>27</v>
      </c>
      <c r="O1280" t="s">
        <v>35</v>
      </c>
      <c r="P1280" t="s">
        <v>26</v>
      </c>
      <c r="Q1280">
        <v>0</v>
      </c>
    </row>
    <row r="1281" spans="1:17" x14ac:dyDescent="0.25">
      <c r="A1281" t="s">
        <v>29</v>
      </c>
      <c r="B1281" t="s">
        <v>36</v>
      </c>
      <c r="C1281">
        <v>135000</v>
      </c>
      <c r="D1281" t="s">
        <v>44</v>
      </c>
      <c r="E1281" t="s">
        <v>20</v>
      </c>
      <c r="F1281" t="s">
        <v>21</v>
      </c>
      <c r="G1281" t="s">
        <v>22</v>
      </c>
      <c r="H1281" t="s">
        <v>49</v>
      </c>
      <c r="I1281" t="s">
        <v>24</v>
      </c>
      <c r="J1281">
        <v>29880</v>
      </c>
      <c r="K1281">
        <v>1485</v>
      </c>
      <c r="L1281" t="s">
        <v>42</v>
      </c>
      <c r="M1281" t="s">
        <v>26</v>
      </c>
      <c r="N1281" t="s">
        <v>27</v>
      </c>
      <c r="O1281" t="s">
        <v>35</v>
      </c>
      <c r="P1281" t="s">
        <v>26</v>
      </c>
      <c r="Q1281">
        <v>0</v>
      </c>
    </row>
    <row r="1282" spans="1:17" x14ac:dyDescent="0.25">
      <c r="A1282" t="s">
        <v>17</v>
      </c>
      <c r="B1282" t="s">
        <v>36</v>
      </c>
      <c r="C1282">
        <v>202500</v>
      </c>
      <c r="D1282" t="s">
        <v>19</v>
      </c>
      <c r="E1282" t="s">
        <v>20</v>
      </c>
      <c r="F1282" t="s">
        <v>39</v>
      </c>
      <c r="G1282" t="s">
        <v>22</v>
      </c>
      <c r="H1282" t="s">
        <v>106</v>
      </c>
      <c r="I1282" t="s">
        <v>24</v>
      </c>
      <c r="J1282">
        <v>30915</v>
      </c>
      <c r="K1282">
        <v>0</v>
      </c>
      <c r="L1282" t="s">
        <v>25</v>
      </c>
      <c r="M1282" t="s">
        <v>26</v>
      </c>
      <c r="N1282" t="s">
        <v>27</v>
      </c>
      <c r="O1282" t="s">
        <v>35</v>
      </c>
      <c r="P1282" t="s">
        <v>26</v>
      </c>
      <c r="Q1282">
        <v>0</v>
      </c>
    </row>
    <row r="1283" spans="1:17" x14ac:dyDescent="0.25">
      <c r="A1283" t="s">
        <v>17</v>
      </c>
      <c r="B1283" t="s">
        <v>36</v>
      </c>
      <c r="C1283">
        <v>202500</v>
      </c>
      <c r="D1283" t="s">
        <v>19</v>
      </c>
      <c r="E1283" t="s">
        <v>20</v>
      </c>
      <c r="F1283" t="s">
        <v>39</v>
      </c>
      <c r="G1283" t="s">
        <v>22</v>
      </c>
      <c r="H1283" t="s">
        <v>106</v>
      </c>
      <c r="I1283" t="s">
        <v>24</v>
      </c>
      <c r="J1283">
        <v>71039.16</v>
      </c>
      <c r="K1283">
        <v>0</v>
      </c>
      <c r="L1283" t="s">
        <v>34</v>
      </c>
      <c r="M1283" t="s">
        <v>26</v>
      </c>
      <c r="N1283" t="s">
        <v>27</v>
      </c>
      <c r="O1283" t="s">
        <v>35</v>
      </c>
      <c r="P1283" t="s">
        <v>26</v>
      </c>
      <c r="Q1283">
        <v>0</v>
      </c>
    </row>
    <row r="1284" spans="1:17" x14ac:dyDescent="0.25">
      <c r="A1284" t="s">
        <v>17</v>
      </c>
      <c r="B1284" t="s">
        <v>36</v>
      </c>
      <c r="C1284">
        <v>121500</v>
      </c>
      <c r="D1284" t="s">
        <v>19</v>
      </c>
      <c r="E1284" t="s">
        <v>20</v>
      </c>
      <c r="F1284" t="s">
        <v>21</v>
      </c>
      <c r="G1284" t="s">
        <v>73</v>
      </c>
      <c r="H1284" t="s">
        <v>23</v>
      </c>
      <c r="I1284" t="s">
        <v>24</v>
      </c>
      <c r="J1284">
        <v>103184.55</v>
      </c>
      <c r="K1284">
        <v>4.05</v>
      </c>
      <c r="L1284" t="s">
        <v>43</v>
      </c>
      <c r="M1284" t="s">
        <v>26</v>
      </c>
      <c r="N1284" t="s">
        <v>27</v>
      </c>
      <c r="O1284" t="s">
        <v>35</v>
      </c>
      <c r="P1284" t="s">
        <v>26</v>
      </c>
      <c r="Q1284">
        <v>0</v>
      </c>
    </row>
    <row r="1285" spans="1:17" x14ac:dyDescent="0.25">
      <c r="A1285" t="s">
        <v>29</v>
      </c>
      <c r="B1285" t="s">
        <v>18</v>
      </c>
      <c r="C1285">
        <v>112500</v>
      </c>
      <c r="D1285" t="s">
        <v>19</v>
      </c>
      <c r="E1285" t="s">
        <v>31</v>
      </c>
      <c r="F1285" t="s">
        <v>32</v>
      </c>
      <c r="G1285" t="s">
        <v>22</v>
      </c>
      <c r="H1285" t="s">
        <v>33</v>
      </c>
      <c r="I1285" t="s">
        <v>24</v>
      </c>
      <c r="J1285">
        <v>20191.5</v>
      </c>
      <c r="K1285">
        <v>0</v>
      </c>
      <c r="L1285" t="s">
        <v>43</v>
      </c>
      <c r="M1285" t="s">
        <v>26</v>
      </c>
      <c r="N1285" t="s">
        <v>27</v>
      </c>
      <c r="O1285" t="s">
        <v>35</v>
      </c>
      <c r="P1285" t="s">
        <v>26</v>
      </c>
      <c r="Q1285">
        <v>0</v>
      </c>
    </row>
    <row r="1286" spans="1:17" x14ac:dyDescent="0.25">
      <c r="A1286" t="s">
        <v>29</v>
      </c>
      <c r="B1286" t="s">
        <v>36</v>
      </c>
      <c r="C1286">
        <v>225000</v>
      </c>
      <c r="D1286" t="s">
        <v>19</v>
      </c>
      <c r="E1286" t="s">
        <v>31</v>
      </c>
      <c r="F1286" t="s">
        <v>32</v>
      </c>
      <c r="G1286" t="s">
        <v>22</v>
      </c>
      <c r="H1286" t="s">
        <v>49</v>
      </c>
      <c r="I1286" t="s">
        <v>24</v>
      </c>
      <c r="J1286">
        <v>354330</v>
      </c>
      <c r="K1286">
        <v>35433</v>
      </c>
      <c r="L1286" t="s">
        <v>45</v>
      </c>
      <c r="M1286" t="s">
        <v>26</v>
      </c>
      <c r="N1286" t="s">
        <v>58</v>
      </c>
      <c r="O1286" t="s">
        <v>35</v>
      </c>
      <c r="P1286" t="s">
        <v>59</v>
      </c>
      <c r="Q1286">
        <v>1</v>
      </c>
    </row>
    <row r="1287" spans="1:17" x14ac:dyDescent="0.25">
      <c r="A1287" t="s">
        <v>29</v>
      </c>
      <c r="B1287" t="s">
        <v>36</v>
      </c>
      <c r="C1287">
        <v>225000</v>
      </c>
      <c r="D1287" t="s">
        <v>19</v>
      </c>
      <c r="E1287" t="s">
        <v>31</v>
      </c>
      <c r="F1287" t="s">
        <v>32</v>
      </c>
      <c r="G1287" t="s">
        <v>22</v>
      </c>
      <c r="H1287" t="s">
        <v>49</v>
      </c>
      <c r="I1287" t="s">
        <v>24</v>
      </c>
      <c r="J1287">
        <v>124200</v>
      </c>
      <c r="K1287">
        <v>0</v>
      </c>
      <c r="L1287" t="s">
        <v>45</v>
      </c>
      <c r="M1287" t="s">
        <v>26</v>
      </c>
      <c r="N1287" t="s">
        <v>27</v>
      </c>
      <c r="O1287" t="s">
        <v>35</v>
      </c>
      <c r="P1287" t="s">
        <v>26</v>
      </c>
      <c r="Q1287">
        <v>0</v>
      </c>
    </row>
    <row r="1288" spans="1:17" x14ac:dyDescent="0.25">
      <c r="A1288" t="s">
        <v>29</v>
      </c>
      <c r="B1288" t="s">
        <v>36</v>
      </c>
      <c r="C1288">
        <v>67500</v>
      </c>
      <c r="D1288" t="s">
        <v>19</v>
      </c>
      <c r="E1288" t="s">
        <v>20</v>
      </c>
      <c r="F1288" t="s">
        <v>32</v>
      </c>
      <c r="G1288" t="s">
        <v>22</v>
      </c>
      <c r="H1288" t="s">
        <v>86</v>
      </c>
      <c r="I1288" t="s">
        <v>24</v>
      </c>
      <c r="J1288">
        <v>26235</v>
      </c>
      <c r="K1288">
        <v>0</v>
      </c>
      <c r="L1288" t="s">
        <v>42</v>
      </c>
      <c r="M1288" t="s">
        <v>26</v>
      </c>
      <c r="N1288" t="s">
        <v>76</v>
      </c>
      <c r="O1288" t="s">
        <v>35</v>
      </c>
      <c r="P1288" t="s">
        <v>77</v>
      </c>
      <c r="Q1288">
        <v>0</v>
      </c>
    </row>
    <row r="1289" spans="1:17" x14ac:dyDescent="0.25">
      <c r="A1289" t="s">
        <v>29</v>
      </c>
      <c r="B1289" t="s">
        <v>36</v>
      </c>
      <c r="C1289">
        <v>67500</v>
      </c>
      <c r="D1289" t="s">
        <v>19</v>
      </c>
      <c r="E1289" t="s">
        <v>20</v>
      </c>
      <c r="F1289" t="s">
        <v>32</v>
      </c>
      <c r="G1289" t="s">
        <v>22</v>
      </c>
      <c r="H1289" t="s">
        <v>86</v>
      </c>
      <c r="I1289" t="s">
        <v>24</v>
      </c>
      <c r="J1289">
        <v>35865</v>
      </c>
      <c r="K1289">
        <v>3600</v>
      </c>
      <c r="L1289" t="s">
        <v>25</v>
      </c>
      <c r="M1289" t="s">
        <v>26</v>
      </c>
      <c r="N1289" t="s">
        <v>27</v>
      </c>
      <c r="O1289" t="s">
        <v>35</v>
      </c>
      <c r="P1289" t="s">
        <v>26</v>
      </c>
      <c r="Q1289">
        <v>0</v>
      </c>
    </row>
    <row r="1290" spans="1:17" x14ac:dyDescent="0.25">
      <c r="A1290" t="s">
        <v>17</v>
      </c>
      <c r="B1290" t="s">
        <v>36</v>
      </c>
      <c r="C1290">
        <v>225000</v>
      </c>
      <c r="D1290" t="s">
        <v>19</v>
      </c>
      <c r="E1290" t="s">
        <v>20</v>
      </c>
      <c r="F1290" t="s">
        <v>32</v>
      </c>
      <c r="G1290" t="s">
        <v>22</v>
      </c>
      <c r="H1290" t="s">
        <v>57</v>
      </c>
      <c r="I1290" t="s">
        <v>24</v>
      </c>
      <c r="J1290">
        <v>206991</v>
      </c>
      <c r="K1290">
        <v>9000</v>
      </c>
      <c r="L1290" t="s">
        <v>34</v>
      </c>
      <c r="M1290" t="s">
        <v>26</v>
      </c>
      <c r="N1290" t="s">
        <v>58</v>
      </c>
      <c r="O1290" t="s">
        <v>35</v>
      </c>
      <c r="P1290" t="s">
        <v>64</v>
      </c>
      <c r="Q1290">
        <v>1</v>
      </c>
    </row>
    <row r="1291" spans="1:17" x14ac:dyDescent="0.25">
      <c r="A1291" t="s">
        <v>17</v>
      </c>
      <c r="B1291" t="s">
        <v>36</v>
      </c>
      <c r="C1291">
        <v>225000</v>
      </c>
      <c r="D1291" t="s">
        <v>19</v>
      </c>
      <c r="E1291" t="s">
        <v>20</v>
      </c>
      <c r="F1291" t="s">
        <v>32</v>
      </c>
      <c r="G1291" t="s">
        <v>22</v>
      </c>
      <c r="H1291" t="s">
        <v>57</v>
      </c>
      <c r="I1291" t="s">
        <v>24</v>
      </c>
      <c r="J1291">
        <v>25375.5</v>
      </c>
      <c r="K1291">
        <v>2538</v>
      </c>
      <c r="L1291" t="s">
        <v>43</v>
      </c>
      <c r="M1291" t="s">
        <v>26</v>
      </c>
      <c r="N1291" t="s">
        <v>27</v>
      </c>
      <c r="O1291" t="s">
        <v>35</v>
      </c>
      <c r="P1291" t="s">
        <v>26</v>
      </c>
      <c r="Q1291">
        <v>0</v>
      </c>
    </row>
    <row r="1292" spans="1:17" x14ac:dyDescent="0.25">
      <c r="A1292" t="s">
        <v>17</v>
      </c>
      <c r="B1292" t="s">
        <v>36</v>
      </c>
      <c r="C1292">
        <v>225000</v>
      </c>
      <c r="D1292" t="s">
        <v>19</v>
      </c>
      <c r="E1292" t="s">
        <v>20</v>
      </c>
      <c r="F1292" t="s">
        <v>32</v>
      </c>
      <c r="G1292" t="s">
        <v>22</v>
      </c>
      <c r="H1292" t="s">
        <v>57</v>
      </c>
      <c r="I1292" t="s">
        <v>24</v>
      </c>
      <c r="J1292">
        <v>121365</v>
      </c>
      <c r="K1292">
        <v>18810</v>
      </c>
      <c r="L1292" t="s">
        <v>45</v>
      </c>
      <c r="M1292" t="s">
        <v>26</v>
      </c>
      <c r="N1292" t="s">
        <v>27</v>
      </c>
      <c r="O1292" t="s">
        <v>28</v>
      </c>
      <c r="P1292" t="s">
        <v>26</v>
      </c>
      <c r="Q1292">
        <v>0</v>
      </c>
    </row>
    <row r="1293" spans="1:17" x14ac:dyDescent="0.25">
      <c r="A1293" t="s">
        <v>17</v>
      </c>
      <c r="B1293" t="s">
        <v>36</v>
      </c>
      <c r="C1293">
        <v>225000</v>
      </c>
      <c r="D1293" t="s">
        <v>19</v>
      </c>
      <c r="E1293" t="s">
        <v>20</v>
      </c>
      <c r="F1293" t="s">
        <v>32</v>
      </c>
      <c r="G1293" t="s">
        <v>22</v>
      </c>
      <c r="H1293" t="s">
        <v>57</v>
      </c>
      <c r="I1293" t="s">
        <v>24</v>
      </c>
      <c r="J1293">
        <v>51120</v>
      </c>
      <c r="K1293">
        <v>5175</v>
      </c>
      <c r="L1293" t="s">
        <v>43</v>
      </c>
      <c r="M1293" t="s">
        <v>26</v>
      </c>
      <c r="N1293" t="s">
        <v>27</v>
      </c>
      <c r="O1293" t="s">
        <v>28</v>
      </c>
      <c r="P1293" t="s">
        <v>26</v>
      </c>
      <c r="Q1293">
        <v>0</v>
      </c>
    </row>
    <row r="1294" spans="1:17" x14ac:dyDescent="0.25">
      <c r="A1294" t="s">
        <v>17</v>
      </c>
      <c r="B1294" t="s">
        <v>36</v>
      </c>
      <c r="C1294">
        <v>225000</v>
      </c>
      <c r="D1294" t="s">
        <v>19</v>
      </c>
      <c r="E1294" t="s">
        <v>20</v>
      </c>
      <c r="F1294" t="s">
        <v>32</v>
      </c>
      <c r="G1294" t="s">
        <v>22</v>
      </c>
      <c r="H1294" t="s">
        <v>57</v>
      </c>
      <c r="I1294" t="s">
        <v>24</v>
      </c>
      <c r="J1294">
        <v>114660</v>
      </c>
      <c r="K1294">
        <v>0</v>
      </c>
      <c r="L1294" t="s">
        <v>38</v>
      </c>
      <c r="M1294" t="s">
        <v>26</v>
      </c>
      <c r="N1294" t="s">
        <v>58</v>
      </c>
      <c r="O1294" t="s">
        <v>35</v>
      </c>
      <c r="P1294" t="s">
        <v>64</v>
      </c>
      <c r="Q1294">
        <v>1</v>
      </c>
    </row>
    <row r="1295" spans="1:17" x14ac:dyDescent="0.25">
      <c r="A1295" t="s">
        <v>17</v>
      </c>
      <c r="B1295" t="s">
        <v>36</v>
      </c>
      <c r="C1295">
        <v>157500</v>
      </c>
      <c r="D1295" t="s">
        <v>19</v>
      </c>
      <c r="E1295" t="s">
        <v>31</v>
      </c>
      <c r="F1295" t="s">
        <v>32</v>
      </c>
      <c r="G1295" t="s">
        <v>22</v>
      </c>
      <c r="H1295" t="s">
        <v>79</v>
      </c>
      <c r="I1295" t="s">
        <v>24</v>
      </c>
      <c r="J1295">
        <v>31495.5</v>
      </c>
      <c r="K1295">
        <v>0</v>
      </c>
      <c r="L1295" t="s">
        <v>43</v>
      </c>
      <c r="M1295" t="s">
        <v>26</v>
      </c>
      <c r="N1295" t="s">
        <v>27</v>
      </c>
      <c r="O1295" t="s">
        <v>35</v>
      </c>
      <c r="P1295" t="s">
        <v>26</v>
      </c>
      <c r="Q1295">
        <v>0</v>
      </c>
    </row>
    <row r="1296" spans="1:17" x14ac:dyDescent="0.25">
      <c r="A1296" t="s">
        <v>17</v>
      </c>
      <c r="B1296" t="s">
        <v>36</v>
      </c>
      <c r="C1296">
        <v>157500</v>
      </c>
      <c r="D1296" t="s">
        <v>19</v>
      </c>
      <c r="E1296" t="s">
        <v>31</v>
      </c>
      <c r="F1296" t="s">
        <v>32</v>
      </c>
      <c r="G1296" t="s">
        <v>22</v>
      </c>
      <c r="H1296" t="s">
        <v>79</v>
      </c>
      <c r="I1296" t="s">
        <v>24</v>
      </c>
      <c r="J1296">
        <v>58135.5</v>
      </c>
      <c r="K1296">
        <v>9000</v>
      </c>
      <c r="L1296" t="s">
        <v>38</v>
      </c>
      <c r="M1296" t="s">
        <v>26</v>
      </c>
      <c r="N1296" t="s">
        <v>27</v>
      </c>
      <c r="O1296" t="s">
        <v>35</v>
      </c>
      <c r="P1296" t="s">
        <v>26</v>
      </c>
      <c r="Q1296">
        <v>0</v>
      </c>
    </row>
    <row r="1297" spans="1:17" x14ac:dyDescent="0.25">
      <c r="A1297" t="s">
        <v>29</v>
      </c>
      <c r="B1297" t="s">
        <v>18</v>
      </c>
      <c r="C1297">
        <v>180000</v>
      </c>
      <c r="D1297" t="s">
        <v>19</v>
      </c>
      <c r="E1297" t="s">
        <v>31</v>
      </c>
      <c r="F1297" t="s">
        <v>21</v>
      </c>
      <c r="G1297" t="s">
        <v>22</v>
      </c>
      <c r="H1297" t="s">
        <v>37</v>
      </c>
      <c r="I1297" t="s">
        <v>24</v>
      </c>
      <c r="J1297">
        <v>62095.5</v>
      </c>
      <c r="K1297">
        <v>6210</v>
      </c>
      <c r="L1297" t="s">
        <v>34</v>
      </c>
      <c r="M1297" t="s">
        <v>26</v>
      </c>
      <c r="N1297" t="s">
        <v>27</v>
      </c>
      <c r="O1297" t="s">
        <v>28</v>
      </c>
      <c r="P1297" t="s">
        <v>26</v>
      </c>
      <c r="Q1297">
        <v>0</v>
      </c>
    </row>
    <row r="1298" spans="1:17" x14ac:dyDescent="0.25">
      <c r="A1298" t="s">
        <v>29</v>
      </c>
      <c r="B1298" t="s">
        <v>18</v>
      </c>
      <c r="C1298">
        <v>180000</v>
      </c>
      <c r="D1298" t="s">
        <v>19</v>
      </c>
      <c r="E1298" t="s">
        <v>31</v>
      </c>
      <c r="F1298" t="s">
        <v>21</v>
      </c>
      <c r="G1298" t="s">
        <v>22</v>
      </c>
      <c r="H1298" t="s">
        <v>37</v>
      </c>
      <c r="I1298" t="s">
        <v>24</v>
      </c>
      <c r="J1298">
        <v>66582</v>
      </c>
      <c r="K1298">
        <v>0</v>
      </c>
      <c r="L1298" t="s">
        <v>25</v>
      </c>
      <c r="M1298" t="s">
        <v>26</v>
      </c>
      <c r="N1298" t="s">
        <v>27</v>
      </c>
      <c r="O1298" t="s">
        <v>35</v>
      </c>
      <c r="P1298" t="s">
        <v>26</v>
      </c>
      <c r="Q1298">
        <v>0</v>
      </c>
    </row>
    <row r="1299" spans="1:17" x14ac:dyDescent="0.25">
      <c r="A1299" t="s">
        <v>29</v>
      </c>
      <c r="B1299" t="s">
        <v>18</v>
      </c>
      <c r="C1299">
        <v>180000</v>
      </c>
      <c r="D1299" t="s">
        <v>19</v>
      </c>
      <c r="E1299" t="s">
        <v>31</v>
      </c>
      <c r="F1299" t="s">
        <v>21</v>
      </c>
      <c r="G1299" t="s">
        <v>22</v>
      </c>
      <c r="H1299" t="s">
        <v>37</v>
      </c>
      <c r="I1299" t="s">
        <v>24</v>
      </c>
      <c r="J1299">
        <v>134959.23000000001</v>
      </c>
      <c r="K1299">
        <v>13499.73</v>
      </c>
      <c r="L1299" t="s">
        <v>51</v>
      </c>
      <c r="M1299" t="s">
        <v>26</v>
      </c>
      <c r="N1299" t="s">
        <v>27</v>
      </c>
      <c r="O1299" t="s">
        <v>35</v>
      </c>
      <c r="P1299" t="s">
        <v>26</v>
      </c>
      <c r="Q1299">
        <v>0</v>
      </c>
    </row>
    <row r="1300" spans="1:17" x14ac:dyDescent="0.25">
      <c r="A1300" t="s">
        <v>29</v>
      </c>
      <c r="B1300" t="s">
        <v>18</v>
      </c>
      <c r="C1300">
        <v>180000</v>
      </c>
      <c r="D1300" t="s">
        <v>19</v>
      </c>
      <c r="E1300" t="s">
        <v>31</v>
      </c>
      <c r="F1300" t="s">
        <v>21</v>
      </c>
      <c r="G1300" t="s">
        <v>22</v>
      </c>
      <c r="H1300" t="s">
        <v>37</v>
      </c>
      <c r="I1300" t="s">
        <v>24</v>
      </c>
      <c r="J1300">
        <v>137520</v>
      </c>
      <c r="K1300">
        <v>13752</v>
      </c>
      <c r="L1300" t="s">
        <v>43</v>
      </c>
      <c r="M1300" t="s">
        <v>26</v>
      </c>
      <c r="N1300" t="s">
        <v>27</v>
      </c>
      <c r="O1300" t="s">
        <v>35</v>
      </c>
      <c r="P1300" t="s">
        <v>26</v>
      </c>
      <c r="Q1300">
        <v>0</v>
      </c>
    </row>
    <row r="1301" spans="1:17" x14ac:dyDescent="0.25">
      <c r="A1301" t="s">
        <v>29</v>
      </c>
      <c r="B1301" t="s">
        <v>36</v>
      </c>
      <c r="C1301">
        <v>540000</v>
      </c>
      <c r="D1301" t="s">
        <v>19</v>
      </c>
      <c r="E1301" t="s">
        <v>20</v>
      </c>
      <c r="F1301" t="s">
        <v>32</v>
      </c>
      <c r="G1301" t="s">
        <v>22</v>
      </c>
      <c r="H1301" t="s">
        <v>92</v>
      </c>
      <c r="I1301" t="s">
        <v>24</v>
      </c>
      <c r="J1301">
        <v>31855.5</v>
      </c>
      <c r="K1301">
        <v>13500</v>
      </c>
      <c r="L1301" t="s">
        <v>25</v>
      </c>
      <c r="M1301" t="s">
        <v>26</v>
      </c>
      <c r="N1301" t="s">
        <v>27</v>
      </c>
      <c r="O1301" t="s">
        <v>35</v>
      </c>
      <c r="P1301" t="s">
        <v>26</v>
      </c>
      <c r="Q1301">
        <v>0</v>
      </c>
    </row>
    <row r="1302" spans="1:17" x14ac:dyDescent="0.25">
      <c r="A1302" t="s">
        <v>17</v>
      </c>
      <c r="B1302" t="s">
        <v>36</v>
      </c>
      <c r="C1302">
        <v>173250</v>
      </c>
      <c r="D1302" t="s">
        <v>44</v>
      </c>
      <c r="E1302" t="s">
        <v>20</v>
      </c>
      <c r="F1302" t="s">
        <v>21</v>
      </c>
      <c r="G1302" t="s">
        <v>22</v>
      </c>
      <c r="H1302" t="s">
        <v>23</v>
      </c>
      <c r="I1302" t="s">
        <v>24</v>
      </c>
      <c r="J1302">
        <v>47241</v>
      </c>
      <c r="K1302">
        <v>6750</v>
      </c>
      <c r="L1302" t="s">
        <v>42</v>
      </c>
      <c r="M1302" t="s">
        <v>26</v>
      </c>
      <c r="N1302" t="s">
        <v>27</v>
      </c>
      <c r="O1302" t="s">
        <v>35</v>
      </c>
      <c r="P1302" t="s">
        <v>26</v>
      </c>
      <c r="Q1302">
        <v>0</v>
      </c>
    </row>
    <row r="1303" spans="1:17" x14ac:dyDescent="0.25">
      <c r="A1303" t="s">
        <v>29</v>
      </c>
      <c r="B1303" t="s">
        <v>18</v>
      </c>
      <c r="C1303">
        <v>121500</v>
      </c>
      <c r="D1303" t="s">
        <v>19</v>
      </c>
      <c r="E1303" t="s">
        <v>20</v>
      </c>
      <c r="F1303" t="s">
        <v>21</v>
      </c>
      <c r="G1303" t="s">
        <v>22</v>
      </c>
      <c r="H1303" t="s">
        <v>49</v>
      </c>
      <c r="I1303" t="s">
        <v>24</v>
      </c>
      <c r="J1303">
        <v>108000</v>
      </c>
      <c r="K1303">
        <v>10800</v>
      </c>
      <c r="L1303" t="s">
        <v>45</v>
      </c>
      <c r="M1303" t="s">
        <v>26</v>
      </c>
      <c r="N1303" t="s">
        <v>58</v>
      </c>
      <c r="O1303" t="s">
        <v>35</v>
      </c>
      <c r="P1303" t="s">
        <v>60</v>
      </c>
      <c r="Q1303">
        <v>1</v>
      </c>
    </row>
    <row r="1304" spans="1:17" x14ac:dyDescent="0.25">
      <c r="A1304" t="s">
        <v>29</v>
      </c>
      <c r="B1304" t="s">
        <v>18</v>
      </c>
      <c r="C1304">
        <v>121500</v>
      </c>
      <c r="D1304" t="s">
        <v>19</v>
      </c>
      <c r="E1304" t="s">
        <v>20</v>
      </c>
      <c r="F1304" t="s">
        <v>21</v>
      </c>
      <c r="G1304" t="s">
        <v>22</v>
      </c>
      <c r="H1304" t="s">
        <v>49</v>
      </c>
      <c r="I1304" t="s">
        <v>24</v>
      </c>
      <c r="J1304">
        <v>33660</v>
      </c>
      <c r="K1304">
        <v>0</v>
      </c>
      <c r="L1304" t="s">
        <v>34</v>
      </c>
      <c r="M1304" t="s">
        <v>26</v>
      </c>
      <c r="N1304" t="s">
        <v>58</v>
      </c>
      <c r="O1304" t="s">
        <v>35</v>
      </c>
      <c r="P1304" t="s">
        <v>64</v>
      </c>
      <c r="Q1304">
        <v>1</v>
      </c>
    </row>
    <row r="1305" spans="1:17" x14ac:dyDescent="0.25">
      <c r="A1305" t="s">
        <v>29</v>
      </c>
      <c r="B1305" t="s">
        <v>18</v>
      </c>
      <c r="C1305">
        <v>121500</v>
      </c>
      <c r="D1305" t="s">
        <v>19</v>
      </c>
      <c r="E1305" t="s">
        <v>20</v>
      </c>
      <c r="F1305" t="s">
        <v>21</v>
      </c>
      <c r="G1305" t="s">
        <v>22</v>
      </c>
      <c r="H1305" t="s">
        <v>49</v>
      </c>
      <c r="I1305" t="s">
        <v>24</v>
      </c>
      <c r="J1305">
        <v>108000</v>
      </c>
      <c r="K1305">
        <v>10800</v>
      </c>
      <c r="L1305" t="s">
        <v>51</v>
      </c>
      <c r="M1305" t="s">
        <v>26</v>
      </c>
      <c r="N1305" t="s">
        <v>58</v>
      </c>
      <c r="O1305" t="s">
        <v>35</v>
      </c>
      <c r="P1305" t="s">
        <v>60</v>
      </c>
      <c r="Q1305">
        <v>1</v>
      </c>
    </row>
    <row r="1306" spans="1:17" x14ac:dyDescent="0.25">
      <c r="A1306" t="s">
        <v>29</v>
      </c>
      <c r="B1306" t="s">
        <v>18</v>
      </c>
      <c r="C1306">
        <v>121500</v>
      </c>
      <c r="D1306" t="s">
        <v>19</v>
      </c>
      <c r="E1306" t="s">
        <v>20</v>
      </c>
      <c r="F1306" t="s">
        <v>21</v>
      </c>
      <c r="G1306" t="s">
        <v>22</v>
      </c>
      <c r="H1306" t="s">
        <v>49</v>
      </c>
      <c r="I1306" t="s">
        <v>24</v>
      </c>
      <c r="J1306">
        <v>108000</v>
      </c>
      <c r="K1306">
        <v>10800</v>
      </c>
      <c r="L1306" t="s">
        <v>45</v>
      </c>
      <c r="M1306" t="s">
        <v>26</v>
      </c>
      <c r="N1306" t="s">
        <v>58</v>
      </c>
      <c r="O1306" t="s">
        <v>35</v>
      </c>
      <c r="P1306" t="s">
        <v>60</v>
      </c>
      <c r="Q1306">
        <v>1</v>
      </c>
    </row>
    <row r="1307" spans="1:17" x14ac:dyDescent="0.25">
      <c r="A1307" t="s">
        <v>29</v>
      </c>
      <c r="B1307" t="s">
        <v>18</v>
      </c>
      <c r="C1307">
        <v>121500</v>
      </c>
      <c r="D1307" t="s">
        <v>19</v>
      </c>
      <c r="E1307" t="s">
        <v>20</v>
      </c>
      <c r="F1307" t="s">
        <v>21</v>
      </c>
      <c r="G1307" t="s">
        <v>22</v>
      </c>
      <c r="H1307" t="s">
        <v>49</v>
      </c>
      <c r="I1307" t="s">
        <v>24</v>
      </c>
      <c r="J1307">
        <v>31977</v>
      </c>
      <c r="K1307">
        <v>0</v>
      </c>
      <c r="L1307" t="s">
        <v>34</v>
      </c>
      <c r="M1307" t="s">
        <v>26</v>
      </c>
      <c r="N1307" t="s">
        <v>58</v>
      </c>
      <c r="O1307" t="s">
        <v>35</v>
      </c>
      <c r="P1307" t="s">
        <v>59</v>
      </c>
      <c r="Q1307">
        <v>1</v>
      </c>
    </row>
    <row r="1308" spans="1:17" x14ac:dyDescent="0.25">
      <c r="A1308" t="s">
        <v>29</v>
      </c>
      <c r="B1308" t="s">
        <v>18</v>
      </c>
      <c r="C1308">
        <v>121500</v>
      </c>
      <c r="D1308" t="s">
        <v>19</v>
      </c>
      <c r="E1308" t="s">
        <v>20</v>
      </c>
      <c r="F1308" t="s">
        <v>21</v>
      </c>
      <c r="G1308" t="s">
        <v>22</v>
      </c>
      <c r="H1308" t="s">
        <v>49</v>
      </c>
      <c r="I1308" t="s">
        <v>24</v>
      </c>
      <c r="J1308">
        <v>24705</v>
      </c>
      <c r="K1308">
        <v>0</v>
      </c>
      <c r="L1308" t="s">
        <v>25</v>
      </c>
      <c r="M1308" t="s">
        <v>26</v>
      </c>
      <c r="N1308" t="s">
        <v>76</v>
      </c>
      <c r="O1308" t="s">
        <v>35</v>
      </c>
      <c r="P1308" t="s">
        <v>77</v>
      </c>
      <c r="Q1308">
        <v>0</v>
      </c>
    </row>
    <row r="1309" spans="1:17" x14ac:dyDescent="0.25">
      <c r="A1309" t="s">
        <v>29</v>
      </c>
      <c r="B1309" t="s">
        <v>18</v>
      </c>
      <c r="C1309">
        <v>121500</v>
      </c>
      <c r="D1309" t="s">
        <v>19</v>
      </c>
      <c r="E1309" t="s">
        <v>20</v>
      </c>
      <c r="F1309" t="s">
        <v>21</v>
      </c>
      <c r="G1309" t="s">
        <v>22</v>
      </c>
      <c r="H1309" t="s">
        <v>49</v>
      </c>
      <c r="I1309" t="s">
        <v>24</v>
      </c>
      <c r="J1309">
        <v>147024</v>
      </c>
      <c r="K1309">
        <v>14706</v>
      </c>
      <c r="L1309" t="s">
        <v>34</v>
      </c>
      <c r="M1309" t="s">
        <v>26</v>
      </c>
      <c r="N1309" t="s">
        <v>27</v>
      </c>
      <c r="O1309" t="s">
        <v>35</v>
      </c>
      <c r="P1309" t="s">
        <v>26</v>
      </c>
      <c r="Q1309">
        <v>0</v>
      </c>
    </row>
    <row r="1310" spans="1:17" x14ac:dyDescent="0.25">
      <c r="A1310" t="s">
        <v>29</v>
      </c>
      <c r="B1310" t="s">
        <v>18</v>
      </c>
      <c r="C1310">
        <v>121500</v>
      </c>
      <c r="D1310" t="s">
        <v>19</v>
      </c>
      <c r="E1310" t="s">
        <v>20</v>
      </c>
      <c r="F1310" t="s">
        <v>21</v>
      </c>
      <c r="G1310" t="s">
        <v>22</v>
      </c>
      <c r="H1310" t="s">
        <v>49</v>
      </c>
      <c r="I1310" t="s">
        <v>24</v>
      </c>
      <c r="J1310">
        <v>102221.595</v>
      </c>
      <c r="K1310">
        <v>4.0949999999999998</v>
      </c>
      <c r="L1310" t="s">
        <v>42</v>
      </c>
      <c r="M1310" t="s">
        <v>26</v>
      </c>
      <c r="N1310" t="s">
        <v>27</v>
      </c>
      <c r="O1310" t="s">
        <v>35</v>
      </c>
      <c r="P1310" t="s">
        <v>26</v>
      </c>
      <c r="Q1310">
        <v>0</v>
      </c>
    </row>
    <row r="1311" spans="1:17" x14ac:dyDescent="0.25">
      <c r="A1311" t="s">
        <v>29</v>
      </c>
      <c r="B1311" t="s">
        <v>18</v>
      </c>
      <c r="C1311">
        <v>121500</v>
      </c>
      <c r="D1311" t="s">
        <v>19</v>
      </c>
      <c r="E1311" t="s">
        <v>20</v>
      </c>
      <c r="F1311" t="s">
        <v>21</v>
      </c>
      <c r="G1311" t="s">
        <v>22</v>
      </c>
      <c r="H1311" t="s">
        <v>49</v>
      </c>
      <c r="I1311" t="s">
        <v>24</v>
      </c>
      <c r="J1311">
        <v>71955</v>
      </c>
      <c r="K1311">
        <v>13500</v>
      </c>
      <c r="L1311" t="s">
        <v>25</v>
      </c>
      <c r="M1311" t="s">
        <v>26</v>
      </c>
      <c r="N1311" t="s">
        <v>27</v>
      </c>
      <c r="O1311" t="s">
        <v>35</v>
      </c>
      <c r="P1311" t="s">
        <v>26</v>
      </c>
      <c r="Q1311">
        <v>0</v>
      </c>
    </row>
    <row r="1312" spans="1:17" x14ac:dyDescent="0.25">
      <c r="A1312" t="s">
        <v>29</v>
      </c>
      <c r="B1312" t="s">
        <v>18</v>
      </c>
      <c r="C1312">
        <v>121500</v>
      </c>
      <c r="D1312" t="s">
        <v>19</v>
      </c>
      <c r="E1312" t="s">
        <v>20</v>
      </c>
      <c r="F1312" t="s">
        <v>21</v>
      </c>
      <c r="G1312" t="s">
        <v>22</v>
      </c>
      <c r="H1312" t="s">
        <v>49</v>
      </c>
      <c r="I1312" t="s">
        <v>24</v>
      </c>
      <c r="J1312">
        <v>234135.09</v>
      </c>
      <c r="K1312">
        <v>23413.59</v>
      </c>
      <c r="L1312" t="s">
        <v>51</v>
      </c>
      <c r="M1312" t="s">
        <v>26</v>
      </c>
      <c r="N1312" t="s">
        <v>27</v>
      </c>
      <c r="O1312" t="s">
        <v>35</v>
      </c>
      <c r="P1312" t="s">
        <v>26</v>
      </c>
      <c r="Q1312">
        <v>0</v>
      </c>
    </row>
    <row r="1313" spans="1:17" x14ac:dyDescent="0.25">
      <c r="A1313" t="s">
        <v>29</v>
      </c>
      <c r="B1313" t="s">
        <v>18</v>
      </c>
      <c r="C1313">
        <v>126000</v>
      </c>
      <c r="D1313" t="s">
        <v>19</v>
      </c>
      <c r="E1313" t="s">
        <v>20</v>
      </c>
      <c r="F1313" t="s">
        <v>54</v>
      </c>
      <c r="G1313" t="s">
        <v>22</v>
      </c>
      <c r="H1313" t="s">
        <v>23</v>
      </c>
      <c r="I1313" t="s">
        <v>24</v>
      </c>
      <c r="J1313">
        <v>19435.5</v>
      </c>
      <c r="K1313">
        <v>1944</v>
      </c>
      <c r="L1313" t="s">
        <v>42</v>
      </c>
      <c r="M1313" t="s">
        <v>26</v>
      </c>
      <c r="N1313" t="s">
        <v>27</v>
      </c>
      <c r="O1313" t="s">
        <v>35</v>
      </c>
      <c r="P1313" t="s">
        <v>26</v>
      </c>
      <c r="Q1313">
        <v>0</v>
      </c>
    </row>
    <row r="1314" spans="1:17" x14ac:dyDescent="0.25">
      <c r="A1314" t="s">
        <v>17</v>
      </c>
      <c r="B1314" t="s">
        <v>36</v>
      </c>
      <c r="C1314">
        <v>202500</v>
      </c>
      <c r="D1314" t="s">
        <v>44</v>
      </c>
      <c r="E1314" t="s">
        <v>31</v>
      </c>
      <c r="F1314" t="s">
        <v>32</v>
      </c>
      <c r="G1314" t="s">
        <v>22</v>
      </c>
      <c r="H1314" t="s">
        <v>23</v>
      </c>
      <c r="I1314" t="s">
        <v>24</v>
      </c>
      <c r="J1314">
        <v>74155.5</v>
      </c>
      <c r="K1314">
        <v>0</v>
      </c>
      <c r="L1314" t="s">
        <v>45</v>
      </c>
      <c r="M1314" t="s">
        <v>26</v>
      </c>
      <c r="N1314" t="s">
        <v>27</v>
      </c>
      <c r="O1314" t="s">
        <v>35</v>
      </c>
      <c r="P1314" t="s">
        <v>26</v>
      </c>
      <c r="Q1314">
        <v>0</v>
      </c>
    </row>
    <row r="1315" spans="1:17" x14ac:dyDescent="0.25">
      <c r="A1315" t="s">
        <v>29</v>
      </c>
      <c r="B1315" t="s">
        <v>18</v>
      </c>
      <c r="C1315">
        <v>90000</v>
      </c>
      <c r="D1315" t="s">
        <v>19</v>
      </c>
      <c r="E1315" t="s">
        <v>20</v>
      </c>
      <c r="F1315" t="s">
        <v>32</v>
      </c>
      <c r="G1315" t="s">
        <v>22</v>
      </c>
      <c r="H1315" t="s">
        <v>23</v>
      </c>
      <c r="I1315" t="s">
        <v>24</v>
      </c>
      <c r="J1315">
        <v>26487</v>
      </c>
      <c r="K1315">
        <v>0</v>
      </c>
      <c r="L1315" t="s">
        <v>43</v>
      </c>
      <c r="M1315" t="s">
        <v>26</v>
      </c>
      <c r="N1315" t="s">
        <v>27</v>
      </c>
      <c r="O1315" t="s">
        <v>35</v>
      </c>
      <c r="P1315" t="s">
        <v>26</v>
      </c>
      <c r="Q1315">
        <v>0</v>
      </c>
    </row>
    <row r="1316" spans="1:17" x14ac:dyDescent="0.25">
      <c r="A1316" t="s">
        <v>29</v>
      </c>
      <c r="B1316" t="s">
        <v>18</v>
      </c>
      <c r="C1316">
        <v>90000</v>
      </c>
      <c r="D1316" t="s">
        <v>19</v>
      </c>
      <c r="E1316" t="s">
        <v>20</v>
      </c>
      <c r="F1316" t="s">
        <v>32</v>
      </c>
      <c r="G1316" t="s">
        <v>22</v>
      </c>
      <c r="H1316" t="s">
        <v>23</v>
      </c>
      <c r="I1316" t="s">
        <v>24</v>
      </c>
      <c r="J1316">
        <v>100498.5</v>
      </c>
      <c r="K1316">
        <v>5850</v>
      </c>
      <c r="L1316" t="s">
        <v>42</v>
      </c>
      <c r="M1316" t="s">
        <v>26</v>
      </c>
      <c r="N1316" t="s">
        <v>58</v>
      </c>
      <c r="O1316" t="s">
        <v>35</v>
      </c>
      <c r="P1316" t="s">
        <v>60</v>
      </c>
      <c r="Q1316">
        <v>1</v>
      </c>
    </row>
    <row r="1317" spans="1:17" x14ac:dyDescent="0.25">
      <c r="A1317" t="s">
        <v>29</v>
      </c>
      <c r="B1317" t="s">
        <v>18</v>
      </c>
      <c r="C1317">
        <v>90000</v>
      </c>
      <c r="D1317" t="s">
        <v>19</v>
      </c>
      <c r="E1317" t="s">
        <v>20</v>
      </c>
      <c r="F1317" t="s">
        <v>32</v>
      </c>
      <c r="G1317" t="s">
        <v>22</v>
      </c>
      <c r="H1317" t="s">
        <v>23</v>
      </c>
      <c r="I1317" t="s">
        <v>24</v>
      </c>
      <c r="J1317">
        <v>26505</v>
      </c>
      <c r="K1317">
        <v>2655</v>
      </c>
      <c r="L1317" t="s">
        <v>25</v>
      </c>
      <c r="M1317" t="s">
        <v>26</v>
      </c>
      <c r="N1317" t="s">
        <v>27</v>
      </c>
      <c r="O1317" t="s">
        <v>35</v>
      </c>
      <c r="P1317" t="s">
        <v>26</v>
      </c>
      <c r="Q1317">
        <v>0</v>
      </c>
    </row>
    <row r="1318" spans="1:17" x14ac:dyDescent="0.25">
      <c r="A1318" t="s">
        <v>29</v>
      </c>
      <c r="B1318" t="s">
        <v>18</v>
      </c>
      <c r="C1318">
        <v>90000</v>
      </c>
      <c r="D1318" t="s">
        <v>19</v>
      </c>
      <c r="E1318" t="s">
        <v>20</v>
      </c>
      <c r="F1318" t="s">
        <v>32</v>
      </c>
      <c r="G1318" t="s">
        <v>22</v>
      </c>
      <c r="H1318" t="s">
        <v>23</v>
      </c>
      <c r="I1318" t="s">
        <v>24</v>
      </c>
      <c r="J1318">
        <v>98883</v>
      </c>
      <c r="K1318">
        <v>5850</v>
      </c>
      <c r="L1318" t="s">
        <v>42</v>
      </c>
      <c r="M1318" t="s">
        <v>26</v>
      </c>
      <c r="N1318" t="s">
        <v>58</v>
      </c>
      <c r="O1318" t="s">
        <v>35</v>
      </c>
      <c r="P1318" t="s">
        <v>60</v>
      </c>
      <c r="Q1318">
        <v>1</v>
      </c>
    </row>
    <row r="1319" spans="1:17" x14ac:dyDescent="0.25">
      <c r="A1319" t="s">
        <v>29</v>
      </c>
      <c r="B1319" t="s">
        <v>18</v>
      </c>
      <c r="C1319">
        <v>90000</v>
      </c>
      <c r="D1319" t="s">
        <v>19</v>
      </c>
      <c r="E1319" t="s">
        <v>20</v>
      </c>
      <c r="F1319" t="s">
        <v>32</v>
      </c>
      <c r="G1319" t="s">
        <v>22</v>
      </c>
      <c r="H1319" t="s">
        <v>23</v>
      </c>
      <c r="I1319" t="s">
        <v>24</v>
      </c>
      <c r="J1319">
        <v>122755.5</v>
      </c>
      <c r="K1319">
        <v>0</v>
      </c>
      <c r="L1319" t="s">
        <v>42</v>
      </c>
      <c r="M1319" t="s">
        <v>26</v>
      </c>
      <c r="N1319" t="s">
        <v>76</v>
      </c>
      <c r="O1319" t="s">
        <v>35</v>
      </c>
      <c r="P1319" t="s">
        <v>77</v>
      </c>
      <c r="Q1319">
        <v>0</v>
      </c>
    </row>
    <row r="1320" spans="1:17" x14ac:dyDescent="0.25">
      <c r="A1320" t="s">
        <v>29</v>
      </c>
      <c r="B1320" t="s">
        <v>18</v>
      </c>
      <c r="C1320">
        <v>90000</v>
      </c>
      <c r="D1320" t="s">
        <v>19</v>
      </c>
      <c r="E1320" t="s">
        <v>20</v>
      </c>
      <c r="F1320" t="s">
        <v>32</v>
      </c>
      <c r="G1320" t="s">
        <v>22</v>
      </c>
      <c r="H1320" t="s">
        <v>23</v>
      </c>
      <c r="I1320" t="s">
        <v>24</v>
      </c>
      <c r="J1320">
        <v>98883</v>
      </c>
      <c r="K1320">
        <v>5850</v>
      </c>
      <c r="L1320" t="s">
        <v>42</v>
      </c>
      <c r="M1320" t="s">
        <v>26</v>
      </c>
      <c r="N1320" t="s">
        <v>58</v>
      </c>
      <c r="O1320" t="s">
        <v>35</v>
      </c>
      <c r="P1320" t="s">
        <v>60</v>
      </c>
      <c r="Q1320">
        <v>1</v>
      </c>
    </row>
    <row r="1321" spans="1:17" x14ac:dyDescent="0.25">
      <c r="A1321" t="s">
        <v>29</v>
      </c>
      <c r="B1321" t="s">
        <v>18</v>
      </c>
      <c r="C1321">
        <v>90000</v>
      </c>
      <c r="D1321" t="s">
        <v>19</v>
      </c>
      <c r="E1321" t="s">
        <v>20</v>
      </c>
      <c r="F1321" t="s">
        <v>32</v>
      </c>
      <c r="G1321" t="s">
        <v>22</v>
      </c>
      <c r="H1321" t="s">
        <v>23</v>
      </c>
      <c r="I1321" t="s">
        <v>24</v>
      </c>
      <c r="J1321">
        <v>122755.5</v>
      </c>
      <c r="K1321">
        <v>0</v>
      </c>
      <c r="L1321" t="s">
        <v>42</v>
      </c>
      <c r="M1321" t="s">
        <v>26</v>
      </c>
      <c r="N1321" t="s">
        <v>76</v>
      </c>
      <c r="O1321" t="s">
        <v>35</v>
      </c>
      <c r="P1321" t="s">
        <v>77</v>
      </c>
      <c r="Q1321">
        <v>0</v>
      </c>
    </row>
    <row r="1322" spans="1:17" x14ac:dyDescent="0.25">
      <c r="A1322" t="s">
        <v>29</v>
      </c>
      <c r="B1322" t="s">
        <v>18</v>
      </c>
      <c r="C1322">
        <v>90000</v>
      </c>
      <c r="D1322" t="s">
        <v>19</v>
      </c>
      <c r="E1322" t="s">
        <v>20</v>
      </c>
      <c r="F1322" t="s">
        <v>32</v>
      </c>
      <c r="G1322" t="s">
        <v>22</v>
      </c>
      <c r="H1322" t="s">
        <v>23</v>
      </c>
      <c r="I1322" t="s">
        <v>24</v>
      </c>
      <c r="J1322">
        <v>28071</v>
      </c>
      <c r="K1322">
        <v>0</v>
      </c>
      <c r="L1322" t="s">
        <v>43</v>
      </c>
      <c r="M1322" t="s">
        <v>26</v>
      </c>
      <c r="N1322" t="s">
        <v>58</v>
      </c>
      <c r="O1322" t="s">
        <v>35</v>
      </c>
      <c r="P1322" t="s">
        <v>60</v>
      </c>
      <c r="Q1322">
        <v>1</v>
      </c>
    </row>
    <row r="1323" spans="1:17" x14ac:dyDescent="0.25">
      <c r="A1323" t="s">
        <v>29</v>
      </c>
      <c r="B1323" t="s">
        <v>18</v>
      </c>
      <c r="C1323">
        <v>90000</v>
      </c>
      <c r="D1323" t="s">
        <v>19</v>
      </c>
      <c r="E1323" t="s">
        <v>20</v>
      </c>
      <c r="F1323" t="s">
        <v>32</v>
      </c>
      <c r="G1323" t="s">
        <v>22</v>
      </c>
      <c r="H1323" t="s">
        <v>23</v>
      </c>
      <c r="I1323" t="s">
        <v>24</v>
      </c>
      <c r="J1323">
        <v>68521.5</v>
      </c>
      <c r="K1323">
        <v>9000</v>
      </c>
      <c r="L1323" t="s">
        <v>25</v>
      </c>
      <c r="M1323" t="s">
        <v>26</v>
      </c>
      <c r="N1323" t="s">
        <v>27</v>
      </c>
      <c r="O1323" t="s">
        <v>35</v>
      </c>
      <c r="P1323" t="s">
        <v>26</v>
      </c>
      <c r="Q1323">
        <v>0</v>
      </c>
    </row>
    <row r="1324" spans="1:17" x14ac:dyDescent="0.25">
      <c r="A1324" t="s">
        <v>29</v>
      </c>
      <c r="B1324" t="s">
        <v>18</v>
      </c>
      <c r="C1324">
        <v>90000</v>
      </c>
      <c r="D1324" t="s">
        <v>44</v>
      </c>
      <c r="E1324" t="s">
        <v>20</v>
      </c>
      <c r="F1324" t="s">
        <v>39</v>
      </c>
      <c r="G1324" t="s">
        <v>52</v>
      </c>
      <c r="H1324" t="s">
        <v>23</v>
      </c>
      <c r="I1324" t="s">
        <v>24</v>
      </c>
      <c r="J1324">
        <v>140728.5</v>
      </c>
      <c r="K1324">
        <v>0</v>
      </c>
      <c r="L1324" t="s">
        <v>43</v>
      </c>
      <c r="M1324" t="s">
        <v>26</v>
      </c>
      <c r="N1324" t="s">
        <v>27</v>
      </c>
      <c r="O1324" t="s">
        <v>35</v>
      </c>
      <c r="P1324" t="s">
        <v>26</v>
      </c>
      <c r="Q1324">
        <v>0</v>
      </c>
    </row>
    <row r="1325" spans="1:17" x14ac:dyDescent="0.25">
      <c r="A1325" t="s">
        <v>29</v>
      </c>
      <c r="B1325" t="s">
        <v>18</v>
      </c>
      <c r="C1325">
        <v>90000</v>
      </c>
      <c r="D1325" t="s">
        <v>44</v>
      </c>
      <c r="E1325" t="s">
        <v>20</v>
      </c>
      <c r="F1325" t="s">
        <v>39</v>
      </c>
      <c r="G1325" t="s">
        <v>52</v>
      </c>
      <c r="H1325" t="s">
        <v>23</v>
      </c>
      <c r="I1325" t="s">
        <v>24</v>
      </c>
      <c r="J1325">
        <v>66600</v>
      </c>
      <c r="K1325">
        <v>0</v>
      </c>
      <c r="L1325" t="s">
        <v>25</v>
      </c>
      <c r="M1325" t="s">
        <v>26</v>
      </c>
      <c r="N1325" t="s">
        <v>27</v>
      </c>
      <c r="O1325" t="s">
        <v>35</v>
      </c>
      <c r="P1325" t="s">
        <v>26</v>
      </c>
      <c r="Q1325">
        <v>0</v>
      </c>
    </row>
    <row r="1326" spans="1:17" x14ac:dyDescent="0.25">
      <c r="A1326" t="s">
        <v>29</v>
      </c>
      <c r="B1326" t="s">
        <v>18</v>
      </c>
      <c r="C1326">
        <v>270000</v>
      </c>
      <c r="D1326" t="s">
        <v>19</v>
      </c>
      <c r="E1326" t="s">
        <v>20</v>
      </c>
      <c r="F1326" t="s">
        <v>32</v>
      </c>
      <c r="G1326" t="s">
        <v>22</v>
      </c>
      <c r="H1326" t="s">
        <v>49</v>
      </c>
      <c r="I1326" t="s">
        <v>24</v>
      </c>
      <c r="J1326">
        <v>15300</v>
      </c>
      <c r="K1326">
        <v>1530</v>
      </c>
      <c r="L1326" t="s">
        <v>25</v>
      </c>
      <c r="M1326" t="s">
        <v>26</v>
      </c>
      <c r="N1326" t="s">
        <v>27</v>
      </c>
      <c r="O1326" t="s">
        <v>28</v>
      </c>
      <c r="P1326" t="s">
        <v>26</v>
      </c>
      <c r="Q1326">
        <v>0</v>
      </c>
    </row>
    <row r="1327" spans="1:17" x14ac:dyDescent="0.25">
      <c r="A1327" t="s">
        <v>17</v>
      </c>
      <c r="B1327" t="s">
        <v>36</v>
      </c>
      <c r="C1327">
        <v>157500</v>
      </c>
      <c r="D1327" t="s">
        <v>19</v>
      </c>
      <c r="E1327" t="s">
        <v>20</v>
      </c>
      <c r="F1327" t="s">
        <v>32</v>
      </c>
      <c r="G1327" t="s">
        <v>22</v>
      </c>
      <c r="H1327" t="s">
        <v>49</v>
      </c>
      <c r="I1327" t="s">
        <v>24</v>
      </c>
      <c r="J1327">
        <v>95926.5</v>
      </c>
      <c r="K1327">
        <v>9594</v>
      </c>
      <c r="L1327" t="s">
        <v>34</v>
      </c>
      <c r="M1327" t="s">
        <v>26</v>
      </c>
      <c r="N1327" t="s">
        <v>27</v>
      </c>
      <c r="O1327" t="s">
        <v>35</v>
      </c>
      <c r="P1327" t="s">
        <v>26</v>
      </c>
      <c r="Q1327">
        <v>0</v>
      </c>
    </row>
    <row r="1328" spans="1:17" x14ac:dyDescent="0.25">
      <c r="A1328" t="s">
        <v>17</v>
      </c>
      <c r="B1328" t="s">
        <v>36</v>
      </c>
      <c r="C1328">
        <v>157500</v>
      </c>
      <c r="D1328" t="s">
        <v>19</v>
      </c>
      <c r="E1328" t="s">
        <v>20</v>
      </c>
      <c r="F1328" t="s">
        <v>32</v>
      </c>
      <c r="G1328" t="s">
        <v>22</v>
      </c>
      <c r="H1328" t="s">
        <v>49</v>
      </c>
      <c r="I1328" t="s">
        <v>24</v>
      </c>
      <c r="J1328">
        <v>155785.5</v>
      </c>
      <c r="K1328">
        <v>23377.5</v>
      </c>
      <c r="L1328" t="s">
        <v>34</v>
      </c>
      <c r="M1328" t="s">
        <v>26</v>
      </c>
      <c r="N1328" t="s">
        <v>58</v>
      </c>
      <c r="O1328" t="s">
        <v>35</v>
      </c>
      <c r="P1328" t="s">
        <v>59</v>
      </c>
      <c r="Q1328">
        <v>1</v>
      </c>
    </row>
    <row r="1329" spans="1:17" x14ac:dyDescent="0.25">
      <c r="A1329" t="s">
        <v>17</v>
      </c>
      <c r="B1329" t="s">
        <v>36</v>
      </c>
      <c r="C1329">
        <v>135000</v>
      </c>
      <c r="D1329" t="s">
        <v>19</v>
      </c>
      <c r="E1329" t="s">
        <v>20</v>
      </c>
      <c r="F1329" t="s">
        <v>21</v>
      </c>
      <c r="G1329" t="s">
        <v>22</v>
      </c>
      <c r="H1329" t="s">
        <v>23</v>
      </c>
      <c r="I1329" t="s">
        <v>24</v>
      </c>
      <c r="J1329">
        <v>132615</v>
      </c>
      <c r="K1329">
        <v>0</v>
      </c>
      <c r="L1329" t="s">
        <v>45</v>
      </c>
      <c r="M1329" t="s">
        <v>26</v>
      </c>
      <c r="N1329" t="s">
        <v>27</v>
      </c>
      <c r="O1329" t="s">
        <v>35</v>
      </c>
      <c r="P1329" t="s">
        <v>26</v>
      </c>
      <c r="Q1329">
        <v>0</v>
      </c>
    </row>
    <row r="1330" spans="1:17" x14ac:dyDescent="0.25">
      <c r="A1330" t="s">
        <v>17</v>
      </c>
      <c r="B1330" t="s">
        <v>36</v>
      </c>
      <c r="C1330">
        <v>135000</v>
      </c>
      <c r="D1330" t="s">
        <v>19</v>
      </c>
      <c r="E1330" t="s">
        <v>20</v>
      </c>
      <c r="F1330" t="s">
        <v>21</v>
      </c>
      <c r="G1330" t="s">
        <v>22</v>
      </c>
      <c r="H1330" t="s">
        <v>23</v>
      </c>
      <c r="I1330" t="s">
        <v>24</v>
      </c>
      <c r="J1330">
        <v>62955</v>
      </c>
      <c r="K1330">
        <v>0</v>
      </c>
      <c r="L1330" t="s">
        <v>43</v>
      </c>
      <c r="M1330" t="s">
        <v>26</v>
      </c>
      <c r="N1330" t="s">
        <v>27</v>
      </c>
      <c r="O1330" t="s">
        <v>35</v>
      </c>
      <c r="P1330" t="s">
        <v>26</v>
      </c>
      <c r="Q1330">
        <v>0</v>
      </c>
    </row>
    <row r="1331" spans="1:17" x14ac:dyDescent="0.25">
      <c r="A1331" t="s">
        <v>17</v>
      </c>
      <c r="B1331" t="s">
        <v>36</v>
      </c>
      <c r="C1331">
        <v>135000</v>
      </c>
      <c r="D1331" t="s">
        <v>19</v>
      </c>
      <c r="E1331" t="s">
        <v>20</v>
      </c>
      <c r="F1331" t="s">
        <v>21</v>
      </c>
      <c r="G1331" t="s">
        <v>22</v>
      </c>
      <c r="H1331" t="s">
        <v>23</v>
      </c>
      <c r="I1331" t="s">
        <v>24</v>
      </c>
      <c r="J1331">
        <v>85536</v>
      </c>
      <c r="K1331">
        <v>0</v>
      </c>
      <c r="L1331" t="s">
        <v>42</v>
      </c>
      <c r="M1331" t="s">
        <v>26</v>
      </c>
      <c r="N1331" t="s">
        <v>58</v>
      </c>
      <c r="O1331" t="s">
        <v>35</v>
      </c>
      <c r="P1331" t="s">
        <v>60</v>
      </c>
      <c r="Q1331">
        <v>1</v>
      </c>
    </row>
    <row r="1332" spans="1:17" x14ac:dyDescent="0.25">
      <c r="A1332" t="s">
        <v>29</v>
      </c>
      <c r="B1332" t="s">
        <v>18</v>
      </c>
      <c r="C1332">
        <v>157500</v>
      </c>
      <c r="D1332" t="s">
        <v>30</v>
      </c>
      <c r="E1332" t="s">
        <v>20</v>
      </c>
      <c r="F1332" t="s">
        <v>54</v>
      </c>
      <c r="G1332" t="s">
        <v>22</v>
      </c>
      <c r="H1332" t="s">
        <v>68</v>
      </c>
      <c r="I1332" t="s">
        <v>24</v>
      </c>
      <c r="J1332">
        <v>53707.5</v>
      </c>
      <c r="K1332">
        <v>5373</v>
      </c>
      <c r="L1332" t="s">
        <v>45</v>
      </c>
      <c r="M1332" t="s">
        <v>26</v>
      </c>
      <c r="N1332" t="s">
        <v>27</v>
      </c>
      <c r="O1332" t="s">
        <v>35</v>
      </c>
      <c r="P1332" t="s">
        <v>26</v>
      </c>
      <c r="Q1332">
        <v>0</v>
      </c>
    </row>
    <row r="1333" spans="1:17" x14ac:dyDescent="0.25">
      <c r="A1333" t="s">
        <v>29</v>
      </c>
      <c r="B1333" t="s">
        <v>18</v>
      </c>
      <c r="C1333">
        <v>157500</v>
      </c>
      <c r="D1333" t="s">
        <v>30</v>
      </c>
      <c r="E1333" t="s">
        <v>20</v>
      </c>
      <c r="F1333" t="s">
        <v>54</v>
      </c>
      <c r="G1333" t="s">
        <v>22</v>
      </c>
      <c r="H1333" t="s">
        <v>68</v>
      </c>
      <c r="I1333" t="s">
        <v>24</v>
      </c>
      <c r="J1333">
        <v>18855</v>
      </c>
      <c r="K1333">
        <v>2835</v>
      </c>
      <c r="L1333" t="s">
        <v>45</v>
      </c>
      <c r="M1333" t="s">
        <v>26</v>
      </c>
      <c r="N1333" t="s">
        <v>27</v>
      </c>
      <c r="O1333" t="s">
        <v>35</v>
      </c>
      <c r="P1333" t="s">
        <v>26</v>
      </c>
      <c r="Q1333">
        <v>0</v>
      </c>
    </row>
    <row r="1334" spans="1:17" x14ac:dyDescent="0.25">
      <c r="A1334" t="s">
        <v>29</v>
      </c>
      <c r="B1334" t="s">
        <v>18</v>
      </c>
      <c r="C1334">
        <v>157500</v>
      </c>
      <c r="D1334" t="s">
        <v>30</v>
      </c>
      <c r="E1334" t="s">
        <v>20</v>
      </c>
      <c r="F1334" t="s">
        <v>54</v>
      </c>
      <c r="G1334" t="s">
        <v>22</v>
      </c>
      <c r="H1334" t="s">
        <v>68</v>
      </c>
      <c r="I1334" t="s">
        <v>24</v>
      </c>
      <c r="J1334">
        <v>56205</v>
      </c>
      <c r="K1334">
        <v>5620.5</v>
      </c>
      <c r="L1334" t="s">
        <v>45</v>
      </c>
      <c r="M1334" t="s">
        <v>26</v>
      </c>
      <c r="N1334" t="s">
        <v>27</v>
      </c>
      <c r="O1334" t="s">
        <v>35</v>
      </c>
      <c r="P1334" t="s">
        <v>26</v>
      </c>
      <c r="Q1334">
        <v>0</v>
      </c>
    </row>
    <row r="1335" spans="1:17" x14ac:dyDescent="0.25">
      <c r="A1335" t="s">
        <v>17</v>
      </c>
      <c r="B1335" t="s">
        <v>18</v>
      </c>
      <c r="C1335">
        <v>157500</v>
      </c>
      <c r="D1335" t="s">
        <v>46</v>
      </c>
      <c r="E1335" t="s">
        <v>20</v>
      </c>
      <c r="F1335" t="s">
        <v>32</v>
      </c>
      <c r="G1335" t="s">
        <v>22</v>
      </c>
      <c r="H1335" t="s">
        <v>28</v>
      </c>
      <c r="I1335" t="s">
        <v>24</v>
      </c>
      <c r="J1335">
        <v>28750.5</v>
      </c>
      <c r="K1335">
        <v>6750</v>
      </c>
      <c r="L1335" t="s">
        <v>34</v>
      </c>
      <c r="M1335" t="s">
        <v>26</v>
      </c>
      <c r="N1335" t="s">
        <v>27</v>
      </c>
      <c r="O1335" t="s">
        <v>35</v>
      </c>
      <c r="P1335" t="s">
        <v>26</v>
      </c>
      <c r="Q1335">
        <v>0</v>
      </c>
    </row>
    <row r="1336" spans="1:17" x14ac:dyDescent="0.25">
      <c r="A1336" t="s">
        <v>29</v>
      </c>
      <c r="B1336" t="s">
        <v>18</v>
      </c>
      <c r="C1336">
        <v>112500</v>
      </c>
      <c r="D1336" t="s">
        <v>19</v>
      </c>
      <c r="E1336" t="s">
        <v>20</v>
      </c>
      <c r="F1336" t="s">
        <v>54</v>
      </c>
      <c r="G1336" t="s">
        <v>22</v>
      </c>
      <c r="H1336" t="s">
        <v>48</v>
      </c>
      <c r="I1336" t="s">
        <v>66</v>
      </c>
      <c r="J1336">
        <v>112500</v>
      </c>
      <c r="K1336">
        <v>0</v>
      </c>
      <c r="L1336" t="s">
        <v>25</v>
      </c>
      <c r="M1336" t="s">
        <v>28</v>
      </c>
      <c r="N1336" t="s">
        <v>27</v>
      </c>
      <c r="O1336" t="s">
        <v>35</v>
      </c>
      <c r="P1336" t="s">
        <v>26</v>
      </c>
      <c r="Q1336">
        <v>0</v>
      </c>
    </row>
    <row r="1337" spans="1:17" x14ac:dyDescent="0.25">
      <c r="A1337" t="s">
        <v>29</v>
      </c>
      <c r="B1337" t="s">
        <v>18</v>
      </c>
      <c r="C1337">
        <v>112500</v>
      </c>
      <c r="D1337" t="s">
        <v>19</v>
      </c>
      <c r="E1337" t="s">
        <v>20</v>
      </c>
      <c r="F1337" t="s">
        <v>54</v>
      </c>
      <c r="G1337" t="s">
        <v>22</v>
      </c>
      <c r="H1337" t="s">
        <v>48</v>
      </c>
      <c r="I1337" t="s">
        <v>66</v>
      </c>
      <c r="J1337">
        <v>90000</v>
      </c>
      <c r="K1337">
        <v>0</v>
      </c>
      <c r="L1337" t="s">
        <v>43</v>
      </c>
      <c r="M1337" t="s">
        <v>113</v>
      </c>
      <c r="N1337" t="s">
        <v>27</v>
      </c>
      <c r="O1337" t="s">
        <v>35</v>
      </c>
      <c r="P1337" t="s">
        <v>26</v>
      </c>
      <c r="Q1337">
        <v>0</v>
      </c>
    </row>
    <row r="1338" spans="1:17" x14ac:dyDescent="0.25">
      <c r="A1338" t="s">
        <v>29</v>
      </c>
      <c r="B1338" t="s">
        <v>36</v>
      </c>
      <c r="C1338">
        <v>180000</v>
      </c>
      <c r="D1338" t="s">
        <v>19</v>
      </c>
      <c r="E1338" t="s">
        <v>31</v>
      </c>
      <c r="F1338" t="s">
        <v>39</v>
      </c>
      <c r="G1338" t="s">
        <v>22</v>
      </c>
      <c r="H1338" t="s">
        <v>23</v>
      </c>
      <c r="I1338" t="s">
        <v>24</v>
      </c>
      <c r="J1338">
        <v>235782</v>
      </c>
      <c r="K1338">
        <v>0</v>
      </c>
      <c r="L1338" t="s">
        <v>25</v>
      </c>
      <c r="M1338" t="s">
        <v>26</v>
      </c>
      <c r="N1338" t="s">
        <v>27</v>
      </c>
      <c r="O1338" t="s">
        <v>35</v>
      </c>
      <c r="P1338" t="s">
        <v>26</v>
      </c>
      <c r="Q1338">
        <v>0</v>
      </c>
    </row>
    <row r="1339" spans="1:17" x14ac:dyDescent="0.25">
      <c r="A1339" t="s">
        <v>29</v>
      </c>
      <c r="B1339" t="s">
        <v>18</v>
      </c>
      <c r="C1339">
        <v>135000</v>
      </c>
      <c r="D1339" t="s">
        <v>19</v>
      </c>
      <c r="E1339" t="s">
        <v>31</v>
      </c>
      <c r="F1339" t="s">
        <v>21</v>
      </c>
      <c r="G1339" t="s">
        <v>22</v>
      </c>
      <c r="H1339" t="s">
        <v>115</v>
      </c>
      <c r="I1339" t="s">
        <v>24</v>
      </c>
      <c r="J1339">
        <v>60448.5</v>
      </c>
      <c r="K1339">
        <v>12091.5</v>
      </c>
      <c r="L1339" t="s">
        <v>45</v>
      </c>
      <c r="M1339" t="s">
        <v>26</v>
      </c>
      <c r="N1339" t="s">
        <v>27</v>
      </c>
      <c r="O1339" t="s">
        <v>35</v>
      </c>
      <c r="P1339" t="s">
        <v>26</v>
      </c>
      <c r="Q1339">
        <v>0</v>
      </c>
    </row>
    <row r="1340" spans="1:17" x14ac:dyDescent="0.25">
      <c r="A1340" t="s">
        <v>29</v>
      </c>
      <c r="B1340" t="s">
        <v>18</v>
      </c>
      <c r="C1340">
        <v>135000</v>
      </c>
      <c r="D1340" t="s">
        <v>19</v>
      </c>
      <c r="E1340" t="s">
        <v>31</v>
      </c>
      <c r="F1340" t="s">
        <v>21</v>
      </c>
      <c r="G1340" t="s">
        <v>22</v>
      </c>
      <c r="H1340" t="s">
        <v>115</v>
      </c>
      <c r="I1340" t="s">
        <v>24</v>
      </c>
      <c r="J1340">
        <v>105646.5</v>
      </c>
      <c r="K1340">
        <v>10566</v>
      </c>
      <c r="L1340" t="s">
        <v>34</v>
      </c>
      <c r="M1340" t="s">
        <v>26</v>
      </c>
      <c r="N1340" t="s">
        <v>27</v>
      </c>
      <c r="O1340" t="s">
        <v>35</v>
      </c>
      <c r="P1340" t="s">
        <v>26</v>
      </c>
      <c r="Q1340">
        <v>0</v>
      </c>
    </row>
    <row r="1341" spans="1:17" x14ac:dyDescent="0.25">
      <c r="A1341" t="s">
        <v>29</v>
      </c>
      <c r="B1341" t="s">
        <v>18</v>
      </c>
      <c r="C1341">
        <v>90000</v>
      </c>
      <c r="D1341" t="s">
        <v>44</v>
      </c>
      <c r="E1341" t="s">
        <v>31</v>
      </c>
      <c r="F1341" t="s">
        <v>32</v>
      </c>
      <c r="G1341" t="s">
        <v>22</v>
      </c>
      <c r="H1341" t="s">
        <v>23</v>
      </c>
      <c r="I1341" t="s">
        <v>24</v>
      </c>
      <c r="J1341">
        <v>21190.5</v>
      </c>
      <c r="K1341">
        <v>2119.5</v>
      </c>
      <c r="L1341" t="s">
        <v>51</v>
      </c>
      <c r="M1341" t="s">
        <v>26</v>
      </c>
      <c r="N1341" t="s">
        <v>27</v>
      </c>
      <c r="O1341" t="s">
        <v>35</v>
      </c>
      <c r="P1341" t="s">
        <v>26</v>
      </c>
      <c r="Q1341">
        <v>0</v>
      </c>
    </row>
    <row r="1342" spans="1:17" x14ac:dyDescent="0.25">
      <c r="A1342" t="s">
        <v>29</v>
      </c>
      <c r="B1342" t="s">
        <v>18</v>
      </c>
      <c r="C1342">
        <v>90000</v>
      </c>
      <c r="D1342" t="s">
        <v>44</v>
      </c>
      <c r="E1342" t="s">
        <v>31</v>
      </c>
      <c r="F1342" t="s">
        <v>32</v>
      </c>
      <c r="G1342" t="s">
        <v>22</v>
      </c>
      <c r="H1342" t="s">
        <v>23</v>
      </c>
      <c r="I1342" t="s">
        <v>24</v>
      </c>
      <c r="J1342">
        <v>144810</v>
      </c>
      <c r="K1342">
        <v>0</v>
      </c>
      <c r="L1342" t="s">
        <v>34</v>
      </c>
      <c r="M1342" t="s">
        <v>26</v>
      </c>
      <c r="N1342" t="s">
        <v>27</v>
      </c>
      <c r="O1342" t="s">
        <v>28</v>
      </c>
      <c r="P1342" t="s">
        <v>26</v>
      </c>
      <c r="Q1342">
        <v>0</v>
      </c>
    </row>
    <row r="1343" spans="1:17" x14ac:dyDescent="0.25">
      <c r="A1343" t="s">
        <v>29</v>
      </c>
      <c r="B1343" t="s">
        <v>18</v>
      </c>
      <c r="C1343">
        <v>193500</v>
      </c>
      <c r="D1343" t="s">
        <v>44</v>
      </c>
      <c r="E1343" t="s">
        <v>70</v>
      </c>
      <c r="F1343" t="s">
        <v>32</v>
      </c>
      <c r="G1343" t="s">
        <v>22</v>
      </c>
      <c r="H1343" t="s">
        <v>92</v>
      </c>
      <c r="I1343" t="s">
        <v>24</v>
      </c>
      <c r="J1343">
        <v>98527.5</v>
      </c>
      <c r="K1343">
        <v>0</v>
      </c>
      <c r="L1343" t="s">
        <v>42</v>
      </c>
      <c r="M1343" t="s">
        <v>26</v>
      </c>
      <c r="N1343" t="s">
        <v>27</v>
      </c>
      <c r="O1343" t="s">
        <v>35</v>
      </c>
      <c r="P1343" t="s">
        <v>26</v>
      </c>
      <c r="Q1343">
        <v>0</v>
      </c>
    </row>
    <row r="1344" spans="1:17" x14ac:dyDescent="0.25">
      <c r="A1344" t="s">
        <v>29</v>
      </c>
      <c r="B1344" t="s">
        <v>18</v>
      </c>
      <c r="C1344">
        <v>193500</v>
      </c>
      <c r="D1344" t="s">
        <v>44</v>
      </c>
      <c r="E1344" t="s">
        <v>70</v>
      </c>
      <c r="F1344" t="s">
        <v>32</v>
      </c>
      <c r="G1344" t="s">
        <v>22</v>
      </c>
      <c r="H1344" t="s">
        <v>92</v>
      </c>
      <c r="I1344" t="s">
        <v>24</v>
      </c>
      <c r="J1344">
        <v>81355.5</v>
      </c>
      <c r="K1344">
        <v>9000</v>
      </c>
      <c r="L1344" t="s">
        <v>43</v>
      </c>
      <c r="M1344" t="s">
        <v>26</v>
      </c>
      <c r="N1344" t="s">
        <v>27</v>
      </c>
      <c r="O1344" t="s">
        <v>28</v>
      </c>
      <c r="P1344" t="s">
        <v>26</v>
      </c>
      <c r="Q1344">
        <v>0</v>
      </c>
    </row>
    <row r="1345" spans="1:17" x14ac:dyDescent="0.25">
      <c r="A1345" t="s">
        <v>29</v>
      </c>
      <c r="B1345" t="s">
        <v>18</v>
      </c>
      <c r="C1345">
        <v>124200</v>
      </c>
      <c r="D1345" t="s">
        <v>46</v>
      </c>
      <c r="E1345" t="s">
        <v>20</v>
      </c>
      <c r="F1345" t="s">
        <v>39</v>
      </c>
      <c r="G1345" t="s">
        <v>22</v>
      </c>
      <c r="H1345" t="s">
        <v>28</v>
      </c>
      <c r="I1345" t="s">
        <v>24</v>
      </c>
      <c r="J1345">
        <v>69511.5</v>
      </c>
      <c r="K1345">
        <v>0</v>
      </c>
      <c r="L1345" t="s">
        <v>45</v>
      </c>
      <c r="M1345" t="s">
        <v>26</v>
      </c>
      <c r="N1345" t="s">
        <v>27</v>
      </c>
      <c r="O1345" t="s">
        <v>35</v>
      </c>
      <c r="P1345" t="s">
        <v>26</v>
      </c>
      <c r="Q1345">
        <v>0</v>
      </c>
    </row>
    <row r="1346" spans="1:17" x14ac:dyDescent="0.25">
      <c r="A1346" t="s">
        <v>29</v>
      </c>
      <c r="B1346" t="s">
        <v>18</v>
      </c>
      <c r="C1346">
        <v>124200</v>
      </c>
      <c r="D1346" t="s">
        <v>46</v>
      </c>
      <c r="E1346" t="s">
        <v>20</v>
      </c>
      <c r="F1346" t="s">
        <v>39</v>
      </c>
      <c r="G1346" t="s">
        <v>22</v>
      </c>
      <c r="H1346" t="s">
        <v>28</v>
      </c>
      <c r="I1346" t="s">
        <v>24</v>
      </c>
      <c r="J1346">
        <v>107775</v>
      </c>
      <c r="K1346">
        <v>0</v>
      </c>
      <c r="L1346" t="s">
        <v>42</v>
      </c>
      <c r="M1346" t="s">
        <v>26</v>
      </c>
      <c r="N1346" t="s">
        <v>27</v>
      </c>
      <c r="O1346" t="s">
        <v>35</v>
      </c>
      <c r="P1346" t="s">
        <v>26</v>
      </c>
      <c r="Q1346">
        <v>0</v>
      </c>
    </row>
    <row r="1347" spans="1:17" x14ac:dyDescent="0.25">
      <c r="A1347" t="s">
        <v>29</v>
      </c>
      <c r="B1347" t="s">
        <v>18</v>
      </c>
      <c r="C1347">
        <v>124200</v>
      </c>
      <c r="D1347" t="s">
        <v>46</v>
      </c>
      <c r="E1347" t="s">
        <v>20</v>
      </c>
      <c r="F1347" t="s">
        <v>39</v>
      </c>
      <c r="G1347" t="s">
        <v>22</v>
      </c>
      <c r="H1347" t="s">
        <v>28</v>
      </c>
      <c r="I1347" t="s">
        <v>24</v>
      </c>
      <c r="J1347">
        <v>56172.6</v>
      </c>
      <c r="K1347">
        <v>5624.1</v>
      </c>
      <c r="L1347" t="s">
        <v>38</v>
      </c>
      <c r="M1347" t="s">
        <v>26</v>
      </c>
      <c r="N1347" t="s">
        <v>27</v>
      </c>
      <c r="O1347" t="s">
        <v>35</v>
      </c>
      <c r="P1347" t="s">
        <v>26</v>
      </c>
      <c r="Q1347">
        <v>0</v>
      </c>
    </row>
    <row r="1348" spans="1:17" x14ac:dyDescent="0.25">
      <c r="A1348" t="s">
        <v>29</v>
      </c>
      <c r="B1348" t="s">
        <v>18</v>
      </c>
      <c r="C1348">
        <v>124200</v>
      </c>
      <c r="D1348" t="s">
        <v>46</v>
      </c>
      <c r="E1348" t="s">
        <v>20</v>
      </c>
      <c r="F1348" t="s">
        <v>39</v>
      </c>
      <c r="G1348" t="s">
        <v>22</v>
      </c>
      <c r="H1348" t="s">
        <v>28</v>
      </c>
      <c r="I1348" t="s">
        <v>24</v>
      </c>
      <c r="J1348">
        <v>44041.5</v>
      </c>
      <c r="K1348">
        <v>0</v>
      </c>
      <c r="L1348" t="s">
        <v>42</v>
      </c>
      <c r="M1348" t="s">
        <v>26</v>
      </c>
      <c r="N1348" t="s">
        <v>58</v>
      </c>
      <c r="O1348" t="s">
        <v>83</v>
      </c>
      <c r="P1348" t="s">
        <v>59</v>
      </c>
      <c r="Q1348">
        <v>1</v>
      </c>
    </row>
    <row r="1349" spans="1:17" x14ac:dyDescent="0.25">
      <c r="A1349" t="s">
        <v>17</v>
      </c>
      <c r="B1349" t="s">
        <v>18</v>
      </c>
      <c r="C1349">
        <v>157500</v>
      </c>
      <c r="D1349" t="s">
        <v>19</v>
      </c>
      <c r="E1349" t="s">
        <v>20</v>
      </c>
      <c r="F1349" t="s">
        <v>32</v>
      </c>
      <c r="G1349" t="s">
        <v>22</v>
      </c>
      <c r="H1349" t="s">
        <v>23</v>
      </c>
      <c r="I1349" t="s">
        <v>24</v>
      </c>
      <c r="J1349">
        <v>143955</v>
      </c>
      <c r="K1349">
        <v>14395.5</v>
      </c>
      <c r="L1349" t="s">
        <v>42</v>
      </c>
      <c r="M1349" t="s">
        <v>26</v>
      </c>
      <c r="N1349" t="s">
        <v>27</v>
      </c>
      <c r="O1349" t="s">
        <v>35</v>
      </c>
      <c r="P1349" t="s">
        <v>26</v>
      </c>
      <c r="Q1349">
        <v>0</v>
      </c>
    </row>
    <row r="1350" spans="1:17" x14ac:dyDescent="0.25">
      <c r="A1350" t="s">
        <v>17</v>
      </c>
      <c r="B1350" t="s">
        <v>18</v>
      </c>
      <c r="C1350">
        <v>157500</v>
      </c>
      <c r="D1350" t="s">
        <v>19</v>
      </c>
      <c r="E1350" t="s">
        <v>20</v>
      </c>
      <c r="F1350" t="s">
        <v>32</v>
      </c>
      <c r="G1350" t="s">
        <v>22</v>
      </c>
      <c r="H1350" t="s">
        <v>23</v>
      </c>
      <c r="I1350" t="s">
        <v>66</v>
      </c>
      <c r="J1350">
        <v>180000</v>
      </c>
      <c r="K1350">
        <v>0</v>
      </c>
      <c r="L1350" t="s">
        <v>38</v>
      </c>
      <c r="M1350" t="s">
        <v>41</v>
      </c>
      <c r="N1350" t="s">
        <v>27</v>
      </c>
      <c r="O1350" t="s">
        <v>35</v>
      </c>
      <c r="P1350" t="s">
        <v>26</v>
      </c>
      <c r="Q1350">
        <v>0</v>
      </c>
    </row>
    <row r="1351" spans="1:17" x14ac:dyDescent="0.25">
      <c r="A1351" t="s">
        <v>17</v>
      </c>
      <c r="B1351" t="s">
        <v>18</v>
      </c>
      <c r="C1351">
        <v>180000</v>
      </c>
      <c r="D1351" t="s">
        <v>19</v>
      </c>
      <c r="E1351" t="s">
        <v>31</v>
      </c>
      <c r="F1351" t="s">
        <v>21</v>
      </c>
      <c r="G1351" t="s">
        <v>22</v>
      </c>
      <c r="H1351" t="s">
        <v>23</v>
      </c>
      <c r="I1351" t="s">
        <v>24</v>
      </c>
      <c r="J1351">
        <v>118260</v>
      </c>
      <c r="K1351">
        <v>45000</v>
      </c>
      <c r="L1351" t="s">
        <v>45</v>
      </c>
      <c r="M1351" t="s">
        <v>26</v>
      </c>
      <c r="N1351" t="s">
        <v>27</v>
      </c>
      <c r="O1351" t="s">
        <v>35</v>
      </c>
      <c r="P1351" t="s">
        <v>26</v>
      </c>
      <c r="Q1351">
        <v>0</v>
      </c>
    </row>
    <row r="1352" spans="1:17" x14ac:dyDescent="0.25">
      <c r="A1352" t="s">
        <v>29</v>
      </c>
      <c r="B1352" t="s">
        <v>36</v>
      </c>
      <c r="C1352">
        <v>135000</v>
      </c>
      <c r="D1352" t="s">
        <v>44</v>
      </c>
      <c r="E1352" t="s">
        <v>31</v>
      </c>
      <c r="F1352" t="s">
        <v>32</v>
      </c>
      <c r="G1352" t="s">
        <v>22</v>
      </c>
      <c r="H1352" t="s">
        <v>49</v>
      </c>
      <c r="I1352" t="s">
        <v>24</v>
      </c>
      <c r="J1352">
        <v>36337.5</v>
      </c>
      <c r="K1352">
        <v>3645</v>
      </c>
      <c r="L1352" t="s">
        <v>42</v>
      </c>
      <c r="M1352" t="s">
        <v>26</v>
      </c>
      <c r="N1352" t="s">
        <v>27</v>
      </c>
      <c r="O1352" t="s">
        <v>35</v>
      </c>
      <c r="P1352" t="s">
        <v>26</v>
      </c>
      <c r="Q1352">
        <v>0</v>
      </c>
    </row>
    <row r="1353" spans="1:17" x14ac:dyDescent="0.25">
      <c r="A1353" t="s">
        <v>29</v>
      </c>
      <c r="B1353" t="s">
        <v>36</v>
      </c>
      <c r="C1353">
        <v>135000</v>
      </c>
      <c r="D1353" t="s">
        <v>44</v>
      </c>
      <c r="E1353" t="s">
        <v>31</v>
      </c>
      <c r="F1353" t="s">
        <v>32</v>
      </c>
      <c r="G1353" t="s">
        <v>22</v>
      </c>
      <c r="H1353" t="s">
        <v>49</v>
      </c>
      <c r="I1353" t="s">
        <v>24</v>
      </c>
      <c r="J1353">
        <v>19305</v>
      </c>
      <c r="K1353">
        <v>1930.5</v>
      </c>
      <c r="L1353" t="s">
        <v>38</v>
      </c>
      <c r="M1353" t="s">
        <v>26</v>
      </c>
      <c r="N1353" t="s">
        <v>27</v>
      </c>
      <c r="O1353" t="s">
        <v>35</v>
      </c>
      <c r="P1353" t="s">
        <v>26</v>
      </c>
      <c r="Q1353">
        <v>0</v>
      </c>
    </row>
    <row r="1354" spans="1:17" x14ac:dyDescent="0.25">
      <c r="A1354" t="s">
        <v>29</v>
      </c>
      <c r="B1354" t="s">
        <v>36</v>
      </c>
      <c r="C1354">
        <v>225000</v>
      </c>
      <c r="D1354" t="s">
        <v>44</v>
      </c>
      <c r="E1354" t="s">
        <v>20</v>
      </c>
      <c r="F1354" t="s">
        <v>32</v>
      </c>
      <c r="G1354" t="s">
        <v>62</v>
      </c>
      <c r="H1354" t="s">
        <v>23</v>
      </c>
      <c r="I1354" t="s">
        <v>24</v>
      </c>
      <c r="J1354">
        <v>137250</v>
      </c>
      <c r="K1354">
        <v>27450</v>
      </c>
      <c r="L1354" t="s">
        <v>45</v>
      </c>
      <c r="M1354" t="s">
        <v>26</v>
      </c>
      <c r="N1354" t="s">
        <v>27</v>
      </c>
      <c r="O1354" t="s">
        <v>35</v>
      </c>
      <c r="P1354" t="s">
        <v>26</v>
      </c>
      <c r="Q1354">
        <v>0</v>
      </c>
    </row>
    <row r="1355" spans="1:17" x14ac:dyDescent="0.25">
      <c r="A1355" t="s">
        <v>29</v>
      </c>
      <c r="B1355" t="s">
        <v>36</v>
      </c>
      <c r="C1355">
        <v>225000</v>
      </c>
      <c r="D1355" t="s">
        <v>44</v>
      </c>
      <c r="E1355" t="s">
        <v>20</v>
      </c>
      <c r="F1355" t="s">
        <v>32</v>
      </c>
      <c r="G1355" t="s">
        <v>62</v>
      </c>
      <c r="H1355" t="s">
        <v>23</v>
      </c>
      <c r="I1355" t="s">
        <v>24</v>
      </c>
      <c r="J1355">
        <v>81855</v>
      </c>
      <c r="K1355">
        <v>0</v>
      </c>
      <c r="L1355" t="s">
        <v>42</v>
      </c>
      <c r="M1355" t="s">
        <v>26</v>
      </c>
      <c r="N1355" t="s">
        <v>27</v>
      </c>
      <c r="O1355" t="s">
        <v>35</v>
      </c>
      <c r="P1355" t="s">
        <v>26</v>
      </c>
      <c r="Q1355">
        <v>0</v>
      </c>
    </row>
    <row r="1356" spans="1:17" x14ac:dyDescent="0.25">
      <c r="A1356" t="s">
        <v>29</v>
      </c>
      <c r="B1356" t="s">
        <v>36</v>
      </c>
      <c r="C1356">
        <v>225000</v>
      </c>
      <c r="D1356" t="s">
        <v>44</v>
      </c>
      <c r="E1356" t="s">
        <v>20</v>
      </c>
      <c r="F1356" t="s">
        <v>32</v>
      </c>
      <c r="G1356" t="s">
        <v>62</v>
      </c>
      <c r="H1356" t="s">
        <v>23</v>
      </c>
      <c r="I1356" t="s">
        <v>24</v>
      </c>
      <c r="J1356">
        <v>107887.5</v>
      </c>
      <c r="K1356">
        <v>21600</v>
      </c>
      <c r="L1356" t="s">
        <v>38</v>
      </c>
      <c r="M1356" t="s">
        <v>26</v>
      </c>
      <c r="N1356" t="s">
        <v>58</v>
      </c>
      <c r="O1356" t="s">
        <v>35</v>
      </c>
      <c r="P1356" t="s">
        <v>60</v>
      </c>
      <c r="Q1356">
        <v>1</v>
      </c>
    </row>
    <row r="1357" spans="1:17" x14ac:dyDescent="0.25">
      <c r="A1357" t="s">
        <v>29</v>
      </c>
      <c r="B1357" t="s">
        <v>36</v>
      </c>
      <c r="C1357">
        <v>225000</v>
      </c>
      <c r="D1357" t="s">
        <v>44</v>
      </c>
      <c r="E1357" t="s">
        <v>20</v>
      </c>
      <c r="F1357" t="s">
        <v>32</v>
      </c>
      <c r="G1357" t="s">
        <v>62</v>
      </c>
      <c r="H1357" t="s">
        <v>23</v>
      </c>
      <c r="I1357" t="s">
        <v>24</v>
      </c>
      <c r="J1357">
        <v>30937.5</v>
      </c>
      <c r="K1357">
        <v>3150</v>
      </c>
      <c r="L1357" t="s">
        <v>34</v>
      </c>
      <c r="M1357" t="s">
        <v>26</v>
      </c>
      <c r="N1357" t="s">
        <v>27</v>
      </c>
      <c r="O1357" t="s">
        <v>28</v>
      </c>
      <c r="P1357" t="s">
        <v>26</v>
      </c>
      <c r="Q1357">
        <v>0</v>
      </c>
    </row>
    <row r="1358" spans="1:17" x14ac:dyDescent="0.25">
      <c r="A1358" t="s">
        <v>29</v>
      </c>
      <c r="B1358" t="s">
        <v>18</v>
      </c>
      <c r="C1358">
        <v>202500</v>
      </c>
      <c r="D1358" t="s">
        <v>44</v>
      </c>
      <c r="E1358" t="s">
        <v>20</v>
      </c>
      <c r="F1358" t="s">
        <v>32</v>
      </c>
      <c r="G1358" t="s">
        <v>22</v>
      </c>
      <c r="H1358" t="s">
        <v>49</v>
      </c>
      <c r="I1358" t="s">
        <v>24</v>
      </c>
      <c r="J1358">
        <v>311850</v>
      </c>
      <c r="K1358">
        <v>31185</v>
      </c>
      <c r="L1358" t="s">
        <v>25</v>
      </c>
      <c r="M1358" t="s">
        <v>26</v>
      </c>
      <c r="N1358" t="s">
        <v>27</v>
      </c>
      <c r="O1358" t="s">
        <v>35</v>
      </c>
      <c r="P1358" t="s">
        <v>26</v>
      </c>
      <c r="Q1358">
        <v>0</v>
      </c>
    </row>
    <row r="1359" spans="1:17" x14ac:dyDescent="0.25">
      <c r="A1359" t="s">
        <v>29</v>
      </c>
      <c r="B1359" t="s">
        <v>18</v>
      </c>
      <c r="C1359">
        <v>202500</v>
      </c>
      <c r="D1359" t="s">
        <v>44</v>
      </c>
      <c r="E1359" t="s">
        <v>20</v>
      </c>
      <c r="F1359" t="s">
        <v>32</v>
      </c>
      <c r="G1359" t="s">
        <v>22</v>
      </c>
      <c r="H1359" t="s">
        <v>49</v>
      </c>
      <c r="I1359" t="s">
        <v>24</v>
      </c>
      <c r="J1359">
        <v>27927</v>
      </c>
      <c r="K1359">
        <v>0</v>
      </c>
      <c r="L1359" t="s">
        <v>45</v>
      </c>
      <c r="M1359" t="s">
        <v>26</v>
      </c>
      <c r="N1359" t="s">
        <v>27</v>
      </c>
      <c r="O1359" t="s">
        <v>35</v>
      </c>
      <c r="P1359" t="s">
        <v>26</v>
      </c>
      <c r="Q1359">
        <v>0</v>
      </c>
    </row>
    <row r="1360" spans="1:17" x14ac:dyDescent="0.25">
      <c r="A1360" t="s">
        <v>29</v>
      </c>
      <c r="B1360" t="s">
        <v>18</v>
      </c>
      <c r="C1360">
        <v>202500</v>
      </c>
      <c r="D1360" t="s">
        <v>44</v>
      </c>
      <c r="E1360" t="s">
        <v>20</v>
      </c>
      <c r="F1360" t="s">
        <v>32</v>
      </c>
      <c r="G1360" t="s">
        <v>22</v>
      </c>
      <c r="H1360" t="s">
        <v>49</v>
      </c>
      <c r="I1360" t="s">
        <v>24</v>
      </c>
      <c r="J1360">
        <v>50467.5</v>
      </c>
      <c r="K1360">
        <v>0</v>
      </c>
      <c r="L1360" t="s">
        <v>34</v>
      </c>
      <c r="M1360" t="s">
        <v>26</v>
      </c>
      <c r="N1360" t="s">
        <v>27</v>
      </c>
      <c r="O1360" t="s">
        <v>28</v>
      </c>
      <c r="P1360" t="s">
        <v>26</v>
      </c>
      <c r="Q1360">
        <v>0</v>
      </c>
    </row>
    <row r="1361" spans="1:17" x14ac:dyDescent="0.25">
      <c r="A1361" t="s">
        <v>29</v>
      </c>
      <c r="B1361" t="s">
        <v>18</v>
      </c>
      <c r="C1361">
        <v>202500</v>
      </c>
      <c r="D1361" t="s">
        <v>44</v>
      </c>
      <c r="E1361" t="s">
        <v>20</v>
      </c>
      <c r="F1361" t="s">
        <v>32</v>
      </c>
      <c r="G1361" t="s">
        <v>22</v>
      </c>
      <c r="H1361" t="s">
        <v>49</v>
      </c>
      <c r="I1361" t="s">
        <v>24</v>
      </c>
      <c r="J1361">
        <v>127233</v>
      </c>
      <c r="K1361">
        <v>12726</v>
      </c>
      <c r="L1361" t="s">
        <v>34</v>
      </c>
      <c r="M1361" t="s">
        <v>26</v>
      </c>
      <c r="N1361" t="s">
        <v>27</v>
      </c>
      <c r="O1361" t="s">
        <v>35</v>
      </c>
      <c r="P1361" t="s">
        <v>26</v>
      </c>
      <c r="Q1361">
        <v>0</v>
      </c>
    </row>
    <row r="1362" spans="1:17" x14ac:dyDescent="0.25">
      <c r="A1362" t="s">
        <v>29</v>
      </c>
      <c r="B1362" t="s">
        <v>18</v>
      </c>
      <c r="C1362">
        <v>400500</v>
      </c>
      <c r="D1362" t="s">
        <v>30</v>
      </c>
      <c r="E1362" t="s">
        <v>31</v>
      </c>
      <c r="F1362" t="s">
        <v>69</v>
      </c>
      <c r="G1362" t="s">
        <v>22</v>
      </c>
      <c r="H1362" t="s">
        <v>61</v>
      </c>
      <c r="I1362" t="s">
        <v>24</v>
      </c>
      <c r="J1362">
        <v>24660</v>
      </c>
      <c r="K1362">
        <v>4950</v>
      </c>
      <c r="L1362" t="s">
        <v>43</v>
      </c>
      <c r="M1362" t="s">
        <v>26</v>
      </c>
      <c r="N1362" t="s">
        <v>27</v>
      </c>
      <c r="O1362" t="s">
        <v>35</v>
      </c>
      <c r="P1362" t="s">
        <v>26</v>
      </c>
      <c r="Q1362">
        <v>0</v>
      </c>
    </row>
    <row r="1363" spans="1:17" x14ac:dyDescent="0.25">
      <c r="A1363" t="s">
        <v>29</v>
      </c>
      <c r="B1363" t="s">
        <v>36</v>
      </c>
      <c r="C1363">
        <v>360000</v>
      </c>
      <c r="D1363" t="s">
        <v>44</v>
      </c>
      <c r="E1363" t="s">
        <v>31</v>
      </c>
      <c r="F1363" t="s">
        <v>21</v>
      </c>
      <c r="G1363" t="s">
        <v>22</v>
      </c>
      <c r="H1363" t="s">
        <v>92</v>
      </c>
      <c r="I1363" t="s">
        <v>24</v>
      </c>
      <c r="J1363">
        <v>54832.5</v>
      </c>
      <c r="K1363">
        <v>0</v>
      </c>
      <c r="L1363" t="s">
        <v>25</v>
      </c>
      <c r="M1363" t="s">
        <v>26</v>
      </c>
      <c r="N1363" t="s">
        <v>27</v>
      </c>
      <c r="O1363" t="s">
        <v>35</v>
      </c>
      <c r="P1363" t="s">
        <v>26</v>
      </c>
      <c r="Q1363">
        <v>0</v>
      </c>
    </row>
    <row r="1364" spans="1:17" x14ac:dyDescent="0.25">
      <c r="A1364" t="s">
        <v>29</v>
      </c>
      <c r="B1364" t="s">
        <v>36</v>
      </c>
      <c r="C1364">
        <v>360000</v>
      </c>
      <c r="D1364" t="s">
        <v>44</v>
      </c>
      <c r="E1364" t="s">
        <v>31</v>
      </c>
      <c r="F1364" t="s">
        <v>21</v>
      </c>
      <c r="G1364" t="s">
        <v>22</v>
      </c>
      <c r="H1364" t="s">
        <v>92</v>
      </c>
      <c r="I1364" t="s">
        <v>24</v>
      </c>
      <c r="J1364">
        <v>80050.5</v>
      </c>
      <c r="K1364">
        <v>8010</v>
      </c>
      <c r="L1364" t="s">
        <v>34</v>
      </c>
      <c r="M1364" t="s">
        <v>26</v>
      </c>
      <c r="N1364" t="s">
        <v>27</v>
      </c>
      <c r="O1364" t="s">
        <v>35</v>
      </c>
      <c r="P1364" t="s">
        <v>26</v>
      </c>
      <c r="Q1364">
        <v>0</v>
      </c>
    </row>
    <row r="1365" spans="1:17" x14ac:dyDescent="0.25">
      <c r="A1365" t="s">
        <v>29</v>
      </c>
      <c r="B1365" t="s">
        <v>36</v>
      </c>
      <c r="C1365">
        <v>135000</v>
      </c>
      <c r="D1365" t="s">
        <v>19</v>
      </c>
      <c r="E1365" t="s">
        <v>20</v>
      </c>
      <c r="F1365" t="s">
        <v>32</v>
      </c>
      <c r="G1365" t="s">
        <v>22</v>
      </c>
      <c r="H1365" t="s">
        <v>68</v>
      </c>
      <c r="I1365" t="s">
        <v>24</v>
      </c>
      <c r="J1365">
        <v>116028</v>
      </c>
      <c r="K1365">
        <v>0</v>
      </c>
      <c r="L1365" t="s">
        <v>42</v>
      </c>
      <c r="M1365" t="s">
        <v>26</v>
      </c>
      <c r="N1365" t="s">
        <v>58</v>
      </c>
      <c r="O1365" t="s">
        <v>35</v>
      </c>
      <c r="P1365" t="s">
        <v>60</v>
      </c>
      <c r="Q1365">
        <v>1</v>
      </c>
    </row>
    <row r="1366" spans="1:17" x14ac:dyDescent="0.25">
      <c r="A1366" t="s">
        <v>29</v>
      </c>
      <c r="B1366" t="s">
        <v>36</v>
      </c>
      <c r="C1366">
        <v>135000</v>
      </c>
      <c r="D1366" t="s">
        <v>19</v>
      </c>
      <c r="E1366" t="s">
        <v>20</v>
      </c>
      <c r="F1366" t="s">
        <v>32</v>
      </c>
      <c r="G1366" t="s">
        <v>22</v>
      </c>
      <c r="H1366" t="s">
        <v>68</v>
      </c>
      <c r="I1366" t="s">
        <v>24</v>
      </c>
      <c r="J1366">
        <v>41260.5</v>
      </c>
      <c r="K1366">
        <v>9000</v>
      </c>
      <c r="L1366" t="s">
        <v>42</v>
      </c>
      <c r="M1366" t="s">
        <v>26</v>
      </c>
      <c r="N1366" t="s">
        <v>27</v>
      </c>
      <c r="O1366" t="s">
        <v>35</v>
      </c>
      <c r="P1366" t="s">
        <v>26</v>
      </c>
      <c r="Q1366">
        <v>0</v>
      </c>
    </row>
    <row r="1367" spans="1:17" x14ac:dyDescent="0.25">
      <c r="A1367" t="s">
        <v>29</v>
      </c>
      <c r="B1367" t="s">
        <v>36</v>
      </c>
      <c r="C1367">
        <v>135000</v>
      </c>
      <c r="D1367" t="s">
        <v>19</v>
      </c>
      <c r="E1367" t="s">
        <v>20</v>
      </c>
      <c r="F1367" t="s">
        <v>32</v>
      </c>
      <c r="G1367" t="s">
        <v>22</v>
      </c>
      <c r="H1367" t="s">
        <v>68</v>
      </c>
      <c r="I1367" t="s">
        <v>24</v>
      </c>
      <c r="J1367">
        <v>28021.5</v>
      </c>
      <c r="K1367">
        <v>2803.5</v>
      </c>
      <c r="L1367" t="s">
        <v>38</v>
      </c>
      <c r="M1367" t="s">
        <v>26</v>
      </c>
      <c r="N1367" t="s">
        <v>27</v>
      </c>
      <c r="O1367" t="s">
        <v>35</v>
      </c>
      <c r="P1367" t="s">
        <v>26</v>
      </c>
      <c r="Q1367">
        <v>0</v>
      </c>
    </row>
    <row r="1368" spans="1:17" x14ac:dyDescent="0.25">
      <c r="A1368" t="s">
        <v>29</v>
      </c>
      <c r="B1368" t="s">
        <v>36</v>
      </c>
      <c r="C1368">
        <v>135000</v>
      </c>
      <c r="D1368" t="s">
        <v>19</v>
      </c>
      <c r="E1368" t="s">
        <v>20</v>
      </c>
      <c r="F1368" t="s">
        <v>32</v>
      </c>
      <c r="G1368" t="s">
        <v>22</v>
      </c>
      <c r="H1368" t="s">
        <v>68</v>
      </c>
      <c r="I1368" t="s">
        <v>24</v>
      </c>
      <c r="J1368">
        <v>27162</v>
      </c>
      <c r="K1368">
        <v>4500</v>
      </c>
      <c r="L1368" t="s">
        <v>45</v>
      </c>
      <c r="M1368" t="s">
        <v>26</v>
      </c>
      <c r="N1368" t="s">
        <v>58</v>
      </c>
      <c r="O1368" t="s">
        <v>35</v>
      </c>
      <c r="P1368" t="s">
        <v>60</v>
      </c>
      <c r="Q1368">
        <v>1</v>
      </c>
    </row>
    <row r="1369" spans="1:17" x14ac:dyDescent="0.25">
      <c r="A1369" t="s">
        <v>29</v>
      </c>
      <c r="B1369" t="s">
        <v>36</v>
      </c>
      <c r="C1369">
        <v>135000</v>
      </c>
      <c r="D1369" t="s">
        <v>19</v>
      </c>
      <c r="E1369" t="s">
        <v>20</v>
      </c>
      <c r="F1369" t="s">
        <v>32</v>
      </c>
      <c r="G1369" t="s">
        <v>22</v>
      </c>
      <c r="H1369" t="s">
        <v>68</v>
      </c>
      <c r="I1369" t="s">
        <v>90</v>
      </c>
      <c r="J1369">
        <v>45000</v>
      </c>
      <c r="K1369">
        <v>0</v>
      </c>
      <c r="L1369" t="s">
        <v>42</v>
      </c>
      <c r="M1369" t="s">
        <v>26</v>
      </c>
      <c r="N1369" t="s">
        <v>111</v>
      </c>
      <c r="O1369" t="s">
        <v>28</v>
      </c>
      <c r="P1369" t="s">
        <v>26</v>
      </c>
      <c r="Q1369">
        <v>0</v>
      </c>
    </row>
    <row r="1370" spans="1:17" x14ac:dyDescent="0.25">
      <c r="A1370" t="s">
        <v>29</v>
      </c>
      <c r="B1370" t="s">
        <v>18</v>
      </c>
      <c r="C1370">
        <v>144000</v>
      </c>
      <c r="D1370" t="s">
        <v>46</v>
      </c>
      <c r="E1370" t="s">
        <v>20</v>
      </c>
      <c r="F1370" t="s">
        <v>54</v>
      </c>
      <c r="G1370" t="s">
        <v>22</v>
      </c>
      <c r="H1370" t="s">
        <v>28</v>
      </c>
      <c r="I1370" t="s">
        <v>24</v>
      </c>
      <c r="J1370">
        <v>81346.5</v>
      </c>
      <c r="K1370">
        <v>9765</v>
      </c>
      <c r="L1370" t="s">
        <v>43</v>
      </c>
      <c r="M1370" t="s">
        <v>26</v>
      </c>
      <c r="N1370" t="s">
        <v>27</v>
      </c>
      <c r="O1370" t="s">
        <v>35</v>
      </c>
      <c r="P1370" t="s">
        <v>26</v>
      </c>
      <c r="Q1370">
        <v>0</v>
      </c>
    </row>
    <row r="1371" spans="1:17" x14ac:dyDescent="0.25">
      <c r="A1371" t="s">
        <v>29</v>
      </c>
      <c r="B1371" t="s">
        <v>18</v>
      </c>
      <c r="C1371">
        <v>144000</v>
      </c>
      <c r="D1371" t="s">
        <v>46</v>
      </c>
      <c r="E1371" t="s">
        <v>20</v>
      </c>
      <c r="F1371" t="s">
        <v>54</v>
      </c>
      <c r="G1371" t="s">
        <v>22</v>
      </c>
      <c r="H1371" t="s">
        <v>28</v>
      </c>
      <c r="I1371" t="s">
        <v>24</v>
      </c>
      <c r="J1371">
        <v>152352</v>
      </c>
      <c r="K1371">
        <v>0</v>
      </c>
      <c r="L1371" t="s">
        <v>25</v>
      </c>
      <c r="M1371" t="s">
        <v>26</v>
      </c>
      <c r="N1371" t="s">
        <v>27</v>
      </c>
      <c r="O1371" t="s">
        <v>35</v>
      </c>
      <c r="P1371" t="s">
        <v>26</v>
      </c>
      <c r="Q1371">
        <v>0</v>
      </c>
    </row>
    <row r="1372" spans="1:17" x14ac:dyDescent="0.25">
      <c r="A1372" t="s">
        <v>29</v>
      </c>
      <c r="B1372" t="s">
        <v>18</v>
      </c>
      <c r="C1372">
        <v>144000</v>
      </c>
      <c r="D1372" t="s">
        <v>46</v>
      </c>
      <c r="E1372" t="s">
        <v>20</v>
      </c>
      <c r="F1372" t="s">
        <v>54</v>
      </c>
      <c r="G1372" t="s">
        <v>22</v>
      </c>
      <c r="H1372" t="s">
        <v>28</v>
      </c>
      <c r="I1372" t="s">
        <v>24</v>
      </c>
      <c r="J1372">
        <v>900000</v>
      </c>
      <c r="K1372">
        <v>0</v>
      </c>
      <c r="L1372" t="s">
        <v>34</v>
      </c>
      <c r="M1372" t="s">
        <v>26</v>
      </c>
      <c r="N1372" t="s">
        <v>27</v>
      </c>
      <c r="O1372" t="s">
        <v>35</v>
      </c>
      <c r="P1372" t="s">
        <v>26</v>
      </c>
      <c r="Q1372">
        <v>0</v>
      </c>
    </row>
    <row r="1373" spans="1:17" x14ac:dyDescent="0.25">
      <c r="A1373" t="s">
        <v>17</v>
      </c>
      <c r="B1373" t="s">
        <v>36</v>
      </c>
      <c r="C1373">
        <v>202500</v>
      </c>
      <c r="D1373" t="s">
        <v>19</v>
      </c>
      <c r="E1373" t="s">
        <v>31</v>
      </c>
      <c r="F1373" t="s">
        <v>32</v>
      </c>
      <c r="G1373" t="s">
        <v>22</v>
      </c>
      <c r="H1373" t="s">
        <v>114</v>
      </c>
      <c r="I1373" t="s">
        <v>24</v>
      </c>
      <c r="J1373">
        <v>51592.5</v>
      </c>
      <c r="K1373">
        <v>5161.5</v>
      </c>
      <c r="L1373" t="s">
        <v>42</v>
      </c>
      <c r="M1373" t="s">
        <v>26</v>
      </c>
      <c r="N1373" t="s">
        <v>27</v>
      </c>
      <c r="O1373" t="s">
        <v>35</v>
      </c>
      <c r="P1373" t="s">
        <v>26</v>
      </c>
      <c r="Q1373">
        <v>0</v>
      </c>
    </row>
    <row r="1374" spans="1:17" x14ac:dyDescent="0.25">
      <c r="A1374" t="s">
        <v>17</v>
      </c>
      <c r="B1374" t="s">
        <v>36</v>
      </c>
      <c r="C1374">
        <v>202500</v>
      </c>
      <c r="D1374" t="s">
        <v>19</v>
      </c>
      <c r="E1374" t="s">
        <v>31</v>
      </c>
      <c r="F1374" t="s">
        <v>32</v>
      </c>
      <c r="G1374" t="s">
        <v>22</v>
      </c>
      <c r="H1374" t="s">
        <v>114</v>
      </c>
      <c r="I1374" t="s">
        <v>24</v>
      </c>
      <c r="J1374">
        <v>153288</v>
      </c>
      <c r="K1374">
        <v>0</v>
      </c>
      <c r="L1374" t="s">
        <v>45</v>
      </c>
      <c r="M1374" t="s">
        <v>26</v>
      </c>
      <c r="N1374" t="s">
        <v>27</v>
      </c>
      <c r="O1374" t="s">
        <v>35</v>
      </c>
      <c r="P1374" t="s">
        <v>26</v>
      </c>
      <c r="Q1374">
        <v>0</v>
      </c>
    </row>
    <row r="1375" spans="1:17" x14ac:dyDescent="0.25">
      <c r="A1375" t="s">
        <v>17</v>
      </c>
      <c r="B1375" t="s">
        <v>18</v>
      </c>
      <c r="C1375">
        <v>225000</v>
      </c>
      <c r="D1375" t="s">
        <v>19</v>
      </c>
      <c r="E1375" t="s">
        <v>20</v>
      </c>
      <c r="F1375" t="s">
        <v>54</v>
      </c>
      <c r="G1375" t="s">
        <v>22</v>
      </c>
      <c r="H1375" t="s">
        <v>23</v>
      </c>
      <c r="I1375" t="s">
        <v>24</v>
      </c>
      <c r="J1375">
        <v>43416</v>
      </c>
      <c r="K1375">
        <v>22500</v>
      </c>
      <c r="L1375" t="s">
        <v>34</v>
      </c>
      <c r="M1375" t="s">
        <v>26</v>
      </c>
      <c r="N1375" t="s">
        <v>27</v>
      </c>
      <c r="O1375" t="s">
        <v>35</v>
      </c>
      <c r="P1375" t="s">
        <v>26</v>
      </c>
      <c r="Q1375">
        <v>0</v>
      </c>
    </row>
    <row r="1376" spans="1:17" x14ac:dyDescent="0.25">
      <c r="A1376" t="s">
        <v>17</v>
      </c>
      <c r="B1376" t="s">
        <v>18</v>
      </c>
      <c r="C1376">
        <v>225000</v>
      </c>
      <c r="D1376" t="s">
        <v>19</v>
      </c>
      <c r="E1376" t="s">
        <v>20</v>
      </c>
      <c r="F1376" t="s">
        <v>54</v>
      </c>
      <c r="G1376" t="s">
        <v>22</v>
      </c>
      <c r="H1376" t="s">
        <v>23</v>
      </c>
      <c r="I1376" t="s">
        <v>24</v>
      </c>
      <c r="J1376">
        <v>118836</v>
      </c>
      <c r="K1376">
        <v>0</v>
      </c>
      <c r="L1376" t="s">
        <v>51</v>
      </c>
      <c r="M1376" t="s">
        <v>26</v>
      </c>
      <c r="N1376" t="s">
        <v>27</v>
      </c>
      <c r="O1376" t="s">
        <v>35</v>
      </c>
      <c r="P1376" t="s">
        <v>26</v>
      </c>
      <c r="Q1376">
        <v>0</v>
      </c>
    </row>
    <row r="1377" spans="1:17" x14ac:dyDescent="0.25">
      <c r="A1377" t="s">
        <v>17</v>
      </c>
      <c r="B1377" t="s">
        <v>18</v>
      </c>
      <c r="C1377">
        <v>225000</v>
      </c>
      <c r="D1377" t="s">
        <v>19</v>
      </c>
      <c r="E1377" t="s">
        <v>20</v>
      </c>
      <c r="F1377" t="s">
        <v>54</v>
      </c>
      <c r="G1377" t="s">
        <v>22</v>
      </c>
      <c r="H1377" t="s">
        <v>23</v>
      </c>
      <c r="I1377" t="s">
        <v>24</v>
      </c>
      <c r="J1377">
        <v>89482.5</v>
      </c>
      <c r="K1377">
        <v>54000</v>
      </c>
      <c r="L1377" t="s">
        <v>25</v>
      </c>
      <c r="M1377" t="s">
        <v>26</v>
      </c>
      <c r="N1377" t="s">
        <v>27</v>
      </c>
      <c r="O1377" t="s">
        <v>35</v>
      </c>
      <c r="P1377" t="s">
        <v>26</v>
      </c>
      <c r="Q1377">
        <v>0</v>
      </c>
    </row>
    <row r="1378" spans="1:17" x14ac:dyDescent="0.25">
      <c r="A1378" t="s">
        <v>17</v>
      </c>
      <c r="B1378" t="s">
        <v>18</v>
      </c>
      <c r="C1378">
        <v>180000</v>
      </c>
      <c r="D1378" t="s">
        <v>19</v>
      </c>
      <c r="E1378" t="s">
        <v>20</v>
      </c>
      <c r="F1378" t="s">
        <v>32</v>
      </c>
      <c r="G1378" t="s">
        <v>22</v>
      </c>
      <c r="H1378" t="s">
        <v>23</v>
      </c>
      <c r="I1378" t="s">
        <v>24</v>
      </c>
      <c r="J1378">
        <v>28300.5</v>
      </c>
      <c r="K1378">
        <v>4500</v>
      </c>
      <c r="L1378" t="s">
        <v>43</v>
      </c>
      <c r="M1378" t="s">
        <v>26</v>
      </c>
      <c r="N1378" t="s">
        <v>27</v>
      </c>
      <c r="O1378" t="s">
        <v>35</v>
      </c>
      <c r="P1378" t="s">
        <v>26</v>
      </c>
      <c r="Q1378">
        <v>0</v>
      </c>
    </row>
    <row r="1379" spans="1:17" x14ac:dyDescent="0.25">
      <c r="A1379" t="s">
        <v>29</v>
      </c>
      <c r="B1379" t="s">
        <v>18</v>
      </c>
      <c r="C1379">
        <v>90000</v>
      </c>
      <c r="D1379" t="s">
        <v>30</v>
      </c>
      <c r="E1379" t="s">
        <v>31</v>
      </c>
      <c r="F1379" t="s">
        <v>39</v>
      </c>
      <c r="G1379" t="s">
        <v>22</v>
      </c>
      <c r="H1379" t="s">
        <v>37</v>
      </c>
      <c r="I1379" t="s">
        <v>24</v>
      </c>
      <c r="J1379">
        <v>65650.5</v>
      </c>
      <c r="K1379">
        <v>6961.5</v>
      </c>
      <c r="L1379" t="s">
        <v>43</v>
      </c>
      <c r="M1379" t="s">
        <v>26</v>
      </c>
      <c r="N1379" t="s">
        <v>27</v>
      </c>
      <c r="O1379" t="s">
        <v>35</v>
      </c>
      <c r="P1379" t="s">
        <v>26</v>
      </c>
      <c r="Q1379">
        <v>0</v>
      </c>
    </row>
    <row r="1380" spans="1:17" x14ac:dyDescent="0.25">
      <c r="A1380" t="s">
        <v>29</v>
      </c>
      <c r="B1380" t="s">
        <v>18</v>
      </c>
      <c r="C1380">
        <v>90000</v>
      </c>
      <c r="D1380" t="s">
        <v>30</v>
      </c>
      <c r="E1380" t="s">
        <v>31</v>
      </c>
      <c r="F1380" t="s">
        <v>39</v>
      </c>
      <c r="G1380" t="s">
        <v>22</v>
      </c>
      <c r="H1380" t="s">
        <v>37</v>
      </c>
      <c r="I1380" t="s">
        <v>24</v>
      </c>
      <c r="J1380">
        <v>26955</v>
      </c>
      <c r="K1380">
        <v>2695.5</v>
      </c>
      <c r="L1380" t="s">
        <v>25</v>
      </c>
      <c r="M1380" t="s">
        <v>26</v>
      </c>
      <c r="N1380" t="s">
        <v>27</v>
      </c>
      <c r="O1380" t="s">
        <v>35</v>
      </c>
      <c r="P1380" t="s">
        <v>26</v>
      </c>
      <c r="Q1380">
        <v>0</v>
      </c>
    </row>
    <row r="1381" spans="1:17" x14ac:dyDescent="0.25">
      <c r="A1381" t="s">
        <v>29</v>
      </c>
      <c r="B1381" t="s">
        <v>36</v>
      </c>
      <c r="C1381">
        <v>54000</v>
      </c>
      <c r="D1381" t="s">
        <v>46</v>
      </c>
      <c r="E1381" t="s">
        <v>20</v>
      </c>
      <c r="F1381" t="s">
        <v>32</v>
      </c>
      <c r="G1381" t="s">
        <v>22</v>
      </c>
      <c r="H1381" t="s">
        <v>28</v>
      </c>
      <c r="I1381" t="s">
        <v>24</v>
      </c>
      <c r="J1381">
        <v>58198.5</v>
      </c>
      <c r="K1381">
        <v>13500</v>
      </c>
      <c r="L1381" t="s">
        <v>42</v>
      </c>
      <c r="M1381" t="s">
        <v>26</v>
      </c>
      <c r="N1381" t="s">
        <v>27</v>
      </c>
      <c r="O1381" t="s">
        <v>28</v>
      </c>
      <c r="P1381" t="s">
        <v>26</v>
      </c>
      <c r="Q1381">
        <v>0</v>
      </c>
    </row>
    <row r="1382" spans="1:17" x14ac:dyDescent="0.25">
      <c r="A1382" t="s">
        <v>29</v>
      </c>
      <c r="B1382" t="s">
        <v>36</v>
      </c>
      <c r="C1382">
        <v>54000</v>
      </c>
      <c r="D1382" t="s">
        <v>46</v>
      </c>
      <c r="E1382" t="s">
        <v>20</v>
      </c>
      <c r="F1382" t="s">
        <v>32</v>
      </c>
      <c r="G1382" t="s">
        <v>22</v>
      </c>
      <c r="H1382" t="s">
        <v>28</v>
      </c>
      <c r="I1382" t="s">
        <v>24</v>
      </c>
      <c r="J1382">
        <v>18180</v>
      </c>
      <c r="K1382">
        <v>1822.5</v>
      </c>
      <c r="L1382" t="s">
        <v>42</v>
      </c>
      <c r="M1382" t="s">
        <v>26</v>
      </c>
      <c r="N1382" t="s">
        <v>27</v>
      </c>
      <c r="O1382" t="s">
        <v>35</v>
      </c>
      <c r="P1382" t="s">
        <v>26</v>
      </c>
      <c r="Q1382">
        <v>0</v>
      </c>
    </row>
    <row r="1383" spans="1:17" x14ac:dyDescent="0.25">
      <c r="A1383" t="s">
        <v>17</v>
      </c>
      <c r="B1383" t="s">
        <v>36</v>
      </c>
      <c r="C1383">
        <v>211500</v>
      </c>
      <c r="D1383" t="s">
        <v>19</v>
      </c>
      <c r="E1383" t="s">
        <v>20</v>
      </c>
      <c r="F1383" t="s">
        <v>32</v>
      </c>
      <c r="G1383" t="s">
        <v>22</v>
      </c>
      <c r="H1383" t="s">
        <v>23</v>
      </c>
      <c r="I1383" t="s">
        <v>24</v>
      </c>
      <c r="J1383">
        <v>23422.5</v>
      </c>
      <c r="K1383">
        <v>2344.5</v>
      </c>
      <c r="L1383" t="s">
        <v>38</v>
      </c>
      <c r="M1383" t="s">
        <v>26</v>
      </c>
      <c r="N1383" t="s">
        <v>27</v>
      </c>
      <c r="O1383" t="s">
        <v>35</v>
      </c>
      <c r="P1383" t="s">
        <v>26</v>
      </c>
      <c r="Q1383">
        <v>0</v>
      </c>
    </row>
    <row r="1384" spans="1:17" x14ac:dyDescent="0.25">
      <c r="A1384" t="s">
        <v>29</v>
      </c>
      <c r="B1384" t="s">
        <v>36</v>
      </c>
      <c r="C1384">
        <v>67500</v>
      </c>
      <c r="D1384" t="s">
        <v>46</v>
      </c>
      <c r="E1384" t="s">
        <v>31</v>
      </c>
      <c r="F1384" t="s">
        <v>32</v>
      </c>
      <c r="G1384" t="s">
        <v>22</v>
      </c>
      <c r="H1384" t="s">
        <v>28</v>
      </c>
      <c r="I1384" t="s">
        <v>24</v>
      </c>
      <c r="J1384">
        <v>67936.5</v>
      </c>
      <c r="K1384">
        <v>22500</v>
      </c>
      <c r="L1384" t="s">
        <v>43</v>
      </c>
      <c r="M1384" t="s">
        <v>26</v>
      </c>
      <c r="N1384" t="s">
        <v>27</v>
      </c>
      <c r="O1384" t="s">
        <v>35</v>
      </c>
      <c r="P1384" t="s">
        <v>26</v>
      </c>
      <c r="Q1384">
        <v>0</v>
      </c>
    </row>
    <row r="1385" spans="1:17" x14ac:dyDescent="0.25">
      <c r="A1385" t="s">
        <v>29</v>
      </c>
      <c r="B1385" t="s">
        <v>18</v>
      </c>
      <c r="C1385">
        <v>157500</v>
      </c>
      <c r="D1385" t="s">
        <v>44</v>
      </c>
      <c r="E1385" t="s">
        <v>20</v>
      </c>
      <c r="F1385" t="s">
        <v>69</v>
      </c>
      <c r="G1385" t="s">
        <v>22</v>
      </c>
      <c r="H1385" t="s">
        <v>49</v>
      </c>
      <c r="I1385" t="s">
        <v>24</v>
      </c>
      <c r="J1385">
        <v>91800</v>
      </c>
      <c r="K1385">
        <v>0</v>
      </c>
      <c r="L1385" t="s">
        <v>38</v>
      </c>
      <c r="M1385" t="s">
        <v>26</v>
      </c>
      <c r="N1385" t="s">
        <v>27</v>
      </c>
      <c r="O1385" t="s">
        <v>35</v>
      </c>
      <c r="P1385" t="s">
        <v>26</v>
      </c>
      <c r="Q1385">
        <v>0</v>
      </c>
    </row>
    <row r="1386" spans="1:17" x14ac:dyDescent="0.25">
      <c r="A1386" t="s">
        <v>29</v>
      </c>
      <c r="B1386" t="s">
        <v>18</v>
      </c>
      <c r="C1386">
        <v>90000</v>
      </c>
      <c r="D1386" t="s">
        <v>46</v>
      </c>
      <c r="E1386" t="s">
        <v>20</v>
      </c>
      <c r="F1386" t="s">
        <v>32</v>
      </c>
      <c r="G1386" t="s">
        <v>22</v>
      </c>
      <c r="H1386" t="s">
        <v>28</v>
      </c>
      <c r="I1386" t="s">
        <v>66</v>
      </c>
      <c r="J1386">
        <v>90000</v>
      </c>
      <c r="K1386">
        <v>0</v>
      </c>
      <c r="L1386" t="s">
        <v>45</v>
      </c>
      <c r="M1386" t="s">
        <v>28</v>
      </c>
      <c r="N1386" t="s">
        <v>27</v>
      </c>
      <c r="O1386" t="s">
        <v>28</v>
      </c>
      <c r="P1386" t="s">
        <v>26</v>
      </c>
      <c r="Q1386">
        <v>0</v>
      </c>
    </row>
    <row r="1387" spans="1:17" x14ac:dyDescent="0.25">
      <c r="A1387" t="s">
        <v>29</v>
      </c>
      <c r="B1387" t="s">
        <v>18</v>
      </c>
      <c r="C1387">
        <v>90000</v>
      </c>
      <c r="D1387" t="s">
        <v>46</v>
      </c>
      <c r="E1387" t="s">
        <v>20</v>
      </c>
      <c r="F1387" t="s">
        <v>32</v>
      </c>
      <c r="G1387" t="s">
        <v>22</v>
      </c>
      <c r="H1387" t="s">
        <v>28</v>
      </c>
      <c r="I1387" t="s">
        <v>24</v>
      </c>
      <c r="J1387">
        <v>121149</v>
      </c>
      <c r="K1387">
        <v>12118.5</v>
      </c>
      <c r="L1387" t="s">
        <v>25</v>
      </c>
      <c r="M1387" t="s">
        <v>26</v>
      </c>
      <c r="N1387" t="s">
        <v>27</v>
      </c>
      <c r="O1387" t="s">
        <v>35</v>
      </c>
      <c r="P1387" t="s">
        <v>26</v>
      </c>
      <c r="Q1387">
        <v>0</v>
      </c>
    </row>
    <row r="1388" spans="1:17" x14ac:dyDescent="0.25">
      <c r="A1388" t="s">
        <v>29</v>
      </c>
      <c r="B1388" t="s">
        <v>36</v>
      </c>
      <c r="C1388">
        <v>135000</v>
      </c>
      <c r="D1388" t="s">
        <v>30</v>
      </c>
      <c r="E1388" t="s">
        <v>20</v>
      </c>
      <c r="F1388" t="s">
        <v>32</v>
      </c>
      <c r="G1388" t="s">
        <v>22</v>
      </c>
      <c r="H1388" t="s">
        <v>85</v>
      </c>
      <c r="I1388" t="s">
        <v>24</v>
      </c>
      <c r="J1388">
        <v>69646.5</v>
      </c>
      <c r="K1388">
        <v>0</v>
      </c>
      <c r="L1388" t="s">
        <v>51</v>
      </c>
      <c r="M1388" t="s">
        <v>26</v>
      </c>
      <c r="N1388" t="s">
        <v>27</v>
      </c>
      <c r="O1388" t="s">
        <v>35</v>
      </c>
      <c r="P1388" t="s">
        <v>26</v>
      </c>
      <c r="Q1388">
        <v>0</v>
      </c>
    </row>
    <row r="1389" spans="1:17" x14ac:dyDescent="0.25">
      <c r="A1389" t="s">
        <v>17</v>
      </c>
      <c r="B1389" t="s">
        <v>18</v>
      </c>
      <c r="C1389">
        <v>123300</v>
      </c>
      <c r="D1389" t="s">
        <v>44</v>
      </c>
      <c r="E1389" t="s">
        <v>20</v>
      </c>
      <c r="F1389" t="s">
        <v>21</v>
      </c>
      <c r="G1389" t="s">
        <v>22</v>
      </c>
      <c r="H1389" t="s">
        <v>23</v>
      </c>
      <c r="I1389" t="s">
        <v>24</v>
      </c>
      <c r="J1389">
        <v>136791</v>
      </c>
      <c r="K1389">
        <v>0</v>
      </c>
      <c r="L1389" t="s">
        <v>25</v>
      </c>
      <c r="M1389" t="s">
        <v>26</v>
      </c>
      <c r="N1389" t="s">
        <v>27</v>
      </c>
      <c r="O1389" t="s">
        <v>35</v>
      </c>
      <c r="P1389" t="s">
        <v>26</v>
      </c>
      <c r="Q1389">
        <v>0</v>
      </c>
    </row>
    <row r="1390" spans="1:17" x14ac:dyDescent="0.25">
      <c r="A1390" t="s">
        <v>29</v>
      </c>
      <c r="B1390" t="s">
        <v>18</v>
      </c>
      <c r="C1390">
        <v>202500</v>
      </c>
      <c r="D1390" t="s">
        <v>44</v>
      </c>
      <c r="E1390" t="s">
        <v>20</v>
      </c>
      <c r="F1390" t="s">
        <v>21</v>
      </c>
      <c r="G1390" t="s">
        <v>22</v>
      </c>
      <c r="H1390" t="s">
        <v>80</v>
      </c>
      <c r="I1390" t="s">
        <v>24</v>
      </c>
      <c r="J1390">
        <v>47659.095000000001</v>
      </c>
      <c r="K1390">
        <v>4774.0950000000003</v>
      </c>
      <c r="L1390" t="s">
        <v>43</v>
      </c>
      <c r="M1390" t="s">
        <v>26</v>
      </c>
      <c r="N1390" t="s">
        <v>27</v>
      </c>
      <c r="O1390" t="s">
        <v>35</v>
      </c>
      <c r="P1390" t="s">
        <v>26</v>
      </c>
      <c r="Q1390">
        <v>0</v>
      </c>
    </row>
    <row r="1391" spans="1:17" x14ac:dyDescent="0.25">
      <c r="A1391" t="s">
        <v>29</v>
      </c>
      <c r="B1391" t="s">
        <v>18</v>
      </c>
      <c r="C1391">
        <v>202500</v>
      </c>
      <c r="D1391" t="s">
        <v>44</v>
      </c>
      <c r="E1391" t="s">
        <v>20</v>
      </c>
      <c r="F1391" t="s">
        <v>21</v>
      </c>
      <c r="G1391" t="s">
        <v>22</v>
      </c>
      <c r="H1391" t="s">
        <v>80</v>
      </c>
      <c r="I1391" t="s">
        <v>24</v>
      </c>
      <c r="J1391">
        <v>16609.095000000001</v>
      </c>
      <c r="K1391">
        <v>1669.095</v>
      </c>
      <c r="L1391" t="s">
        <v>43</v>
      </c>
      <c r="M1391" t="s">
        <v>26</v>
      </c>
      <c r="N1391" t="s">
        <v>27</v>
      </c>
      <c r="O1391" t="s">
        <v>35</v>
      </c>
      <c r="P1391" t="s">
        <v>26</v>
      </c>
      <c r="Q1391">
        <v>0</v>
      </c>
    </row>
    <row r="1392" spans="1:17" x14ac:dyDescent="0.25">
      <c r="A1392" t="s">
        <v>29</v>
      </c>
      <c r="B1392" t="s">
        <v>18</v>
      </c>
      <c r="C1392">
        <v>202500</v>
      </c>
      <c r="D1392" t="s">
        <v>44</v>
      </c>
      <c r="E1392" t="s">
        <v>20</v>
      </c>
      <c r="F1392" t="s">
        <v>21</v>
      </c>
      <c r="G1392" t="s">
        <v>22</v>
      </c>
      <c r="H1392" t="s">
        <v>80</v>
      </c>
      <c r="I1392" t="s">
        <v>24</v>
      </c>
      <c r="J1392">
        <v>76410</v>
      </c>
      <c r="K1392">
        <v>0</v>
      </c>
      <c r="L1392" t="s">
        <v>45</v>
      </c>
      <c r="M1392" t="s">
        <v>26</v>
      </c>
      <c r="N1392" t="s">
        <v>27</v>
      </c>
      <c r="O1392" t="s">
        <v>35</v>
      </c>
      <c r="P1392" t="s">
        <v>26</v>
      </c>
      <c r="Q1392">
        <v>0</v>
      </c>
    </row>
    <row r="1393" spans="1:17" x14ac:dyDescent="0.25">
      <c r="A1393" t="s">
        <v>29</v>
      </c>
      <c r="B1393" t="s">
        <v>18</v>
      </c>
      <c r="C1393">
        <v>202500</v>
      </c>
      <c r="D1393" t="s">
        <v>44</v>
      </c>
      <c r="E1393" t="s">
        <v>20</v>
      </c>
      <c r="F1393" t="s">
        <v>21</v>
      </c>
      <c r="G1393" t="s">
        <v>22</v>
      </c>
      <c r="H1393" t="s">
        <v>80</v>
      </c>
      <c r="I1393" t="s">
        <v>66</v>
      </c>
      <c r="J1393">
        <v>112500</v>
      </c>
      <c r="K1393">
        <v>0</v>
      </c>
      <c r="L1393" t="s">
        <v>38</v>
      </c>
      <c r="M1393" t="s">
        <v>113</v>
      </c>
      <c r="N1393" t="s">
        <v>27</v>
      </c>
      <c r="O1393" t="s">
        <v>35</v>
      </c>
      <c r="P1393" t="s">
        <v>26</v>
      </c>
      <c r="Q1393">
        <v>0</v>
      </c>
    </row>
    <row r="1394" spans="1:17" x14ac:dyDescent="0.25">
      <c r="A1394" t="s">
        <v>29</v>
      </c>
      <c r="B1394" t="s">
        <v>36</v>
      </c>
      <c r="C1394">
        <v>112500</v>
      </c>
      <c r="D1394" t="s">
        <v>30</v>
      </c>
      <c r="E1394" t="s">
        <v>31</v>
      </c>
      <c r="F1394" t="s">
        <v>39</v>
      </c>
      <c r="G1394" t="s">
        <v>22</v>
      </c>
      <c r="H1394" t="s">
        <v>103</v>
      </c>
      <c r="I1394" t="s">
        <v>24</v>
      </c>
      <c r="J1394">
        <v>61470</v>
      </c>
      <c r="K1394">
        <v>27000</v>
      </c>
      <c r="L1394" t="s">
        <v>25</v>
      </c>
      <c r="M1394" t="s">
        <v>26</v>
      </c>
      <c r="N1394" t="s">
        <v>27</v>
      </c>
      <c r="O1394" t="s">
        <v>35</v>
      </c>
      <c r="P1394" t="s">
        <v>26</v>
      </c>
      <c r="Q1394">
        <v>0</v>
      </c>
    </row>
    <row r="1395" spans="1:17" x14ac:dyDescent="0.25">
      <c r="A1395" t="s">
        <v>29</v>
      </c>
      <c r="B1395" t="s">
        <v>36</v>
      </c>
      <c r="C1395">
        <v>112500</v>
      </c>
      <c r="D1395" t="s">
        <v>30</v>
      </c>
      <c r="E1395" t="s">
        <v>31</v>
      </c>
      <c r="F1395" t="s">
        <v>39</v>
      </c>
      <c r="G1395" t="s">
        <v>22</v>
      </c>
      <c r="H1395" t="s">
        <v>103</v>
      </c>
      <c r="I1395" t="s">
        <v>24</v>
      </c>
      <c r="J1395">
        <v>139833</v>
      </c>
      <c r="K1395">
        <v>0</v>
      </c>
      <c r="L1395" t="s">
        <v>34</v>
      </c>
      <c r="M1395" t="s">
        <v>26</v>
      </c>
      <c r="N1395" t="s">
        <v>27</v>
      </c>
      <c r="O1395" t="s">
        <v>35</v>
      </c>
      <c r="P1395" t="s">
        <v>26</v>
      </c>
      <c r="Q1395">
        <v>0</v>
      </c>
    </row>
    <row r="1396" spans="1:17" x14ac:dyDescent="0.25">
      <c r="A1396" t="s">
        <v>29</v>
      </c>
      <c r="B1396" t="s">
        <v>18</v>
      </c>
      <c r="C1396">
        <v>139500</v>
      </c>
      <c r="D1396" t="s">
        <v>19</v>
      </c>
      <c r="E1396" t="s">
        <v>20</v>
      </c>
      <c r="F1396" t="s">
        <v>32</v>
      </c>
      <c r="G1396" t="s">
        <v>22</v>
      </c>
      <c r="H1396" t="s">
        <v>57</v>
      </c>
      <c r="I1396" t="s">
        <v>24</v>
      </c>
      <c r="J1396">
        <v>112805.235</v>
      </c>
      <c r="K1396">
        <v>0</v>
      </c>
      <c r="L1396" t="s">
        <v>34</v>
      </c>
      <c r="M1396" t="s">
        <v>26</v>
      </c>
      <c r="N1396" t="s">
        <v>58</v>
      </c>
      <c r="O1396" t="s">
        <v>35</v>
      </c>
      <c r="P1396" t="s">
        <v>59</v>
      </c>
      <c r="Q1396">
        <v>1</v>
      </c>
    </row>
    <row r="1397" spans="1:17" x14ac:dyDescent="0.25">
      <c r="A1397" t="s">
        <v>29</v>
      </c>
      <c r="B1397" t="s">
        <v>18</v>
      </c>
      <c r="C1397">
        <v>135000</v>
      </c>
      <c r="D1397" t="s">
        <v>19</v>
      </c>
      <c r="E1397" t="s">
        <v>20</v>
      </c>
      <c r="F1397" t="s">
        <v>32</v>
      </c>
      <c r="G1397" t="s">
        <v>22</v>
      </c>
      <c r="H1397" t="s">
        <v>68</v>
      </c>
      <c r="I1397" t="s">
        <v>24</v>
      </c>
      <c r="J1397">
        <v>62077.5</v>
      </c>
      <c r="K1397">
        <v>6210</v>
      </c>
      <c r="L1397" t="s">
        <v>45</v>
      </c>
      <c r="M1397" t="s">
        <v>26</v>
      </c>
      <c r="N1397" t="s">
        <v>27</v>
      </c>
      <c r="O1397" t="s">
        <v>35</v>
      </c>
      <c r="P1397" t="s">
        <v>26</v>
      </c>
      <c r="Q1397">
        <v>0</v>
      </c>
    </row>
    <row r="1398" spans="1:17" x14ac:dyDescent="0.25">
      <c r="A1398" t="s">
        <v>17</v>
      </c>
      <c r="B1398" t="s">
        <v>18</v>
      </c>
      <c r="C1398">
        <v>315000</v>
      </c>
      <c r="D1398" t="s">
        <v>44</v>
      </c>
      <c r="E1398" t="s">
        <v>20</v>
      </c>
      <c r="F1398" t="s">
        <v>32</v>
      </c>
      <c r="G1398" t="s">
        <v>22</v>
      </c>
      <c r="H1398" t="s">
        <v>116</v>
      </c>
      <c r="I1398" t="s">
        <v>24</v>
      </c>
      <c r="J1398">
        <v>37714.5</v>
      </c>
      <c r="K1398">
        <v>3775.5</v>
      </c>
      <c r="L1398" t="s">
        <v>34</v>
      </c>
      <c r="M1398" t="s">
        <v>26</v>
      </c>
      <c r="N1398" t="s">
        <v>27</v>
      </c>
      <c r="O1398" t="s">
        <v>35</v>
      </c>
      <c r="P1398" t="s">
        <v>26</v>
      </c>
      <c r="Q1398">
        <v>0</v>
      </c>
    </row>
    <row r="1399" spans="1:17" x14ac:dyDescent="0.25">
      <c r="A1399" t="s">
        <v>17</v>
      </c>
      <c r="B1399" t="s">
        <v>18</v>
      </c>
      <c r="C1399">
        <v>315000</v>
      </c>
      <c r="D1399" t="s">
        <v>44</v>
      </c>
      <c r="E1399" t="s">
        <v>20</v>
      </c>
      <c r="F1399" t="s">
        <v>32</v>
      </c>
      <c r="G1399" t="s">
        <v>22</v>
      </c>
      <c r="H1399" t="s">
        <v>116</v>
      </c>
      <c r="I1399" t="s">
        <v>24</v>
      </c>
      <c r="J1399">
        <v>162000</v>
      </c>
      <c r="K1399">
        <v>0</v>
      </c>
      <c r="L1399" t="s">
        <v>25</v>
      </c>
      <c r="M1399" t="s">
        <v>26</v>
      </c>
      <c r="N1399" t="s">
        <v>27</v>
      </c>
      <c r="O1399" t="s">
        <v>35</v>
      </c>
      <c r="P1399" t="s">
        <v>26</v>
      </c>
      <c r="Q1399">
        <v>0</v>
      </c>
    </row>
    <row r="1400" spans="1:17" x14ac:dyDescent="0.25">
      <c r="A1400" t="s">
        <v>29</v>
      </c>
      <c r="B1400" t="s">
        <v>36</v>
      </c>
      <c r="C1400">
        <v>135000</v>
      </c>
      <c r="D1400" t="s">
        <v>19</v>
      </c>
      <c r="E1400" t="s">
        <v>31</v>
      </c>
      <c r="F1400" t="s">
        <v>39</v>
      </c>
      <c r="G1400" t="s">
        <v>22</v>
      </c>
      <c r="H1400" t="s">
        <v>49</v>
      </c>
      <c r="I1400" t="s">
        <v>90</v>
      </c>
      <c r="J1400">
        <v>157500</v>
      </c>
      <c r="K1400">
        <v>0</v>
      </c>
      <c r="L1400" t="s">
        <v>43</v>
      </c>
      <c r="M1400" t="s">
        <v>26</v>
      </c>
      <c r="N1400" t="s">
        <v>58</v>
      </c>
      <c r="O1400" t="s">
        <v>28</v>
      </c>
      <c r="P1400" t="s">
        <v>60</v>
      </c>
      <c r="Q1400">
        <v>1</v>
      </c>
    </row>
    <row r="1401" spans="1:17" x14ac:dyDescent="0.25">
      <c r="A1401" t="s">
        <v>29</v>
      </c>
      <c r="B1401" t="s">
        <v>36</v>
      </c>
      <c r="C1401">
        <v>135000</v>
      </c>
      <c r="D1401" t="s">
        <v>19</v>
      </c>
      <c r="E1401" t="s">
        <v>31</v>
      </c>
      <c r="F1401" t="s">
        <v>39</v>
      </c>
      <c r="G1401" t="s">
        <v>22</v>
      </c>
      <c r="H1401" t="s">
        <v>49</v>
      </c>
      <c r="I1401" t="s">
        <v>24</v>
      </c>
      <c r="J1401">
        <v>74520</v>
      </c>
      <c r="K1401">
        <v>22500</v>
      </c>
      <c r="L1401" t="s">
        <v>34</v>
      </c>
      <c r="M1401" t="s">
        <v>26</v>
      </c>
      <c r="N1401" t="s">
        <v>27</v>
      </c>
      <c r="O1401" t="s">
        <v>35</v>
      </c>
      <c r="P1401" t="s">
        <v>26</v>
      </c>
      <c r="Q1401">
        <v>0</v>
      </c>
    </row>
    <row r="1402" spans="1:17" x14ac:dyDescent="0.25">
      <c r="A1402" t="s">
        <v>29</v>
      </c>
      <c r="B1402" t="s">
        <v>36</v>
      </c>
      <c r="C1402">
        <v>135000</v>
      </c>
      <c r="D1402" t="s">
        <v>19</v>
      </c>
      <c r="E1402" t="s">
        <v>31</v>
      </c>
      <c r="F1402" t="s">
        <v>39</v>
      </c>
      <c r="G1402" t="s">
        <v>22</v>
      </c>
      <c r="H1402" t="s">
        <v>49</v>
      </c>
      <c r="I1402" t="s">
        <v>24</v>
      </c>
      <c r="J1402">
        <v>82881</v>
      </c>
      <c r="K1402">
        <v>0</v>
      </c>
      <c r="L1402" t="s">
        <v>45</v>
      </c>
      <c r="M1402" t="s">
        <v>26</v>
      </c>
      <c r="N1402" t="s">
        <v>27</v>
      </c>
      <c r="O1402" t="s">
        <v>35</v>
      </c>
      <c r="P1402" t="s">
        <v>26</v>
      </c>
      <c r="Q1402">
        <v>0</v>
      </c>
    </row>
    <row r="1403" spans="1:17" x14ac:dyDescent="0.25">
      <c r="A1403" t="s">
        <v>17</v>
      </c>
      <c r="B1403" t="s">
        <v>36</v>
      </c>
      <c r="C1403">
        <v>112500</v>
      </c>
      <c r="D1403" t="s">
        <v>44</v>
      </c>
      <c r="E1403" t="s">
        <v>20</v>
      </c>
      <c r="F1403" t="s">
        <v>32</v>
      </c>
      <c r="G1403" t="s">
        <v>22</v>
      </c>
      <c r="H1403" t="s">
        <v>100</v>
      </c>
      <c r="I1403" t="s">
        <v>24</v>
      </c>
      <c r="J1403">
        <v>88803</v>
      </c>
      <c r="K1403">
        <v>8883</v>
      </c>
      <c r="L1403" t="s">
        <v>34</v>
      </c>
      <c r="M1403" t="s">
        <v>26</v>
      </c>
      <c r="N1403" t="s">
        <v>27</v>
      </c>
      <c r="O1403" t="s">
        <v>35</v>
      </c>
      <c r="P1403" t="s">
        <v>26</v>
      </c>
      <c r="Q1403">
        <v>0</v>
      </c>
    </row>
    <row r="1404" spans="1:17" x14ac:dyDescent="0.25">
      <c r="A1404" t="s">
        <v>17</v>
      </c>
      <c r="B1404" t="s">
        <v>36</v>
      </c>
      <c r="C1404">
        <v>112500</v>
      </c>
      <c r="D1404" t="s">
        <v>44</v>
      </c>
      <c r="E1404" t="s">
        <v>20</v>
      </c>
      <c r="F1404" t="s">
        <v>32</v>
      </c>
      <c r="G1404" t="s">
        <v>22</v>
      </c>
      <c r="H1404" t="s">
        <v>100</v>
      </c>
      <c r="I1404" t="s">
        <v>24</v>
      </c>
      <c r="J1404">
        <v>143248.5</v>
      </c>
      <c r="K1404">
        <v>14328</v>
      </c>
      <c r="L1404" t="s">
        <v>34</v>
      </c>
      <c r="M1404" t="s">
        <v>26</v>
      </c>
      <c r="N1404" t="s">
        <v>27</v>
      </c>
      <c r="O1404" t="s">
        <v>88</v>
      </c>
      <c r="P1404" t="s">
        <v>26</v>
      </c>
      <c r="Q1404">
        <v>0</v>
      </c>
    </row>
    <row r="1405" spans="1:17" x14ac:dyDescent="0.25">
      <c r="A1405" t="s">
        <v>29</v>
      </c>
      <c r="B1405" t="s">
        <v>18</v>
      </c>
      <c r="C1405">
        <v>90000</v>
      </c>
      <c r="D1405" t="s">
        <v>19</v>
      </c>
      <c r="E1405" t="s">
        <v>20</v>
      </c>
      <c r="F1405" t="s">
        <v>32</v>
      </c>
      <c r="G1405" t="s">
        <v>22</v>
      </c>
      <c r="H1405" t="s">
        <v>63</v>
      </c>
      <c r="I1405" t="s">
        <v>24</v>
      </c>
      <c r="J1405">
        <v>253399.5</v>
      </c>
      <c r="K1405">
        <v>0</v>
      </c>
      <c r="L1405" t="s">
        <v>45</v>
      </c>
      <c r="M1405" t="s">
        <v>26</v>
      </c>
      <c r="N1405" t="s">
        <v>27</v>
      </c>
      <c r="O1405" t="s">
        <v>35</v>
      </c>
      <c r="P1405" t="s">
        <v>26</v>
      </c>
      <c r="Q1405">
        <v>0</v>
      </c>
    </row>
    <row r="1406" spans="1:17" x14ac:dyDescent="0.25">
      <c r="A1406" t="s">
        <v>29</v>
      </c>
      <c r="B1406" t="s">
        <v>18</v>
      </c>
      <c r="C1406">
        <v>112500</v>
      </c>
      <c r="D1406" t="s">
        <v>46</v>
      </c>
      <c r="E1406" t="s">
        <v>20</v>
      </c>
      <c r="F1406" t="s">
        <v>54</v>
      </c>
      <c r="G1406" t="s">
        <v>22</v>
      </c>
      <c r="H1406" t="s">
        <v>28</v>
      </c>
      <c r="I1406" t="s">
        <v>24</v>
      </c>
      <c r="J1406">
        <v>134181</v>
      </c>
      <c r="K1406">
        <v>0</v>
      </c>
      <c r="L1406" t="s">
        <v>42</v>
      </c>
      <c r="M1406" t="s">
        <v>26</v>
      </c>
      <c r="N1406" t="s">
        <v>27</v>
      </c>
      <c r="O1406" t="s">
        <v>35</v>
      </c>
      <c r="P1406" t="s">
        <v>26</v>
      </c>
      <c r="Q1406">
        <v>0</v>
      </c>
    </row>
    <row r="1407" spans="1:17" x14ac:dyDescent="0.25">
      <c r="A1407" t="s">
        <v>29</v>
      </c>
      <c r="B1407" t="s">
        <v>18</v>
      </c>
      <c r="C1407">
        <v>112500</v>
      </c>
      <c r="D1407" t="s">
        <v>46</v>
      </c>
      <c r="E1407" t="s">
        <v>20</v>
      </c>
      <c r="F1407" t="s">
        <v>54</v>
      </c>
      <c r="G1407" t="s">
        <v>22</v>
      </c>
      <c r="H1407" t="s">
        <v>28</v>
      </c>
      <c r="I1407" t="s">
        <v>24</v>
      </c>
      <c r="J1407">
        <v>17167.5</v>
      </c>
      <c r="K1407">
        <v>0</v>
      </c>
      <c r="L1407" t="s">
        <v>38</v>
      </c>
      <c r="M1407" t="s">
        <v>26</v>
      </c>
      <c r="N1407" t="s">
        <v>27</v>
      </c>
      <c r="O1407" t="s">
        <v>35</v>
      </c>
      <c r="P1407" t="s">
        <v>26</v>
      </c>
      <c r="Q1407">
        <v>0</v>
      </c>
    </row>
    <row r="1408" spans="1:17" x14ac:dyDescent="0.25">
      <c r="A1408" t="s">
        <v>29</v>
      </c>
      <c r="B1408" t="s">
        <v>36</v>
      </c>
      <c r="C1408">
        <v>144000</v>
      </c>
      <c r="D1408" t="s">
        <v>46</v>
      </c>
      <c r="E1408" t="s">
        <v>20</v>
      </c>
      <c r="F1408" t="s">
        <v>32</v>
      </c>
      <c r="G1408" t="s">
        <v>22</v>
      </c>
      <c r="H1408" t="s">
        <v>28</v>
      </c>
      <c r="I1408" t="s">
        <v>24</v>
      </c>
      <c r="J1408">
        <v>19035</v>
      </c>
      <c r="K1408">
        <v>1903.5</v>
      </c>
      <c r="L1408" t="s">
        <v>45</v>
      </c>
      <c r="M1408" t="s">
        <v>26</v>
      </c>
      <c r="N1408" t="s">
        <v>27</v>
      </c>
      <c r="O1408" t="s">
        <v>35</v>
      </c>
      <c r="P1408" t="s">
        <v>26</v>
      </c>
      <c r="Q1408">
        <v>0</v>
      </c>
    </row>
    <row r="1409" spans="1:17" x14ac:dyDescent="0.25">
      <c r="A1409" t="s">
        <v>29</v>
      </c>
      <c r="B1409" t="s">
        <v>36</v>
      </c>
      <c r="C1409">
        <v>144000</v>
      </c>
      <c r="D1409" t="s">
        <v>46</v>
      </c>
      <c r="E1409" t="s">
        <v>20</v>
      </c>
      <c r="F1409" t="s">
        <v>32</v>
      </c>
      <c r="G1409" t="s">
        <v>22</v>
      </c>
      <c r="H1409" t="s">
        <v>28</v>
      </c>
      <c r="I1409" t="s">
        <v>24</v>
      </c>
      <c r="J1409">
        <v>89041.5</v>
      </c>
      <c r="K1409">
        <v>0</v>
      </c>
      <c r="L1409" t="s">
        <v>51</v>
      </c>
      <c r="M1409" t="s">
        <v>26</v>
      </c>
      <c r="N1409" t="s">
        <v>76</v>
      </c>
      <c r="O1409" t="s">
        <v>35</v>
      </c>
      <c r="P1409" t="s">
        <v>77</v>
      </c>
      <c r="Q1409">
        <v>0</v>
      </c>
    </row>
    <row r="1410" spans="1:17" x14ac:dyDescent="0.25">
      <c r="A1410" t="s">
        <v>17</v>
      </c>
      <c r="B1410" t="s">
        <v>18</v>
      </c>
      <c r="C1410">
        <v>315000</v>
      </c>
      <c r="D1410" t="s">
        <v>44</v>
      </c>
      <c r="E1410" t="s">
        <v>31</v>
      </c>
      <c r="F1410" t="s">
        <v>32</v>
      </c>
      <c r="G1410" t="s">
        <v>22</v>
      </c>
      <c r="H1410" t="s">
        <v>68</v>
      </c>
      <c r="I1410" t="s">
        <v>24</v>
      </c>
      <c r="J1410">
        <v>36360</v>
      </c>
      <c r="K1410">
        <v>0</v>
      </c>
      <c r="L1410" t="s">
        <v>34</v>
      </c>
      <c r="M1410" t="s">
        <v>26</v>
      </c>
      <c r="N1410" t="s">
        <v>27</v>
      </c>
      <c r="O1410" t="s">
        <v>35</v>
      </c>
      <c r="P1410" t="s">
        <v>26</v>
      </c>
      <c r="Q1410">
        <v>0</v>
      </c>
    </row>
    <row r="1411" spans="1:17" x14ac:dyDescent="0.25">
      <c r="A1411" t="s">
        <v>17</v>
      </c>
      <c r="B1411" t="s">
        <v>18</v>
      </c>
      <c r="C1411">
        <v>315000</v>
      </c>
      <c r="D1411" t="s">
        <v>44</v>
      </c>
      <c r="E1411" t="s">
        <v>31</v>
      </c>
      <c r="F1411" t="s">
        <v>32</v>
      </c>
      <c r="G1411" t="s">
        <v>22</v>
      </c>
      <c r="H1411" t="s">
        <v>68</v>
      </c>
      <c r="I1411" t="s">
        <v>24</v>
      </c>
      <c r="J1411">
        <v>27265.5</v>
      </c>
      <c r="K1411">
        <v>2727</v>
      </c>
      <c r="L1411" t="s">
        <v>51</v>
      </c>
      <c r="M1411" t="s">
        <v>26</v>
      </c>
      <c r="N1411" t="s">
        <v>27</v>
      </c>
      <c r="O1411" t="s">
        <v>35</v>
      </c>
      <c r="P1411" t="s">
        <v>26</v>
      </c>
      <c r="Q1411">
        <v>0</v>
      </c>
    </row>
    <row r="1412" spans="1:17" x14ac:dyDescent="0.25">
      <c r="A1412" t="s">
        <v>29</v>
      </c>
      <c r="B1412" t="s">
        <v>36</v>
      </c>
      <c r="C1412">
        <v>135000</v>
      </c>
      <c r="D1412" t="s">
        <v>46</v>
      </c>
      <c r="E1412" t="s">
        <v>20</v>
      </c>
      <c r="F1412" t="s">
        <v>32</v>
      </c>
      <c r="G1412" t="s">
        <v>22</v>
      </c>
      <c r="H1412" t="s">
        <v>28</v>
      </c>
      <c r="I1412" t="s">
        <v>24</v>
      </c>
      <c r="J1412">
        <v>357588</v>
      </c>
      <c r="K1412">
        <v>0</v>
      </c>
      <c r="L1412" t="s">
        <v>34</v>
      </c>
      <c r="M1412" t="s">
        <v>26</v>
      </c>
      <c r="N1412" t="s">
        <v>27</v>
      </c>
      <c r="O1412" t="s">
        <v>35</v>
      </c>
      <c r="P1412" t="s">
        <v>26</v>
      </c>
      <c r="Q1412">
        <v>0</v>
      </c>
    </row>
    <row r="1413" spans="1:17" x14ac:dyDescent="0.25">
      <c r="A1413" t="s">
        <v>29</v>
      </c>
      <c r="B1413" t="s">
        <v>36</v>
      </c>
      <c r="C1413">
        <v>135000</v>
      </c>
      <c r="D1413" t="s">
        <v>46</v>
      </c>
      <c r="E1413" t="s">
        <v>20</v>
      </c>
      <c r="F1413" t="s">
        <v>32</v>
      </c>
      <c r="G1413" t="s">
        <v>22</v>
      </c>
      <c r="H1413" t="s">
        <v>28</v>
      </c>
      <c r="I1413" t="s">
        <v>24</v>
      </c>
      <c r="J1413">
        <v>148230</v>
      </c>
      <c r="K1413">
        <v>29646</v>
      </c>
      <c r="L1413" t="s">
        <v>38</v>
      </c>
      <c r="M1413" t="s">
        <v>26</v>
      </c>
      <c r="N1413" t="s">
        <v>27</v>
      </c>
      <c r="O1413" t="s">
        <v>35</v>
      </c>
      <c r="P1413" t="s">
        <v>26</v>
      </c>
      <c r="Q1413">
        <v>0</v>
      </c>
    </row>
    <row r="1414" spans="1:17" x14ac:dyDescent="0.25">
      <c r="A1414" t="s">
        <v>29</v>
      </c>
      <c r="B1414" t="s">
        <v>18</v>
      </c>
      <c r="C1414">
        <v>135000</v>
      </c>
      <c r="D1414" t="s">
        <v>30</v>
      </c>
      <c r="E1414" t="s">
        <v>20</v>
      </c>
      <c r="F1414" t="s">
        <v>32</v>
      </c>
      <c r="G1414" t="s">
        <v>73</v>
      </c>
      <c r="H1414" t="s">
        <v>68</v>
      </c>
      <c r="I1414" t="s">
        <v>24</v>
      </c>
      <c r="J1414">
        <v>66006</v>
      </c>
      <c r="K1414">
        <v>6601.5</v>
      </c>
      <c r="L1414" t="s">
        <v>43</v>
      </c>
      <c r="M1414" t="s">
        <v>26</v>
      </c>
      <c r="N1414" t="s">
        <v>27</v>
      </c>
      <c r="O1414" t="s">
        <v>35</v>
      </c>
      <c r="P1414" t="s">
        <v>26</v>
      </c>
      <c r="Q1414">
        <v>0</v>
      </c>
    </row>
    <row r="1415" spans="1:17" x14ac:dyDescent="0.25">
      <c r="A1415" t="s">
        <v>29</v>
      </c>
      <c r="B1415" t="s">
        <v>18</v>
      </c>
      <c r="C1415">
        <v>135000</v>
      </c>
      <c r="D1415" t="s">
        <v>30</v>
      </c>
      <c r="E1415" t="s">
        <v>20</v>
      </c>
      <c r="F1415" t="s">
        <v>32</v>
      </c>
      <c r="G1415" t="s">
        <v>73</v>
      </c>
      <c r="H1415" t="s">
        <v>68</v>
      </c>
      <c r="I1415" t="s">
        <v>24</v>
      </c>
      <c r="J1415">
        <v>59760</v>
      </c>
      <c r="K1415">
        <v>5976</v>
      </c>
      <c r="L1415" t="s">
        <v>45</v>
      </c>
      <c r="M1415" t="s">
        <v>26</v>
      </c>
      <c r="N1415" t="s">
        <v>27</v>
      </c>
      <c r="O1415" t="s">
        <v>35</v>
      </c>
      <c r="P1415" t="s">
        <v>26</v>
      </c>
      <c r="Q1415">
        <v>0</v>
      </c>
    </row>
    <row r="1416" spans="1:17" x14ac:dyDescent="0.25">
      <c r="A1416" t="s">
        <v>29</v>
      </c>
      <c r="B1416" t="s">
        <v>18</v>
      </c>
      <c r="C1416">
        <v>99000</v>
      </c>
      <c r="D1416" t="s">
        <v>19</v>
      </c>
      <c r="E1416" t="s">
        <v>20</v>
      </c>
      <c r="F1416" t="s">
        <v>39</v>
      </c>
      <c r="G1416" t="s">
        <v>22</v>
      </c>
      <c r="H1416" t="s">
        <v>92</v>
      </c>
      <c r="I1416" t="s">
        <v>24</v>
      </c>
      <c r="J1416">
        <v>72675</v>
      </c>
      <c r="K1416">
        <v>0</v>
      </c>
      <c r="L1416" t="s">
        <v>43</v>
      </c>
      <c r="M1416" t="s">
        <v>26</v>
      </c>
      <c r="N1416" t="s">
        <v>27</v>
      </c>
      <c r="O1416" t="s">
        <v>35</v>
      </c>
      <c r="P1416" t="s">
        <v>26</v>
      </c>
      <c r="Q1416">
        <v>0</v>
      </c>
    </row>
    <row r="1417" spans="1:17" x14ac:dyDescent="0.25">
      <c r="A1417" t="s">
        <v>29</v>
      </c>
      <c r="B1417" t="s">
        <v>18</v>
      </c>
      <c r="C1417">
        <v>99000</v>
      </c>
      <c r="D1417" t="s">
        <v>19</v>
      </c>
      <c r="E1417" t="s">
        <v>20</v>
      </c>
      <c r="F1417" t="s">
        <v>39</v>
      </c>
      <c r="G1417" t="s">
        <v>22</v>
      </c>
      <c r="H1417" t="s">
        <v>92</v>
      </c>
      <c r="I1417" t="s">
        <v>24</v>
      </c>
      <c r="J1417">
        <v>89910</v>
      </c>
      <c r="K1417">
        <v>0</v>
      </c>
      <c r="L1417" t="s">
        <v>42</v>
      </c>
      <c r="M1417" t="s">
        <v>26</v>
      </c>
      <c r="N1417" t="s">
        <v>76</v>
      </c>
      <c r="O1417" t="s">
        <v>35</v>
      </c>
      <c r="P1417" t="s">
        <v>77</v>
      </c>
      <c r="Q1417">
        <v>0</v>
      </c>
    </row>
    <row r="1418" spans="1:17" x14ac:dyDescent="0.25">
      <c r="A1418" t="s">
        <v>29</v>
      </c>
      <c r="B1418" t="s">
        <v>36</v>
      </c>
      <c r="C1418">
        <v>315000</v>
      </c>
      <c r="D1418" t="s">
        <v>44</v>
      </c>
      <c r="E1418" t="s">
        <v>20</v>
      </c>
      <c r="F1418" t="s">
        <v>32</v>
      </c>
      <c r="G1418" t="s">
        <v>22</v>
      </c>
      <c r="H1418" t="s">
        <v>49</v>
      </c>
      <c r="I1418" t="s">
        <v>24</v>
      </c>
      <c r="J1418">
        <v>109125</v>
      </c>
      <c r="K1418">
        <v>21825</v>
      </c>
      <c r="L1418" t="s">
        <v>38</v>
      </c>
      <c r="M1418" t="s">
        <v>26</v>
      </c>
      <c r="N1418" t="s">
        <v>27</v>
      </c>
      <c r="O1418" t="s">
        <v>35</v>
      </c>
      <c r="P1418" t="s">
        <v>26</v>
      </c>
      <c r="Q1418">
        <v>0</v>
      </c>
    </row>
    <row r="1419" spans="1:17" x14ac:dyDescent="0.25">
      <c r="A1419" t="s">
        <v>29</v>
      </c>
      <c r="B1419" t="s">
        <v>36</v>
      </c>
      <c r="C1419">
        <v>315000</v>
      </c>
      <c r="D1419" t="s">
        <v>44</v>
      </c>
      <c r="E1419" t="s">
        <v>20</v>
      </c>
      <c r="F1419" t="s">
        <v>32</v>
      </c>
      <c r="G1419" t="s">
        <v>22</v>
      </c>
      <c r="H1419" t="s">
        <v>49</v>
      </c>
      <c r="I1419" t="s">
        <v>24</v>
      </c>
      <c r="J1419">
        <v>92425.5</v>
      </c>
      <c r="K1419">
        <v>0</v>
      </c>
      <c r="L1419" t="s">
        <v>25</v>
      </c>
      <c r="M1419" t="s">
        <v>26</v>
      </c>
      <c r="N1419" t="s">
        <v>27</v>
      </c>
      <c r="O1419" t="s">
        <v>35</v>
      </c>
      <c r="P1419" t="s">
        <v>26</v>
      </c>
      <c r="Q1419">
        <v>0</v>
      </c>
    </row>
    <row r="1420" spans="1:17" x14ac:dyDescent="0.25">
      <c r="A1420" t="s">
        <v>29</v>
      </c>
      <c r="B1420" t="s">
        <v>18</v>
      </c>
      <c r="C1420">
        <v>157500</v>
      </c>
      <c r="D1420" t="s">
        <v>46</v>
      </c>
      <c r="E1420" t="s">
        <v>20</v>
      </c>
      <c r="F1420" t="s">
        <v>54</v>
      </c>
      <c r="G1420" t="s">
        <v>22</v>
      </c>
      <c r="H1420" t="s">
        <v>28</v>
      </c>
      <c r="I1420" t="s">
        <v>24</v>
      </c>
      <c r="J1420">
        <v>79443</v>
      </c>
      <c r="K1420">
        <v>7947</v>
      </c>
      <c r="L1420" t="s">
        <v>42</v>
      </c>
      <c r="M1420" t="s">
        <v>26</v>
      </c>
      <c r="N1420" t="s">
        <v>27</v>
      </c>
      <c r="O1420" t="s">
        <v>35</v>
      </c>
      <c r="P1420" t="s">
        <v>26</v>
      </c>
      <c r="Q1420">
        <v>0</v>
      </c>
    </row>
    <row r="1421" spans="1:17" x14ac:dyDescent="0.25">
      <c r="A1421" t="s">
        <v>29</v>
      </c>
      <c r="B1421" t="s">
        <v>18</v>
      </c>
      <c r="C1421">
        <v>90000</v>
      </c>
      <c r="D1421" t="s">
        <v>19</v>
      </c>
      <c r="E1421" t="s">
        <v>31</v>
      </c>
      <c r="F1421" t="s">
        <v>32</v>
      </c>
      <c r="G1421" t="s">
        <v>22</v>
      </c>
      <c r="H1421" t="s">
        <v>71</v>
      </c>
      <c r="I1421" t="s">
        <v>24</v>
      </c>
      <c r="J1421">
        <v>120060</v>
      </c>
      <c r="K1421">
        <v>0</v>
      </c>
      <c r="L1421" t="s">
        <v>43</v>
      </c>
      <c r="M1421" t="s">
        <v>26</v>
      </c>
      <c r="N1421" t="s">
        <v>27</v>
      </c>
      <c r="O1421" t="s">
        <v>35</v>
      </c>
      <c r="P1421" t="s">
        <v>26</v>
      </c>
      <c r="Q1421">
        <v>0</v>
      </c>
    </row>
    <row r="1422" spans="1:17" x14ac:dyDescent="0.25">
      <c r="A1422" t="s">
        <v>29</v>
      </c>
      <c r="B1422" t="s">
        <v>18</v>
      </c>
      <c r="C1422">
        <v>337500</v>
      </c>
      <c r="D1422" t="s">
        <v>44</v>
      </c>
      <c r="E1422" t="s">
        <v>31</v>
      </c>
      <c r="F1422" t="s">
        <v>32</v>
      </c>
      <c r="G1422" t="s">
        <v>22</v>
      </c>
      <c r="H1422" t="s">
        <v>86</v>
      </c>
      <c r="I1422" t="s">
        <v>24</v>
      </c>
      <c r="J1422">
        <v>69759</v>
      </c>
      <c r="K1422">
        <v>0</v>
      </c>
      <c r="L1422" t="s">
        <v>38</v>
      </c>
      <c r="M1422" t="s">
        <v>26</v>
      </c>
      <c r="N1422" t="s">
        <v>76</v>
      </c>
      <c r="O1422" t="s">
        <v>35</v>
      </c>
      <c r="P1422" t="s">
        <v>77</v>
      </c>
      <c r="Q1422">
        <v>0</v>
      </c>
    </row>
    <row r="1423" spans="1:17" x14ac:dyDescent="0.25">
      <c r="A1423" t="s">
        <v>29</v>
      </c>
      <c r="B1423" t="s">
        <v>18</v>
      </c>
      <c r="C1423">
        <v>112500</v>
      </c>
      <c r="D1423" t="s">
        <v>19</v>
      </c>
      <c r="E1423" t="s">
        <v>20</v>
      </c>
      <c r="F1423" t="s">
        <v>32</v>
      </c>
      <c r="G1423" t="s">
        <v>22</v>
      </c>
      <c r="H1423" t="s">
        <v>89</v>
      </c>
      <c r="I1423" t="s">
        <v>24</v>
      </c>
      <c r="J1423">
        <v>34920</v>
      </c>
      <c r="K1423">
        <v>4500</v>
      </c>
      <c r="L1423" t="s">
        <v>42</v>
      </c>
      <c r="M1423" t="s">
        <v>26</v>
      </c>
      <c r="N1423" t="s">
        <v>27</v>
      </c>
      <c r="O1423" t="s">
        <v>35</v>
      </c>
      <c r="P1423" t="s">
        <v>26</v>
      </c>
      <c r="Q1423">
        <v>0</v>
      </c>
    </row>
    <row r="1424" spans="1:17" x14ac:dyDescent="0.25">
      <c r="A1424" t="s">
        <v>29</v>
      </c>
      <c r="B1424" t="s">
        <v>18</v>
      </c>
      <c r="C1424">
        <v>112500</v>
      </c>
      <c r="D1424" t="s">
        <v>19</v>
      </c>
      <c r="E1424" t="s">
        <v>20</v>
      </c>
      <c r="F1424" t="s">
        <v>32</v>
      </c>
      <c r="G1424" t="s">
        <v>22</v>
      </c>
      <c r="H1424" t="s">
        <v>89</v>
      </c>
      <c r="I1424" t="s">
        <v>24</v>
      </c>
      <c r="J1424">
        <v>107010</v>
      </c>
      <c r="K1424">
        <v>21402</v>
      </c>
      <c r="L1424" t="s">
        <v>45</v>
      </c>
      <c r="M1424" t="s">
        <v>26</v>
      </c>
      <c r="N1424" t="s">
        <v>27</v>
      </c>
      <c r="O1424" t="s">
        <v>28</v>
      </c>
      <c r="P1424" t="s">
        <v>26</v>
      </c>
      <c r="Q1424">
        <v>0</v>
      </c>
    </row>
    <row r="1425" spans="1:17" x14ac:dyDescent="0.25">
      <c r="A1425" t="s">
        <v>17</v>
      </c>
      <c r="B1425" t="s">
        <v>36</v>
      </c>
      <c r="C1425">
        <v>180000</v>
      </c>
      <c r="D1425" t="s">
        <v>44</v>
      </c>
      <c r="E1425" t="s">
        <v>20</v>
      </c>
      <c r="F1425" t="s">
        <v>32</v>
      </c>
      <c r="G1425" t="s">
        <v>22</v>
      </c>
      <c r="H1425" t="s">
        <v>80</v>
      </c>
      <c r="I1425" t="s">
        <v>24</v>
      </c>
      <c r="J1425">
        <v>158940</v>
      </c>
      <c r="K1425">
        <v>15894</v>
      </c>
      <c r="L1425" t="s">
        <v>51</v>
      </c>
      <c r="M1425" t="s">
        <v>26</v>
      </c>
      <c r="N1425" t="s">
        <v>27</v>
      </c>
      <c r="O1425" t="s">
        <v>35</v>
      </c>
      <c r="P1425" t="s">
        <v>26</v>
      </c>
      <c r="Q1425">
        <v>0</v>
      </c>
    </row>
    <row r="1426" spans="1:17" x14ac:dyDescent="0.25">
      <c r="A1426" t="s">
        <v>17</v>
      </c>
      <c r="B1426" t="s">
        <v>18</v>
      </c>
      <c r="C1426">
        <v>144000</v>
      </c>
      <c r="D1426" t="s">
        <v>30</v>
      </c>
      <c r="E1426" t="s">
        <v>31</v>
      </c>
      <c r="F1426" t="s">
        <v>32</v>
      </c>
      <c r="G1426" t="s">
        <v>22</v>
      </c>
      <c r="H1426" t="s">
        <v>37</v>
      </c>
      <c r="I1426" t="s">
        <v>24</v>
      </c>
      <c r="J1426">
        <v>114601.5</v>
      </c>
      <c r="K1426">
        <v>0</v>
      </c>
      <c r="L1426" t="s">
        <v>42</v>
      </c>
      <c r="M1426" t="s">
        <v>26</v>
      </c>
      <c r="N1426" t="s">
        <v>27</v>
      </c>
      <c r="O1426" t="s">
        <v>35</v>
      </c>
      <c r="P1426" t="s">
        <v>26</v>
      </c>
      <c r="Q1426">
        <v>0</v>
      </c>
    </row>
    <row r="1427" spans="1:17" x14ac:dyDescent="0.25">
      <c r="A1427" t="s">
        <v>17</v>
      </c>
      <c r="B1427" t="s">
        <v>18</v>
      </c>
      <c r="C1427">
        <v>144000</v>
      </c>
      <c r="D1427" t="s">
        <v>30</v>
      </c>
      <c r="E1427" t="s">
        <v>31</v>
      </c>
      <c r="F1427" t="s">
        <v>32</v>
      </c>
      <c r="G1427" t="s">
        <v>22</v>
      </c>
      <c r="H1427" t="s">
        <v>37</v>
      </c>
      <c r="I1427" t="s">
        <v>24</v>
      </c>
      <c r="J1427">
        <v>32062.5</v>
      </c>
      <c r="K1427">
        <v>0</v>
      </c>
      <c r="L1427" t="s">
        <v>42</v>
      </c>
      <c r="M1427" t="s">
        <v>26</v>
      </c>
      <c r="N1427" t="s">
        <v>58</v>
      </c>
      <c r="O1427" t="s">
        <v>35</v>
      </c>
      <c r="P1427" t="s">
        <v>60</v>
      </c>
      <c r="Q1427">
        <v>1</v>
      </c>
    </row>
    <row r="1428" spans="1:17" x14ac:dyDescent="0.25">
      <c r="A1428" t="s">
        <v>17</v>
      </c>
      <c r="B1428" t="s">
        <v>18</v>
      </c>
      <c r="C1428">
        <v>144000</v>
      </c>
      <c r="D1428" t="s">
        <v>30</v>
      </c>
      <c r="E1428" t="s">
        <v>31</v>
      </c>
      <c r="F1428" t="s">
        <v>32</v>
      </c>
      <c r="G1428" t="s">
        <v>22</v>
      </c>
      <c r="H1428" t="s">
        <v>37</v>
      </c>
      <c r="I1428" t="s">
        <v>24</v>
      </c>
      <c r="J1428">
        <v>98955</v>
      </c>
      <c r="K1428">
        <v>0</v>
      </c>
      <c r="L1428" t="s">
        <v>42</v>
      </c>
      <c r="M1428" t="s">
        <v>26</v>
      </c>
      <c r="N1428" t="s">
        <v>58</v>
      </c>
      <c r="O1428" t="s">
        <v>35</v>
      </c>
      <c r="P1428" t="s">
        <v>60</v>
      </c>
      <c r="Q1428">
        <v>1</v>
      </c>
    </row>
    <row r="1429" spans="1:17" x14ac:dyDescent="0.25">
      <c r="A1429" t="s">
        <v>17</v>
      </c>
      <c r="B1429" t="s">
        <v>18</v>
      </c>
      <c r="C1429">
        <v>144000</v>
      </c>
      <c r="D1429" t="s">
        <v>30</v>
      </c>
      <c r="E1429" t="s">
        <v>31</v>
      </c>
      <c r="F1429" t="s">
        <v>32</v>
      </c>
      <c r="G1429" t="s">
        <v>22</v>
      </c>
      <c r="H1429" t="s">
        <v>37</v>
      </c>
      <c r="I1429" t="s">
        <v>24</v>
      </c>
      <c r="J1429">
        <v>98955</v>
      </c>
      <c r="K1429">
        <v>0</v>
      </c>
      <c r="L1429" t="s">
        <v>42</v>
      </c>
      <c r="M1429" t="s">
        <v>26</v>
      </c>
      <c r="N1429" t="s">
        <v>58</v>
      </c>
      <c r="O1429" t="s">
        <v>35</v>
      </c>
      <c r="P1429" t="s">
        <v>60</v>
      </c>
      <c r="Q1429">
        <v>1</v>
      </c>
    </row>
    <row r="1430" spans="1:17" x14ac:dyDescent="0.25">
      <c r="A1430" t="s">
        <v>17</v>
      </c>
      <c r="B1430" t="s">
        <v>36</v>
      </c>
      <c r="C1430">
        <v>202500</v>
      </c>
      <c r="D1430" t="s">
        <v>46</v>
      </c>
      <c r="E1430" t="s">
        <v>20</v>
      </c>
      <c r="F1430" t="s">
        <v>32</v>
      </c>
      <c r="G1430" t="s">
        <v>22</v>
      </c>
      <c r="H1430" t="s">
        <v>28</v>
      </c>
      <c r="I1430" t="s">
        <v>24</v>
      </c>
      <c r="J1430">
        <v>38205</v>
      </c>
      <c r="K1430">
        <v>0</v>
      </c>
      <c r="L1430" t="s">
        <v>51</v>
      </c>
      <c r="M1430" t="s">
        <v>26</v>
      </c>
      <c r="N1430" t="s">
        <v>27</v>
      </c>
      <c r="O1430" t="s">
        <v>35</v>
      </c>
      <c r="P1430" t="s">
        <v>26</v>
      </c>
      <c r="Q1430">
        <v>0</v>
      </c>
    </row>
    <row r="1431" spans="1:17" x14ac:dyDescent="0.25">
      <c r="A1431" t="s">
        <v>17</v>
      </c>
      <c r="B1431" t="s">
        <v>36</v>
      </c>
      <c r="C1431">
        <v>202500</v>
      </c>
      <c r="D1431" t="s">
        <v>46</v>
      </c>
      <c r="E1431" t="s">
        <v>20</v>
      </c>
      <c r="F1431" t="s">
        <v>32</v>
      </c>
      <c r="G1431" t="s">
        <v>22</v>
      </c>
      <c r="H1431" t="s">
        <v>28</v>
      </c>
      <c r="I1431" t="s">
        <v>24</v>
      </c>
      <c r="J1431">
        <v>135945</v>
      </c>
      <c r="K1431">
        <v>0</v>
      </c>
      <c r="L1431" t="s">
        <v>34</v>
      </c>
      <c r="M1431" t="s">
        <v>26</v>
      </c>
      <c r="N1431" t="s">
        <v>27</v>
      </c>
      <c r="O1431" t="s">
        <v>35</v>
      </c>
      <c r="P1431" t="s">
        <v>26</v>
      </c>
      <c r="Q1431">
        <v>0</v>
      </c>
    </row>
    <row r="1432" spans="1:17" x14ac:dyDescent="0.25">
      <c r="A1432" t="s">
        <v>17</v>
      </c>
      <c r="B1432" t="s">
        <v>36</v>
      </c>
      <c r="C1432">
        <v>202500</v>
      </c>
      <c r="D1432" t="s">
        <v>46</v>
      </c>
      <c r="E1432" t="s">
        <v>20</v>
      </c>
      <c r="F1432" t="s">
        <v>32</v>
      </c>
      <c r="G1432" t="s">
        <v>22</v>
      </c>
      <c r="H1432" t="s">
        <v>28</v>
      </c>
      <c r="I1432" t="s">
        <v>24</v>
      </c>
      <c r="J1432">
        <v>57141</v>
      </c>
      <c r="K1432">
        <v>0</v>
      </c>
      <c r="L1432" t="s">
        <v>25</v>
      </c>
      <c r="M1432" t="s">
        <v>26</v>
      </c>
      <c r="N1432" t="s">
        <v>76</v>
      </c>
      <c r="O1432" t="s">
        <v>35</v>
      </c>
      <c r="P1432" t="s">
        <v>77</v>
      </c>
      <c r="Q1432">
        <v>0</v>
      </c>
    </row>
    <row r="1433" spans="1:17" x14ac:dyDescent="0.25">
      <c r="A1433" t="s">
        <v>17</v>
      </c>
      <c r="B1433" t="s">
        <v>36</v>
      </c>
      <c r="C1433">
        <v>202500</v>
      </c>
      <c r="D1433" t="s">
        <v>46</v>
      </c>
      <c r="E1433" t="s">
        <v>20</v>
      </c>
      <c r="F1433" t="s">
        <v>32</v>
      </c>
      <c r="G1433" t="s">
        <v>22</v>
      </c>
      <c r="H1433" t="s">
        <v>28</v>
      </c>
      <c r="I1433" t="s">
        <v>24</v>
      </c>
      <c r="J1433">
        <v>35010</v>
      </c>
      <c r="K1433">
        <v>0</v>
      </c>
      <c r="L1433" t="s">
        <v>25</v>
      </c>
      <c r="M1433" t="s">
        <v>26</v>
      </c>
      <c r="N1433" t="s">
        <v>58</v>
      </c>
      <c r="O1433" t="s">
        <v>35</v>
      </c>
      <c r="P1433" t="s">
        <v>64</v>
      </c>
      <c r="Q1433">
        <v>1</v>
      </c>
    </row>
    <row r="1434" spans="1:17" x14ac:dyDescent="0.25">
      <c r="A1434" t="s">
        <v>17</v>
      </c>
      <c r="B1434" t="s">
        <v>36</v>
      </c>
      <c r="C1434">
        <v>202500</v>
      </c>
      <c r="D1434" t="s">
        <v>46</v>
      </c>
      <c r="E1434" t="s">
        <v>20</v>
      </c>
      <c r="F1434" t="s">
        <v>32</v>
      </c>
      <c r="G1434" t="s">
        <v>22</v>
      </c>
      <c r="H1434" t="s">
        <v>28</v>
      </c>
      <c r="I1434" t="s">
        <v>24</v>
      </c>
      <c r="J1434">
        <v>82890</v>
      </c>
      <c r="K1434">
        <v>16578</v>
      </c>
      <c r="L1434" t="s">
        <v>38</v>
      </c>
      <c r="M1434" t="s">
        <v>26</v>
      </c>
      <c r="N1434" t="s">
        <v>27</v>
      </c>
      <c r="O1434" t="s">
        <v>35</v>
      </c>
      <c r="P1434" t="s">
        <v>26</v>
      </c>
      <c r="Q1434">
        <v>0</v>
      </c>
    </row>
    <row r="1435" spans="1:17" x14ac:dyDescent="0.25">
      <c r="A1435" t="s">
        <v>17</v>
      </c>
      <c r="B1435" t="s">
        <v>36</v>
      </c>
      <c r="C1435">
        <v>202500</v>
      </c>
      <c r="D1435" t="s">
        <v>46</v>
      </c>
      <c r="E1435" t="s">
        <v>20</v>
      </c>
      <c r="F1435" t="s">
        <v>32</v>
      </c>
      <c r="G1435" t="s">
        <v>22</v>
      </c>
      <c r="H1435" t="s">
        <v>28</v>
      </c>
      <c r="I1435" t="s">
        <v>66</v>
      </c>
      <c r="J1435">
        <v>67500</v>
      </c>
      <c r="K1435">
        <v>0</v>
      </c>
      <c r="L1435" t="s">
        <v>51</v>
      </c>
      <c r="M1435" t="s">
        <v>28</v>
      </c>
      <c r="N1435" t="s">
        <v>58</v>
      </c>
      <c r="O1435" t="s">
        <v>35</v>
      </c>
      <c r="P1435" t="s">
        <v>64</v>
      </c>
      <c r="Q1435">
        <v>1</v>
      </c>
    </row>
    <row r="1436" spans="1:17" x14ac:dyDescent="0.25">
      <c r="A1436" t="s">
        <v>17</v>
      </c>
      <c r="B1436" t="s">
        <v>36</v>
      </c>
      <c r="C1436">
        <v>202500</v>
      </c>
      <c r="D1436" t="s">
        <v>46</v>
      </c>
      <c r="E1436" t="s">
        <v>20</v>
      </c>
      <c r="F1436" t="s">
        <v>32</v>
      </c>
      <c r="G1436" t="s">
        <v>22</v>
      </c>
      <c r="H1436" t="s">
        <v>28</v>
      </c>
      <c r="I1436" t="s">
        <v>24</v>
      </c>
      <c r="J1436">
        <v>19260</v>
      </c>
      <c r="K1436">
        <v>0</v>
      </c>
      <c r="L1436" t="s">
        <v>42</v>
      </c>
      <c r="M1436" t="s">
        <v>26</v>
      </c>
      <c r="N1436" t="s">
        <v>27</v>
      </c>
      <c r="O1436" t="s">
        <v>35</v>
      </c>
      <c r="P1436" t="s">
        <v>26</v>
      </c>
      <c r="Q1436">
        <v>0</v>
      </c>
    </row>
    <row r="1437" spans="1:17" x14ac:dyDescent="0.25">
      <c r="A1437" t="s">
        <v>17</v>
      </c>
      <c r="B1437" t="s">
        <v>36</v>
      </c>
      <c r="C1437">
        <v>202500</v>
      </c>
      <c r="D1437" t="s">
        <v>46</v>
      </c>
      <c r="E1437" t="s">
        <v>20</v>
      </c>
      <c r="F1437" t="s">
        <v>32</v>
      </c>
      <c r="G1437" t="s">
        <v>22</v>
      </c>
      <c r="H1437" t="s">
        <v>28</v>
      </c>
      <c r="I1437" t="s">
        <v>24</v>
      </c>
      <c r="J1437">
        <v>35010</v>
      </c>
      <c r="K1437">
        <v>3501</v>
      </c>
      <c r="L1437" t="s">
        <v>25</v>
      </c>
      <c r="M1437" t="s">
        <v>26</v>
      </c>
      <c r="N1437" t="s">
        <v>58</v>
      </c>
      <c r="O1437" t="s">
        <v>35</v>
      </c>
      <c r="P1437" t="s">
        <v>64</v>
      </c>
      <c r="Q1437">
        <v>1</v>
      </c>
    </row>
    <row r="1438" spans="1:17" x14ac:dyDescent="0.25">
      <c r="A1438" t="s">
        <v>29</v>
      </c>
      <c r="B1438" t="s">
        <v>18</v>
      </c>
      <c r="C1438">
        <v>225000</v>
      </c>
      <c r="D1438" t="s">
        <v>44</v>
      </c>
      <c r="E1438" t="s">
        <v>31</v>
      </c>
      <c r="F1438" t="s">
        <v>69</v>
      </c>
      <c r="G1438" t="s">
        <v>22</v>
      </c>
      <c r="H1438" t="s">
        <v>49</v>
      </c>
      <c r="I1438" t="s">
        <v>24</v>
      </c>
      <c r="J1438">
        <v>37800</v>
      </c>
      <c r="K1438">
        <v>3780</v>
      </c>
      <c r="L1438" t="s">
        <v>25</v>
      </c>
      <c r="M1438" t="s">
        <v>26</v>
      </c>
      <c r="N1438" t="s">
        <v>27</v>
      </c>
      <c r="O1438" t="s">
        <v>35</v>
      </c>
      <c r="P1438" t="s">
        <v>26</v>
      </c>
      <c r="Q1438">
        <v>0</v>
      </c>
    </row>
    <row r="1439" spans="1:17" x14ac:dyDescent="0.25">
      <c r="A1439" t="s">
        <v>17</v>
      </c>
      <c r="B1439" t="s">
        <v>36</v>
      </c>
      <c r="C1439">
        <v>328500</v>
      </c>
      <c r="D1439" t="s">
        <v>19</v>
      </c>
      <c r="E1439" t="s">
        <v>20</v>
      </c>
      <c r="F1439" t="s">
        <v>32</v>
      </c>
      <c r="G1439" t="s">
        <v>22</v>
      </c>
      <c r="H1439" t="s">
        <v>93</v>
      </c>
      <c r="I1439" t="s">
        <v>24</v>
      </c>
      <c r="J1439">
        <v>233329.5</v>
      </c>
      <c r="K1439">
        <v>70002</v>
      </c>
      <c r="L1439" t="s">
        <v>45</v>
      </c>
      <c r="M1439" t="s">
        <v>26</v>
      </c>
      <c r="N1439" t="s">
        <v>27</v>
      </c>
      <c r="O1439" t="s">
        <v>35</v>
      </c>
      <c r="P1439" t="s">
        <v>26</v>
      </c>
      <c r="Q1439">
        <v>0</v>
      </c>
    </row>
    <row r="1440" spans="1:17" x14ac:dyDescent="0.25">
      <c r="A1440" t="s">
        <v>17</v>
      </c>
      <c r="B1440" t="s">
        <v>36</v>
      </c>
      <c r="C1440">
        <v>328500</v>
      </c>
      <c r="D1440" t="s">
        <v>19</v>
      </c>
      <c r="E1440" t="s">
        <v>20</v>
      </c>
      <c r="F1440" t="s">
        <v>32</v>
      </c>
      <c r="G1440" t="s">
        <v>22</v>
      </c>
      <c r="H1440" t="s">
        <v>93</v>
      </c>
      <c r="I1440" t="s">
        <v>24</v>
      </c>
      <c r="J1440">
        <v>81675</v>
      </c>
      <c r="K1440">
        <v>13500</v>
      </c>
      <c r="L1440" t="s">
        <v>51</v>
      </c>
      <c r="M1440" t="s">
        <v>26</v>
      </c>
      <c r="N1440" t="s">
        <v>27</v>
      </c>
      <c r="O1440" t="s">
        <v>35</v>
      </c>
      <c r="P1440" t="s">
        <v>26</v>
      </c>
      <c r="Q1440">
        <v>0</v>
      </c>
    </row>
    <row r="1441" spans="1:17" x14ac:dyDescent="0.25">
      <c r="A1441" t="s">
        <v>17</v>
      </c>
      <c r="B1441" t="s">
        <v>18</v>
      </c>
      <c r="C1441">
        <v>225000</v>
      </c>
      <c r="D1441" t="s">
        <v>19</v>
      </c>
      <c r="E1441" t="s">
        <v>31</v>
      </c>
      <c r="F1441" t="s">
        <v>32</v>
      </c>
      <c r="G1441" t="s">
        <v>22</v>
      </c>
      <c r="H1441" t="s">
        <v>23</v>
      </c>
      <c r="I1441" t="s">
        <v>24</v>
      </c>
      <c r="J1441">
        <v>30555</v>
      </c>
      <c r="K1441">
        <v>13500</v>
      </c>
      <c r="L1441" t="s">
        <v>38</v>
      </c>
      <c r="M1441" t="s">
        <v>26</v>
      </c>
      <c r="N1441" t="s">
        <v>27</v>
      </c>
      <c r="O1441" t="s">
        <v>35</v>
      </c>
      <c r="P1441" t="s">
        <v>26</v>
      </c>
      <c r="Q1441">
        <v>0</v>
      </c>
    </row>
    <row r="1442" spans="1:17" x14ac:dyDescent="0.25">
      <c r="A1442" t="s">
        <v>29</v>
      </c>
      <c r="B1442" t="s">
        <v>18</v>
      </c>
      <c r="C1442">
        <v>90000</v>
      </c>
      <c r="D1442" t="s">
        <v>19</v>
      </c>
      <c r="E1442" t="s">
        <v>20</v>
      </c>
      <c r="F1442" t="s">
        <v>32</v>
      </c>
      <c r="G1442" t="s">
        <v>62</v>
      </c>
      <c r="H1442" t="s">
        <v>48</v>
      </c>
      <c r="I1442" t="s">
        <v>24</v>
      </c>
      <c r="J1442">
        <v>58725</v>
      </c>
      <c r="K1442">
        <v>0</v>
      </c>
      <c r="L1442" t="s">
        <v>38</v>
      </c>
      <c r="M1442" t="s">
        <v>26</v>
      </c>
      <c r="N1442" t="s">
        <v>27</v>
      </c>
      <c r="O1442" t="s">
        <v>35</v>
      </c>
      <c r="P1442" t="s">
        <v>26</v>
      </c>
      <c r="Q1442">
        <v>0</v>
      </c>
    </row>
    <row r="1443" spans="1:17" x14ac:dyDescent="0.25">
      <c r="A1443" t="s">
        <v>29</v>
      </c>
      <c r="B1443" t="s">
        <v>18</v>
      </c>
      <c r="C1443">
        <v>90000</v>
      </c>
      <c r="D1443" t="s">
        <v>19</v>
      </c>
      <c r="E1443" t="s">
        <v>20</v>
      </c>
      <c r="F1443" t="s">
        <v>32</v>
      </c>
      <c r="G1443" t="s">
        <v>62</v>
      </c>
      <c r="H1443" t="s">
        <v>48</v>
      </c>
      <c r="I1443" t="s">
        <v>24</v>
      </c>
      <c r="J1443">
        <v>54036</v>
      </c>
      <c r="K1443">
        <v>0</v>
      </c>
      <c r="L1443" t="s">
        <v>25</v>
      </c>
      <c r="M1443" t="s">
        <v>26</v>
      </c>
      <c r="N1443" t="s">
        <v>76</v>
      </c>
      <c r="O1443" t="s">
        <v>35</v>
      </c>
      <c r="P1443" t="s">
        <v>77</v>
      </c>
      <c r="Q1443">
        <v>0</v>
      </c>
    </row>
    <row r="1444" spans="1:17" x14ac:dyDescent="0.25">
      <c r="A1444" t="s">
        <v>29</v>
      </c>
      <c r="B1444" t="s">
        <v>18</v>
      </c>
      <c r="C1444">
        <v>103500</v>
      </c>
      <c r="D1444" t="s">
        <v>19</v>
      </c>
      <c r="E1444" t="s">
        <v>20</v>
      </c>
      <c r="F1444" t="s">
        <v>32</v>
      </c>
      <c r="G1444" t="s">
        <v>22</v>
      </c>
      <c r="H1444" t="s">
        <v>37</v>
      </c>
      <c r="I1444" t="s">
        <v>24</v>
      </c>
      <c r="J1444">
        <v>36778.5</v>
      </c>
      <c r="K1444">
        <v>3681</v>
      </c>
      <c r="L1444" t="s">
        <v>43</v>
      </c>
      <c r="M1444" t="s">
        <v>26</v>
      </c>
      <c r="N1444" t="s">
        <v>27</v>
      </c>
      <c r="O1444" t="s">
        <v>28</v>
      </c>
      <c r="P1444" t="s">
        <v>26</v>
      </c>
      <c r="Q1444">
        <v>0</v>
      </c>
    </row>
    <row r="1445" spans="1:17" x14ac:dyDescent="0.25">
      <c r="A1445" t="s">
        <v>29</v>
      </c>
      <c r="B1445" t="s">
        <v>36</v>
      </c>
      <c r="C1445">
        <v>157500</v>
      </c>
      <c r="D1445" t="s">
        <v>46</v>
      </c>
      <c r="E1445" t="s">
        <v>20</v>
      </c>
      <c r="F1445" t="s">
        <v>21</v>
      </c>
      <c r="G1445" t="s">
        <v>22</v>
      </c>
      <c r="H1445" t="s">
        <v>28</v>
      </c>
      <c r="I1445" t="s">
        <v>66</v>
      </c>
      <c r="J1445">
        <v>112500</v>
      </c>
      <c r="K1445">
        <v>0</v>
      </c>
      <c r="L1445" t="s">
        <v>51</v>
      </c>
      <c r="M1445" t="s">
        <v>28</v>
      </c>
      <c r="N1445" t="s">
        <v>58</v>
      </c>
      <c r="O1445" t="s">
        <v>35</v>
      </c>
      <c r="P1445" t="s">
        <v>64</v>
      </c>
      <c r="Q1445">
        <v>1</v>
      </c>
    </row>
    <row r="1446" spans="1:17" x14ac:dyDescent="0.25">
      <c r="A1446" t="s">
        <v>29</v>
      </c>
      <c r="B1446" t="s">
        <v>36</v>
      </c>
      <c r="C1446">
        <v>157500</v>
      </c>
      <c r="D1446" t="s">
        <v>46</v>
      </c>
      <c r="E1446" t="s">
        <v>20</v>
      </c>
      <c r="F1446" t="s">
        <v>21</v>
      </c>
      <c r="G1446" t="s">
        <v>22</v>
      </c>
      <c r="H1446" t="s">
        <v>28</v>
      </c>
      <c r="I1446" t="s">
        <v>66</v>
      </c>
      <c r="J1446">
        <v>90000</v>
      </c>
      <c r="K1446">
        <v>0</v>
      </c>
      <c r="L1446" t="s">
        <v>45</v>
      </c>
      <c r="M1446" t="s">
        <v>28</v>
      </c>
      <c r="N1446" t="s">
        <v>58</v>
      </c>
      <c r="O1446" t="s">
        <v>35</v>
      </c>
      <c r="P1446" t="s">
        <v>64</v>
      </c>
      <c r="Q1446">
        <v>1</v>
      </c>
    </row>
    <row r="1447" spans="1:17" x14ac:dyDescent="0.25">
      <c r="A1447" t="s">
        <v>29</v>
      </c>
      <c r="B1447" t="s">
        <v>36</v>
      </c>
      <c r="C1447">
        <v>157500</v>
      </c>
      <c r="D1447" t="s">
        <v>46</v>
      </c>
      <c r="E1447" t="s">
        <v>20</v>
      </c>
      <c r="F1447" t="s">
        <v>21</v>
      </c>
      <c r="G1447" t="s">
        <v>22</v>
      </c>
      <c r="H1447" t="s">
        <v>28</v>
      </c>
      <c r="I1447" t="s">
        <v>66</v>
      </c>
      <c r="J1447">
        <v>90000</v>
      </c>
      <c r="K1447">
        <v>0</v>
      </c>
      <c r="L1447" t="s">
        <v>51</v>
      </c>
      <c r="M1447" t="s">
        <v>28</v>
      </c>
      <c r="N1447" t="s">
        <v>58</v>
      </c>
      <c r="O1447" t="s">
        <v>35</v>
      </c>
      <c r="P1447" t="s">
        <v>64</v>
      </c>
      <c r="Q1447">
        <v>1</v>
      </c>
    </row>
    <row r="1448" spans="1:17" x14ac:dyDescent="0.25">
      <c r="A1448" t="s">
        <v>29</v>
      </c>
      <c r="B1448" t="s">
        <v>36</v>
      </c>
      <c r="C1448">
        <v>157500</v>
      </c>
      <c r="D1448" t="s">
        <v>46</v>
      </c>
      <c r="E1448" t="s">
        <v>20</v>
      </c>
      <c r="F1448" t="s">
        <v>21</v>
      </c>
      <c r="G1448" t="s">
        <v>22</v>
      </c>
      <c r="H1448" t="s">
        <v>28</v>
      </c>
      <c r="I1448" t="s">
        <v>66</v>
      </c>
      <c r="J1448">
        <v>90000</v>
      </c>
      <c r="K1448">
        <v>0</v>
      </c>
      <c r="L1448" t="s">
        <v>51</v>
      </c>
      <c r="M1448" t="s">
        <v>28</v>
      </c>
      <c r="N1448" t="s">
        <v>58</v>
      </c>
      <c r="O1448" t="s">
        <v>35</v>
      </c>
      <c r="P1448" t="s">
        <v>64</v>
      </c>
      <c r="Q1448">
        <v>1</v>
      </c>
    </row>
    <row r="1449" spans="1:17" x14ac:dyDescent="0.25">
      <c r="A1449" t="s">
        <v>29</v>
      </c>
      <c r="B1449" t="s">
        <v>36</v>
      </c>
      <c r="C1449">
        <v>157500</v>
      </c>
      <c r="D1449" t="s">
        <v>46</v>
      </c>
      <c r="E1449" t="s">
        <v>20</v>
      </c>
      <c r="F1449" t="s">
        <v>21</v>
      </c>
      <c r="G1449" t="s">
        <v>22</v>
      </c>
      <c r="H1449" t="s">
        <v>28</v>
      </c>
      <c r="I1449" t="s">
        <v>24</v>
      </c>
      <c r="J1449">
        <v>146142</v>
      </c>
      <c r="K1449">
        <v>0</v>
      </c>
      <c r="L1449" t="s">
        <v>25</v>
      </c>
      <c r="M1449" t="s">
        <v>26</v>
      </c>
      <c r="N1449" t="s">
        <v>27</v>
      </c>
      <c r="O1449" t="s">
        <v>35</v>
      </c>
      <c r="P1449" t="s">
        <v>26</v>
      </c>
      <c r="Q1449">
        <v>0</v>
      </c>
    </row>
    <row r="1450" spans="1:17" x14ac:dyDescent="0.25">
      <c r="A1450" t="s">
        <v>29</v>
      </c>
      <c r="B1450" t="s">
        <v>36</v>
      </c>
      <c r="C1450">
        <v>157500</v>
      </c>
      <c r="D1450" t="s">
        <v>46</v>
      </c>
      <c r="E1450" t="s">
        <v>20</v>
      </c>
      <c r="F1450" t="s">
        <v>21</v>
      </c>
      <c r="G1450" t="s">
        <v>22</v>
      </c>
      <c r="H1450" t="s">
        <v>28</v>
      </c>
      <c r="I1450" t="s">
        <v>24</v>
      </c>
      <c r="J1450">
        <v>80055</v>
      </c>
      <c r="K1450">
        <v>5607</v>
      </c>
      <c r="L1450" t="s">
        <v>25</v>
      </c>
      <c r="M1450" t="s">
        <v>26</v>
      </c>
      <c r="N1450" t="s">
        <v>27</v>
      </c>
      <c r="O1450" t="s">
        <v>35</v>
      </c>
      <c r="P1450" t="s">
        <v>26</v>
      </c>
      <c r="Q1450">
        <v>0</v>
      </c>
    </row>
    <row r="1451" spans="1:17" x14ac:dyDescent="0.25">
      <c r="A1451" t="s">
        <v>29</v>
      </c>
      <c r="B1451" t="s">
        <v>36</v>
      </c>
      <c r="C1451">
        <v>112500</v>
      </c>
      <c r="D1451" t="s">
        <v>44</v>
      </c>
      <c r="E1451" t="s">
        <v>20</v>
      </c>
      <c r="F1451" t="s">
        <v>32</v>
      </c>
      <c r="G1451" t="s">
        <v>22</v>
      </c>
      <c r="H1451" t="s">
        <v>49</v>
      </c>
      <c r="I1451" t="s">
        <v>24</v>
      </c>
      <c r="J1451">
        <v>121410</v>
      </c>
      <c r="K1451">
        <v>0</v>
      </c>
      <c r="L1451" t="s">
        <v>25</v>
      </c>
      <c r="M1451" t="s">
        <v>26</v>
      </c>
      <c r="N1451" t="s">
        <v>27</v>
      </c>
      <c r="O1451" t="s">
        <v>35</v>
      </c>
      <c r="P1451" t="s">
        <v>26</v>
      </c>
      <c r="Q1451">
        <v>0</v>
      </c>
    </row>
    <row r="1452" spans="1:17" x14ac:dyDescent="0.25">
      <c r="A1452" t="s">
        <v>29</v>
      </c>
      <c r="B1452" t="s">
        <v>36</v>
      </c>
      <c r="C1452">
        <v>112500</v>
      </c>
      <c r="D1452" t="s">
        <v>44</v>
      </c>
      <c r="E1452" t="s">
        <v>20</v>
      </c>
      <c r="F1452" t="s">
        <v>32</v>
      </c>
      <c r="G1452" t="s">
        <v>22</v>
      </c>
      <c r="H1452" t="s">
        <v>49</v>
      </c>
      <c r="I1452" t="s">
        <v>24</v>
      </c>
      <c r="J1452">
        <v>167827.5</v>
      </c>
      <c r="K1452">
        <v>0</v>
      </c>
      <c r="L1452" t="s">
        <v>43</v>
      </c>
      <c r="M1452" t="s">
        <v>26</v>
      </c>
      <c r="N1452" t="s">
        <v>27</v>
      </c>
      <c r="O1452" t="s">
        <v>35</v>
      </c>
      <c r="P1452" t="s">
        <v>26</v>
      </c>
      <c r="Q1452">
        <v>0</v>
      </c>
    </row>
    <row r="1453" spans="1:17" x14ac:dyDescent="0.25">
      <c r="A1453" t="s">
        <v>29</v>
      </c>
      <c r="B1453" t="s">
        <v>36</v>
      </c>
      <c r="C1453">
        <v>112500</v>
      </c>
      <c r="D1453" t="s">
        <v>44</v>
      </c>
      <c r="E1453" t="s">
        <v>20</v>
      </c>
      <c r="F1453" t="s">
        <v>32</v>
      </c>
      <c r="G1453" t="s">
        <v>22</v>
      </c>
      <c r="H1453" t="s">
        <v>49</v>
      </c>
      <c r="I1453" t="s">
        <v>24</v>
      </c>
      <c r="J1453">
        <v>900000</v>
      </c>
      <c r="K1453">
        <v>0</v>
      </c>
      <c r="L1453" t="s">
        <v>42</v>
      </c>
      <c r="M1453" t="s">
        <v>26</v>
      </c>
      <c r="N1453" t="s">
        <v>58</v>
      </c>
      <c r="O1453" t="s">
        <v>35</v>
      </c>
      <c r="P1453" t="s">
        <v>60</v>
      </c>
      <c r="Q1453">
        <v>1</v>
      </c>
    </row>
    <row r="1454" spans="1:17" x14ac:dyDescent="0.25">
      <c r="A1454" t="s">
        <v>29</v>
      </c>
      <c r="B1454" t="s">
        <v>36</v>
      </c>
      <c r="C1454">
        <v>112500</v>
      </c>
      <c r="D1454" t="s">
        <v>44</v>
      </c>
      <c r="E1454" t="s">
        <v>20</v>
      </c>
      <c r="F1454" t="s">
        <v>32</v>
      </c>
      <c r="G1454" t="s">
        <v>22</v>
      </c>
      <c r="H1454" t="s">
        <v>49</v>
      </c>
      <c r="I1454" t="s">
        <v>24</v>
      </c>
      <c r="J1454">
        <v>46755</v>
      </c>
      <c r="K1454">
        <v>0</v>
      </c>
      <c r="L1454" t="s">
        <v>43</v>
      </c>
      <c r="M1454" t="s">
        <v>26</v>
      </c>
      <c r="N1454" t="s">
        <v>27</v>
      </c>
      <c r="O1454" t="s">
        <v>35</v>
      </c>
      <c r="P1454" t="s">
        <v>26</v>
      </c>
      <c r="Q1454">
        <v>0</v>
      </c>
    </row>
    <row r="1455" spans="1:17" x14ac:dyDescent="0.25">
      <c r="A1455" t="s">
        <v>29</v>
      </c>
      <c r="B1455" t="s">
        <v>36</v>
      </c>
      <c r="C1455">
        <v>112500</v>
      </c>
      <c r="D1455" t="s">
        <v>44</v>
      </c>
      <c r="E1455" t="s">
        <v>20</v>
      </c>
      <c r="F1455" t="s">
        <v>32</v>
      </c>
      <c r="G1455" t="s">
        <v>22</v>
      </c>
      <c r="H1455" t="s">
        <v>49</v>
      </c>
      <c r="I1455" t="s">
        <v>24</v>
      </c>
      <c r="J1455">
        <v>900000</v>
      </c>
      <c r="K1455">
        <v>0</v>
      </c>
      <c r="L1455" t="s">
        <v>42</v>
      </c>
      <c r="M1455" t="s">
        <v>26</v>
      </c>
      <c r="N1455" t="s">
        <v>27</v>
      </c>
      <c r="O1455" t="s">
        <v>35</v>
      </c>
      <c r="P1455" t="s">
        <v>26</v>
      </c>
      <c r="Q1455">
        <v>0</v>
      </c>
    </row>
    <row r="1456" spans="1:17" x14ac:dyDescent="0.25">
      <c r="A1456" t="s">
        <v>29</v>
      </c>
      <c r="B1456" t="s">
        <v>18</v>
      </c>
      <c r="C1456">
        <v>202500</v>
      </c>
      <c r="D1456" t="s">
        <v>19</v>
      </c>
      <c r="E1456" t="s">
        <v>20</v>
      </c>
      <c r="F1456" t="s">
        <v>32</v>
      </c>
      <c r="G1456" t="s">
        <v>22</v>
      </c>
      <c r="H1456" t="s">
        <v>23</v>
      </c>
      <c r="I1456" t="s">
        <v>66</v>
      </c>
      <c r="J1456">
        <v>90000</v>
      </c>
      <c r="K1456">
        <v>0</v>
      </c>
      <c r="L1456" t="s">
        <v>38</v>
      </c>
      <c r="M1456" t="s">
        <v>28</v>
      </c>
      <c r="N1456" t="s">
        <v>27</v>
      </c>
      <c r="O1456" t="s">
        <v>35</v>
      </c>
      <c r="P1456" t="s">
        <v>26</v>
      </c>
      <c r="Q1456">
        <v>0</v>
      </c>
    </row>
    <row r="1457" spans="1:17" x14ac:dyDescent="0.25">
      <c r="A1457" t="s">
        <v>29</v>
      </c>
      <c r="B1457" t="s">
        <v>18</v>
      </c>
      <c r="C1457">
        <v>202500</v>
      </c>
      <c r="D1457" t="s">
        <v>19</v>
      </c>
      <c r="E1457" t="s">
        <v>20</v>
      </c>
      <c r="F1457" t="s">
        <v>32</v>
      </c>
      <c r="G1457" t="s">
        <v>22</v>
      </c>
      <c r="H1457" t="s">
        <v>23</v>
      </c>
      <c r="I1457" t="s">
        <v>24</v>
      </c>
      <c r="J1457">
        <v>25155</v>
      </c>
      <c r="K1457">
        <v>0</v>
      </c>
      <c r="L1457" t="s">
        <v>43</v>
      </c>
      <c r="M1457" t="s">
        <v>26</v>
      </c>
      <c r="N1457" t="s">
        <v>27</v>
      </c>
      <c r="O1457" t="s">
        <v>35</v>
      </c>
      <c r="P1457" t="s">
        <v>26</v>
      </c>
      <c r="Q1457">
        <v>0</v>
      </c>
    </row>
    <row r="1458" spans="1:17" x14ac:dyDescent="0.25">
      <c r="A1458" t="s">
        <v>29</v>
      </c>
      <c r="B1458" t="s">
        <v>18</v>
      </c>
      <c r="C1458">
        <v>202500</v>
      </c>
      <c r="D1458" t="s">
        <v>19</v>
      </c>
      <c r="E1458" t="s">
        <v>20</v>
      </c>
      <c r="F1458" t="s">
        <v>32</v>
      </c>
      <c r="G1458" t="s">
        <v>22</v>
      </c>
      <c r="H1458" t="s">
        <v>23</v>
      </c>
      <c r="I1458" t="s">
        <v>24</v>
      </c>
      <c r="J1458">
        <v>382500</v>
      </c>
      <c r="K1458">
        <v>0</v>
      </c>
      <c r="L1458" t="s">
        <v>38</v>
      </c>
      <c r="M1458" t="s">
        <v>26</v>
      </c>
      <c r="N1458" t="s">
        <v>27</v>
      </c>
      <c r="O1458" t="s">
        <v>35</v>
      </c>
      <c r="P1458" t="s">
        <v>26</v>
      </c>
      <c r="Q1458">
        <v>0</v>
      </c>
    </row>
    <row r="1459" spans="1:17" x14ac:dyDescent="0.25">
      <c r="A1459" t="s">
        <v>29</v>
      </c>
      <c r="B1459" t="s">
        <v>18</v>
      </c>
      <c r="C1459">
        <v>202500</v>
      </c>
      <c r="D1459" t="s">
        <v>19</v>
      </c>
      <c r="E1459" t="s">
        <v>20</v>
      </c>
      <c r="F1459" t="s">
        <v>32</v>
      </c>
      <c r="G1459" t="s">
        <v>22</v>
      </c>
      <c r="H1459" t="s">
        <v>23</v>
      </c>
      <c r="I1459" t="s">
        <v>24</v>
      </c>
      <c r="J1459">
        <v>21555</v>
      </c>
      <c r="K1459">
        <v>2250</v>
      </c>
      <c r="L1459" t="s">
        <v>43</v>
      </c>
      <c r="M1459" t="s">
        <v>26</v>
      </c>
      <c r="N1459" t="s">
        <v>27</v>
      </c>
      <c r="O1459" t="s">
        <v>35</v>
      </c>
      <c r="P1459" t="s">
        <v>26</v>
      </c>
      <c r="Q1459">
        <v>0</v>
      </c>
    </row>
    <row r="1460" spans="1:17" x14ac:dyDescent="0.25">
      <c r="A1460" t="s">
        <v>29</v>
      </c>
      <c r="B1460" t="s">
        <v>18</v>
      </c>
      <c r="C1460">
        <v>202500</v>
      </c>
      <c r="D1460" t="s">
        <v>19</v>
      </c>
      <c r="E1460" t="s">
        <v>20</v>
      </c>
      <c r="F1460" t="s">
        <v>32</v>
      </c>
      <c r="G1460" t="s">
        <v>22</v>
      </c>
      <c r="H1460" t="s">
        <v>23</v>
      </c>
      <c r="I1460" t="s">
        <v>66</v>
      </c>
      <c r="J1460">
        <v>270000</v>
      </c>
      <c r="K1460">
        <v>0</v>
      </c>
      <c r="L1460" t="s">
        <v>42</v>
      </c>
      <c r="M1460" t="s">
        <v>28</v>
      </c>
      <c r="N1460" t="s">
        <v>27</v>
      </c>
      <c r="O1460" t="s">
        <v>28</v>
      </c>
      <c r="P1460" t="s">
        <v>26</v>
      </c>
      <c r="Q1460">
        <v>0</v>
      </c>
    </row>
    <row r="1461" spans="1:17" x14ac:dyDescent="0.25">
      <c r="A1461" t="s">
        <v>29</v>
      </c>
      <c r="B1461" t="s">
        <v>18</v>
      </c>
      <c r="C1461">
        <v>202500</v>
      </c>
      <c r="D1461" t="s">
        <v>19</v>
      </c>
      <c r="E1461" t="s">
        <v>20</v>
      </c>
      <c r="F1461" t="s">
        <v>32</v>
      </c>
      <c r="G1461" t="s">
        <v>22</v>
      </c>
      <c r="H1461" t="s">
        <v>23</v>
      </c>
      <c r="I1461" t="s">
        <v>24</v>
      </c>
      <c r="J1461">
        <v>29880</v>
      </c>
      <c r="K1461">
        <v>0</v>
      </c>
      <c r="L1461" t="s">
        <v>51</v>
      </c>
      <c r="M1461" t="s">
        <v>26</v>
      </c>
      <c r="N1461" t="s">
        <v>76</v>
      </c>
      <c r="O1461" t="s">
        <v>35</v>
      </c>
      <c r="P1461" t="s">
        <v>77</v>
      </c>
      <c r="Q1461">
        <v>0</v>
      </c>
    </row>
    <row r="1462" spans="1:17" x14ac:dyDescent="0.25">
      <c r="A1462" t="s">
        <v>17</v>
      </c>
      <c r="B1462" t="s">
        <v>18</v>
      </c>
      <c r="C1462">
        <v>225000</v>
      </c>
      <c r="D1462" t="s">
        <v>19</v>
      </c>
      <c r="E1462" t="s">
        <v>20</v>
      </c>
      <c r="F1462" t="s">
        <v>32</v>
      </c>
      <c r="G1462" t="s">
        <v>62</v>
      </c>
      <c r="H1462" t="s">
        <v>49</v>
      </c>
      <c r="I1462" t="s">
        <v>24</v>
      </c>
      <c r="J1462">
        <v>35100</v>
      </c>
      <c r="K1462">
        <v>3510</v>
      </c>
      <c r="L1462" t="s">
        <v>42</v>
      </c>
      <c r="M1462" t="s">
        <v>26</v>
      </c>
      <c r="N1462" t="s">
        <v>27</v>
      </c>
      <c r="O1462" t="s">
        <v>35</v>
      </c>
      <c r="P1462" t="s">
        <v>26</v>
      </c>
      <c r="Q1462">
        <v>0</v>
      </c>
    </row>
    <row r="1463" spans="1:17" x14ac:dyDescent="0.25">
      <c r="A1463" t="s">
        <v>17</v>
      </c>
      <c r="B1463" t="s">
        <v>18</v>
      </c>
      <c r="C1463">
        <v>225000</v>
      </c>
      <c r="D1463" t="s">
        <v>19</v>
      </c>
      <c r="E1463" t="s">
        <v>20</v>
      </c>
      <c r="F1463" t="s">
        <v>32</v>
      </c>
      <c r="G1463" t="s">
        <v>62</v>
      </c>
      <c r="H1463" t="s">
        <v>49</v>
      </c>
      <c r="I1463" t="s">
        <v>24</v>
      </c>
      <c r="J1463">
        <v>124650</v>
      </c>
      <c r="K1463">
        <v>12465</v>
      </c>
      <c r="L1463" t="s">
        <v>38</v>
      </c>
      <c r="M1463" t="s">
        <v>26</v>
      </c>
      <c r="N1463" t="s">
        <v>58</v>
      </c>
      <c r="O1463" t="s">
        <v>35</v>
      </c>
      <c r="P1463" t="s">
        <v>59</v>
      </c>
      <c r="Q1463">
        <v>1</v>
      </c>
    </row>
    <row r="1464" spans="1:17" x14ac:dyDescent="0.25">
      <c r="A1464" t="s">
        <v>17</v>
      </c>
      <c r="B1464" t="s">
        <v>18</v>
      </c>
      <c r="C1464">
        <v>225000</v>
      </c>
      <c r="D1464" t="s">
        <v>19</v>
      </c>
      <c r="E1464" t="s">
        <v>20</v>
      </c>
      <c r="F1464" t="s">
        <v>32</v>
      </c>
      <c r="G1464" t="s">
        <v>62</v>
      </c>
      <c r="H1464" t="s">
        <v>49</v>
      </c>
      <c r="I1464" t="s">
        <v>24</v>
      </c>
      <c r="J1464">
        <v>18900</v>
      </c>
      <c r="K1464">
        <v>1890</v>
      </c>
      <c r="L1464" t="s">
        <v>51</v>
      </c>
      <c r="M1464" t="s">
        <v>26</v>
      </c>
      <c r="N1464" t="s">
        <v>27</v>
      </c>
      <c r="O1464" t="s">
        <v>35</v>
      </c>
      <c r="P1464" t="s">
        <v>26</v>
      </c>
      <c r="Q1464">
        <v>0</v>
      </c>
    </row>
    <row r="1465" spans="1:17" x14ac:dyDescent="0.25">
      <c r="A1465" t="s">
        <v>17</v>
      </c>
      <c r="B1465" t="s">
        <v>18</v>
      </c>
      <c r="C1465">
        <v>225000</v>
      </c>
      <c r="D1465" t="s">
        <v>44</v>
      </c>
      <c r="E1465" t="s">
        <v>70</v>
      </c>
      <c r="F1465" t="s">
        <v>39</v>
      </c>
      <c r="G1465" t="s">
        <v>22</v>
      </c>
      <c r="H1465" t="s">
        <v>71</v>
      </c>
      <c r="I1465" t="s">
        <v>24</v>
      </c>
      <c r="J1465">
        <v>104013</v>
      </c>
      <c r="K1465">
        <v>0</v>
      </c>
      <c r="L1465" t="s">
        <v>25</v>
      </c>
      <c r="M1465" t="s">
        <v>26</v>
      </c>
      <c r="N1465" t="s">
        <v>27</v>
      </c>
      <c r="O1465" t="s">
        <v>28</v>
      </c>
      <c r="P1465" t="s">
        <v>26</v>
      </c>
      <c r="Q1465">
        <v>0</v>
      </c>
    </row>
    <row r="1466" spans="1:17" x14ac:dyDescent="0.25">
      <c r="A1466" t="s">
        <v>17</v>
      </c>
      <c r="B1466" t="s">
        <v>18</v>
      </c>
      <c r="C1466">
        <v>225000</v>
      </c>
      <c r="D1466" t="s">
        <v>44</v>
      </c>
      <c r="E1466" t="s">
        <v>70</v>
      </c>
      <c r="F1466" t="s">
        <v>39</v>
      </c>
      <c r="G1466" t="s">
        <v>22</v>
      </c>
      <c r="H1466" t="s">
        <v>71</v>
      </c>
      <c r="I1466" t="s">
        <v>24</v>
      </c>
      <c r="J1466">
        <v>224995.5</v>
      </c>
      <c r="K1466">
        <v>0</v>
      </c>
      <c r="L1466" t="s">
        <v>42</v>
      </c>
      <c r="M1466" t="s">
        <v>26</v>
      </c>
      <c r="N1466" t="s">
        <v>58</v>
      </c>
      <c r="O1466" t="s">
        <v>35</v>
      </c>
      <c r="P1466" t="s">
        <v>59</v>
      </c>
      <c r="Q1466">
        <v>1</v>
      </c>
    </row>
    <row r="1467" spans="1:17" x14ac:dyDescent="0.25">
      <c r="A1467" t="s">
        <v>17</v>
      </c>
      <c r="B1467" t="s">
        <v>18</v>
      </c>
      <c r="C1467">
        <v>225000</v>
      </c>
      <c r="D1467" t="s">
        <v>44</v>
      </c>
      <c r="E1467" t="s">
        <v>70</v>
      </c>
      <c r="F1467" t="s">
        <v>39</v>
      </c>
      <c r="G1467" t="s">
        <v>22</v>
      </c>
      <c r="H1467" t="s">
        <v>71</v>
      </c>
      <c r="I1467" t="s">
        <v>24</v>
      </c>
      <c r="J1467">
        <v>210645</v>
      </c>
      <c r="K1467">
        <v>78750</v>
      </c>
      <c r="L1467" t="s">
        <v>34</v>
      </c>
      <c r="M1467" t="s">
        <v>26</v>
      </c>
      <c r="N1467" t="s">
        <v>27</v>
      </c>
      <c r="O1467" t="s">
        <v>35</v>
      </c>
      <c r="P1467" t="s">
        <v>26</v>
      </c>
      <c r="Q1467">
        <v>0</v>
      </c>
    </row>
    <row r="1468" spans="1:17" x14ac:dyDescent="0.25">
      <c r="A1468" t="s">
        <v>17</v>
      </c>
      <c r="B1468" t="s">
        <v>18</v>
      </c>
      <c r="C1468">
        <v>225000</v>
      </c>
      <c r="D1468" t="s">
        <v>44</v>
      </c>
      <c r="E1468" t="s">
        <v>70</v>
      </c>
      <c r="F1468" t="s">
        <v>39</v>
      </c>
      <c r="G1468" t="s">
        <v>22</v>
      </c>
      <c r="H1468" t="s">
        <v>71</v>
      </c>
      <c r="I1468" t="s">
        <v>24</v>
      </c>
      <c r="J1468">
        <v>224995.5</v>
      </c>
      <c r="K1468">
        <v>0</v>
      </c>
      <c r="L1468" t="s">
        <v>38</v>
      </c>
      <c r="M1468" t="s">
        <v>26</v>
      </c>
      <c r="N1468" t="s">
        <v>58</v>
      </c>
      <c r="O1468" t="s">
        <v>35</v>
      </c>
      <c r="P1468" t="s">
        <v>60</v>
      </c>
      <c r="Q1468">
        <v>1</v>
      </c>
    </row>
    <row r="1469" spans="1:17" x14ac:dyDescent="0.25">
      <c r="A1469" t="s">
        <v>17</v>
      </c>
      <c r="B1469" t="s">
        <v>18</v>
      </c>
      <c r="C1469">
        <v>225000</v>
      </c>
      <c r="D1469" t="s">
        <v>44</v>
      </c>
      <c r="E1469" t="s">
        <v>70</v>
      </c>
      <c r="F1469" t="s">
        <v>39</v>
      </c>
      <c r="G1469" t="s">
        <v>22</v>
      </c>
      <c r="H1469" t="s">
        <v>71</v>
      </c>
      <c r="I1469" t="s">
        <v>24</v>
      </c>
      <c r="J1469">
        <v>152550</v>
      </c>
      <c r="K1469">
        <v>15255</v>
      </c>
      <c r="L1469" t="s">
        <v>42</v>
      </c>
      <c r="M1469" t="s">
        <v>26</v>
      </c>
      <c r="N1469" t="s">
        <v>27</v>
      </c>
      <c r="O1469" t="s">
        <v>28</v>
      </c>
      <c r="P1469" t="s">
        <v>26</v>
      </c>
      <c r="Q1469">
        <v>0</v>
      </c>
    </row>
    <row r="1470" spans="1:17" x14ac:dyDescent="0.25">
      <c r="A1470" t="s">
        <v>17</v>
      </c>
      <c r="B1470" t="s">
        <v>18</v>
      </c>
      <c r="C1470">
        <v>225000</v>
      </c>
      <c r="D1470" t="s">
        <v>44</v>
      </c>
      <c r="E1470" t="s">
        <v>70</v>
      </c>
      <c r="F1470" t="s">
        <v>39</v>
      </c>
      <c r="G1470" t="s">
        <v>22</v>
      </c>
      <c r="H1470" t="s">
        <v>71</v>
      </c>
      <c r="I1470" t="s">
        <v>24</v>
      </c>
      <c r="J1470">
        <v>134995.5</v>
      </c>
      <c r="K1470">
        <v>0</v>
      </c>
      <c r="L1470" t="s">
        <v>25</v>
      </c>
      <c r="M1470" t="s">
        <v>26</v>
      </c>
      <c r="N1470" t="s">
        <v>27</v>
      </c>
      <c r="O1470" t="s">
        <v>28</v>
      </c>
      <c r="P1470" t="s">
        <v>26</v>
      </c>
      <c r="Q1470">
        <v>0</v>
      </c>
    </row>
    <row r="1471" spans="1:17" x14ac:dyDescent="0.25">
      <c r="A1471" t="s">
        <v>17</v>
      </c>
      <c r="B1471" t="s">
        <v>18</v>
      </c>
      <c r="C1471">
        <v>225000</v>
      </c>
      <c r="D1471" t="s">
        <v>44</v>
      </c>
      <c r="E1471" t="s">
        <v>70</v>
      </c>
      <c r="F1471" t="s">
        <v>39</v>
      </c>
      <c r="G1471" t="s">
        <v>22</v>
      </c>
      <c r="H1471" t="s">
        <v>71</v>
      </c>
      <c r="I1471" t="s">
        <v>24</v>
      </c>
      <c r="J1471">
        <v>87286.5</v>
      </c>
      <c r="K1471">
        <v>0</v>
      </c>
      <c r="L1471" t="s">
        <v>42</v>
      </c>
      <c r="M1471" t="s">
        <v>26</v>
      </c>
      <c r="N1471" t="s">
        <v>27</v>
      </c>
      <c r="O1471" t="s">
        <v>28</v>
      </c>
      <c r="P1471" t="s">
        <v>26</v>
      </c>
      <c r="Q1471">
        <v>0</v>
      </c>
    </row>
    <row r="1472" spans="1:17" x14ac:dyDescent="0.25">
      <c r="A1472" t="s">
        <v>17</v>
      </c>
      <c r="B1472" t="s">
        <v>36</v>
      </c>
      <c r="C1472">
        <v>252000</v>
      </c>
      <c r="D1472" t="s">
        <v>19</v>
      </c>
      <c r="E1472" t="s">
        <v>20</v>
      </c>
      <c r="F1472" t="s">
        <v>21</v>
      </c>
      <c r="G1472" t="s">
        <v>22</v>
      </c>
      <c r="H1472" t="s">
        <v>49</v>
      </c>
      <c r="I1472" t="s">
        <v>24</v>
      </c>
      <c r="J1472">
        <v>80010</v>
      </c>
      <c r="K1472">
        <v>8001</v>
      </c>
      <c r="L1472" t="s">
        <v>43</v>
      </c>
      <c r="M1472" t="s">
        <v>26</v>
      </c>
      <c r="N1472" t="s">
        <v>27</v>
      </c>
      <c r="O1472" t="s">
        <v>35</v>
      </c>
      <c r="P1472" t="s">
        <v>26</v>
      </c>
      <c r="Q1472">
        <v>0</v>
      </c>
    </row>
    <row r="1473" spans="1:17" x14ac:dyDescent="0.25">
      <c r="A1473" t="s">
        <v>17</v>
      </c>
      <c r="B1473" t="s">
        <v>36</v>
      </c>
      <c r="C1473">
        <v>252000</v>
      </c>
      <c r="D1473" t="s">
        <v>19</v>
      </c>
      <c r="E1473" t="s">
        <v>20</v>
      </c>
      <c r="F1473" t="s">
        <v>21</v>
      </c>
      <c r="G1473" t="s">
        <v>22</v>
      </c>
      <c r="H1473" t="s">
        <v>49</v>
      </c>
      <c r="I1473" t="s">
        <v>24</v>
      </c>
      <c r="J1473">
        <v>87210</v>
      </c>
      <c r="K1473">
        <v>17550</v>
      </c>
      <c r="L1473" t="s">
        <v>43</v>
      </c>
      <c r="M1473" t="s">
        <v>26</v>
      </c>
      <c r="N1473" t="s">
        <v>27</v>
      </c>
      <c r="O1473" t="s">
        <v>35</v>
      </c>
      <c r="P1473" t="s">
        <v>26</v>
      </c>
      <c r="Q1473">
        <v>0</v>
      </c>
    </row>
    <row r="1474" spans="1:17" x14ac:dyDescent="0.25">
      <c r="A1474" t="s">
        <v>17</v>
      </c>
      <c r="B1474" t="s">
        <v>36</v>
      </c>
      <c r="C1474">
        <v>252000</v>
      </c>
      <c r="D1474" t="s">
        <v>19</v>
      </c>
      <c r="E1474" t="s">
        <v>20</v>
      </c>
      <c r="F1474" t="s">
        <v>21</v>
      </c>
      <c r="G1474" t="s">
        <v>22</v>
      </c>
      <c r="H1474" t="s">
        <v>49</v>
      </c>
      <c r="I1474" t="s">
        <v>24</v>
      </c>
      <c r="J1474">
        <v>194818.5</v>
      </c>
      <c r="K1474">
        <v>19485</v>
      </c>
      <c r="L1474" t="s">
        <v>38</v>
      </c>
      <c r="M1474" t="s">
        <v>26</v>
      </c>
      <c r="N1474" t="s">
        <v>27</v>
      </c>
      <c r="O1474" t="s">
        <v>35</v>
      </c>
      <c r="P1474" t="s">
        <v>26</v>
      </c>
      <c r="Q1474">
        <v>0</v>
      </c>
    </row>
    <row r="1475" spans="1:17" x14ac:dyDescent="0.25">
      <c r="A1475" t="s">
        <v>17</v>
      </c>
      <c r="B1475" t="s">
        <v>36</v>
      </c>
      <c r="C1475">
        <v>252000</v>
      </c>
      <c r="D1475" t="s">
        <v>19</v>
      </c>
      <c r="E1475" t="s">
        <v>20</v>
      </c>
      <c r="F1475" t="s">
        <v>21</v>
      </c>
      <c r="G1475" t="s">
        <v>22</v>
      </c>
      <c r="H1475" t="s">
        <v>49</v>
      </c>
      <c r="I1475" t="s">
        <v>24</v>
      </c>
      <c r="J1475">
        <v>40761</v>
      </c>
      <c r="K1475">
        <v>4077</v>
      </c>
      <c r="L1475" t="s">
        <v>45</v>
      </c>
      <c r="M1475" t="s">
        <v>26</v>
      </c>
      <c r="N1475" t="s">
        <v>27</v>
      </c>
      <c r="O1475" t="s">
        <v>35</v>
      </c>
      <c r="P1475" t="s">
        <v>26</v>
      </c>
      <c r="Q1475">
        <v>0</v>
      </c>
    </row>
    <row r="1476" spans="1:17" x14ac:dyDescent="0.25">
      <c r="A1476" t="s">
        <v>17</v>
      </c>
      <c r="B1476" t="s">
        <v>36</v>
      </c>
      <c r="C1476">
        <v>252000</v>
      </c>
      <c r="D1476" t="s">
        <v>19</v>
      </c>
      <c r="E1476" t="s">
        <v>20</v>
      </c>
      <c r="F1476" t="s">
        <v>21</v>
      </c>
      <c r="G1476" t="s">
        <v>22</v>
      </c>
      <c r="H1476" t="s">
        <v>49</v>
      </c>
      <c r="I1476" t="s">
        <v>24</v>
      </c>
      <c r="J1476">
        <v>40081.5</v>
      </c>
      <c r="K1476">
        <v>4009.5</v>
      </c>
      <c r="L1476" t="s">
        <v>25</v>
      </c>
      <c r="M1476" t="s">
        <v>26</v>
      </c>
      <c r="N1476" t="s">
        <v>27</v>
      </c>
      <c r="O1476" t="s">
        <v>35</v>
      </c>
      <c r="P1476" t="s">
        <v>26</v>
      </c>
      <c r="Q1476">
        <v>0</v>
      </c>
    </row>
    <row r="1477" spans="1:17" x14ac:dyDescent="0.25">
      <c r="A1477" t="s">
        <v>17</v>
      </c>
      <c r="B1477" t="s">
        <v>36</v>
      </c>
      <c r="C1477">
        <v>252000</v>
      </c>
      <c r="D1477" t="s">
        <v>19</v>
      </c>
      <c r="E1477" t="s">
        <v>20</v>
      </c>
      <c r="F1477" t="s">
        <v>21</v>
      </c>
      <c r="G1477" t="s">
        <v>22</v>
      </c>
      <c r="H1477" t="s">
        <v>49</v>
      </c>
      <c r="I1477" t="s">
        <v>24</v>
      </c>
      <c r="J1477">
        <v>91350</v>
      </c>
      <c r="K1477">
        <v>9135</v>
      </c>
      <c r="L1477" t="s">
        <v>42</v>
      </c>
      <c r="M1477" t="s">
        <v>26</v>
      </c>
      <c r="N1477" t="s">
        <v>27</v>
      </c>
      <c r="O1477" t="s">
        <v>28</v>
      </c>
      <c r="P1477" t="s">
        <v>26</v>
      </c>
      <c r="Q1477">
        <v>0</v>
      </c>
    </row>
    <row r="1478" spans="1:17" x14ac:dyDescent="0.25">
      <c r="A1478" t="s">
        <v>17</v>
      </c>
      <c r="B1478" t="s">
        <v>36</v>
      </c>
      <c r="C1478">
        <v>252000</v>
      </c>
      <c r="D1478" t="s">
        <v>19</v>
      </c>
      <c r="E1478" t="s">
        <v>20</v>
      </c>
      <c r="F1478" t="s">
        <v>21</v>
      </c>
      <c r="G1478" t="s">
        <v>22</v>
      </c>
      <c r="H1478" t="s">
        <v>49</v>
      </c>
      <c r="I1478" t="s">
        <v>24</v>
      </c>
      <c r="J1478">
        <v>38686.5</v>
      </c>
      <c r="K1478">
        <v>3870</v>
      </c>
      <c r="L1478" t="s">
        <v>45</v>
      </c>
      <c r="M1478" t="s">
        <v>26</v>
      </c>
      <c r="N1478" t="s">
        <v>58</v>
      </c>
      <c r="O1478" t="s">
        <v>35</v>
      </c>
      <c r="P1478" t="s">
        <v>64</v>
      </c>
      <c r="Q1478">
        <v>1</v>
      </c>
    </row>
    <row r="1479" spans="1:17" x14ac:dyDescent="0.25">
      <c r="A1479" t="s">
        <v>17</v>
      </c>
      <c r="B1479" t="s">
        <v>36</v>
      </c>
      <c r="C1479">
        <v>157500</v>
      </c>
      <c r="D1479" t="s">
        <v>19</v>
      </c>
      <c r="E1479" t="s">
        <v>20</v>
      </c>
      <c r="F1479" t="s">
        <v>32</v>
      </c>
      <c r="G1479" t="s">
        <v>52</v>
      </c>
      <c r="H1479" t="s">
        <v>49</v>
      </c>
      <c r="I1479" t="s">
        <v>24</v>
      </c>
      <c r="J1479">
        <v>78705</v>
      </c>
      <c r="K1479">
        <v>0</v>
      </c>
      <c r="L1479" t="s">
        <v>38</v>
      </c>
      <c r="M1479" t="s">
        <v>26</v>
      </c>
      <c r="N1479" t="s">
        <v>27</v>
      </c>
      <c r="O1479" t="s">
        <v>28</v>
      </c>
      <c r="P1479" t="s">
        <v>26</v>
      </c>
      <c r="Q1479">
        <v>0</v>
      </c>
    </row>
    <row r="1480" spans="1:17" x14ac:dyDescent="0.25">
      <c r="A1480" t="s">
        <v>17</v>
      </c>
      <c r="B1480" t="s">
        <v>36</v>
      </c>
      <c r="C1480">
        <v>157500</v>
      </c>
      <c r="D1480" t="s">
        <v>19</v>
      </c>
      <c r="E1480" t="s">
        <v>20</v>
      </c>
      <c r="F1480" t="s">
        <v>32</v>
      </c>
      <c r="G1480" t="s">
        <v>52</v>
      </c>
      <c r="H1480" t="s">
        <v>49</v>
      </c>
      <c r="I1480" t="s">
        <v>24</v>
      </c>
      <c r="J1480">
        <v>125505</v>
      </c>
      <c r="K1480">
        <v>22500</v>
      </c>
      <c r="L1480" t="s">
        <v>42</v>
      </c>
      <c r="M1480" t="s">
        <v>26</v>
      </c>
      <c r="N1480" t="s">
        <v>27</v>
      </c>
      <c r="O1480" t="s">
        <v>35</v>
      </c>
      <c r="P1480" t="s">
        <v>26</v>
      </c>
      <c r="Q1480">
        <v>0</v>
      </c>
    </row>
    <row r="1481" spans="1:17" x14ac:dyDescent="0.25">
      <c r="A1481" t="s">
        <v>17</v>
      </c>
      <c r="B1481" t="s">
        <v>18</v>
      </c>
      <c r="C1481">
        <v>202500</v>
      </c>
      <c r="D1481" t="s">
        <v>44</v>
      </c>
      <c r="E1481" t="s">
        <v>20</v>
      </c>
      <c r="F1481" t="s">
        <v>32</v>
      </c>
      <c r="G1481" t="s">
        <v>22</v>
      </c>
      <c r="H1481" t="s">
        <v>80</v>
      </c>
      <c r="I1481" t="s">
        <v>24</v>
      </c>
      <c r="J1481">
        <v>119596.5</v>
      </c>
      <c r="K1481">
        <v>0</v>
      </c>
      <c r="L1481" t="s">
        <v>34</v>
      </c>
      <c r="M1481" t="s">
        <v>26</v>
      </c>
      <c r="N1481" t="s">
        <v>27</v>
      </c>
      <c r="O1481" t="s">
        <v>35</v>
      </c>
      <c r="P1481" t="s">
        <v>26</v>
      </c>
      <c r="Q1481">
        <v>0</v>
      </c>
    </row>
    <row r="1482" spans="1:17" x14ac:dyDescent="0.25">
      <c r="A1482" t="s">
        <v>29</v>
      </c>
      <c r="B1482" t="s">
        <v>36</v>
      </c>
      <c r="C1482">
        <v>90000</v>
      </c>
      <c r="D1482" t="s">
        <v>19</v>
      </c>
      <c r="E1482" t="s">
        <v>20</v>
      </c>
      <c r="F1482" t="s">
        <v>32</v>
      </c>
      <c r="G1482" t="s">
        <v>22</v>
      </c>
      <c r="H1482" t="s">
        <v>33</v>
      </c>
      <c r="I1482" t="s">
        <v>24</v>
      </c>
      <c r="J1482">
        <v>31756.5</v>
      </c>
      <c r="K1482">
        <v>0</v>
      </c>
      <c r="L1482" t="s">
        <v>38</v>
      </c>
      <c r="M1482" t="s">
        <v>26</v>
      </c>
      <c r="N1482" t="s">
        <v>27</v>
      </c>
      <c r="O1482" t="s">
        <v>35</v>
      </c>
      <c r="P1482" t="s">
        <v>26</v>
      </c>
      <c r="Q1482">
        <v>0</v>
      </c>
    </row>
    <row r="1483" spans="1:17" x14ac:dyDescent="0.25">
      <c r="A1483" t="s">
        <v>29</v>
      </c>
      <c r="B1483" t="s">
        <v>18</v>
      </c>
      <c r="C1483">
        <v>67500</v>
      </c>
      <c r="D1483" t="s">
        <v>46</v>
      </c>
      <c r="E1483" t="s">
        <v>20</v>
      </c>
      <c r="F1483" t="s">
        <v>54</v>
      </c>
      <c r="G1483" t="s">
        <v>22</v>
      </c>
      <c r="H1483" t="s">
        <v>28</v>
      </c>
      <c r="I1483" t="s">
        <v>24</v>
      </c>
      <c r="J1483">
        <v>15295.05</v>
      </c>
      <c r="K1483">
        <v>4.05</v>
      </c>
      <c r="L1483" t="s">
        <v>38</v>
      </c>
      <c r="M1483" t="s">
        <v>26</v>
      </c>
      <c r="N1483" t="s">
        <v>27</v>
      </c>
      <c r="O1483" t="s">
        <v>35</v>
      </c>
      <c r="P1483" t="s">
        <v>26</v>
      </c>
      <c r="Q1483">
        <v>0</v>
      </c>
    </row>
    <row r="1484" spans="1:17" x14ac:dyDescent="0.25">
      <c r="A1484" t="s">
        <v>29</v>
      </c>
      <c r="B1484" t="s">
        <v>18</v>
      </c>
      <c r="C1484">
        <v>76500</v>
      </c>
      <c r="D1484" t="s">
        <v>19</v>
      </c>
      <c r="E1484" t="s">
        <v>20</v>
      </c>
      <c r="F1484" t="s">
        <v>32</v>
      </c>
      <c r="G1484" t="s">
        <v>22</v>
      </c>
      <c r="H1484" t="s">
        <v>23</v>
      </c>
      <c r="I1484" t="s">
        <v>24</v>
      </c>
      <c r="J1484">
        <v>138186</v>
      </c>
      <c r="K1484">
        <v>13819.5</v>
      </c>
      <c r="L1484" t="s">
        <v>43</v>
      </c>
      <c r="M1484" t="s">
        <v>26</v>
      </c>
      <c r="N1484" t="s">
        <v>27</v>
      </c>
      <c r="O1484" t="s">
        <v>35</v>
      </c>
      <c r="P1484" t="s">
        <v>26</v>
      </c>
      <c r="Q1484">
        <v>0</v>
      </c>
    </row>
    <row r="1485" spans="1:17" x14ac:dyDescent="0.25">
      <c r="A1485" t="s">
        <v>17</v>
      </c>
      <c r="B1485" t="s">
        <v>18</v>
      </c>
      <c r="C1485">
        <v>157500</v>
      </c>
      <c r="D1485" t="s">
        <v>19</v>
      </c>
      <c r="E1485" t="s">
        <v>20</v>
      </c>
      <c r="F1485" t="s">
        <v>32</v>
      </c>
      <c r="G1485" t="s">
        <v>22</v>
      </c>
      <c r="H1485" t="s">
        <v>81</v>
      </c>
      <c r="I1485" t="s">
        <v>24</v>
      </c>
      <c r="J1485">
        <v>84600</v>
      </c>
      <c r="K1485">
        <v>27000</v>
      </c>
      <c r="L1485" t="s">
        <v>51</v>
      </c>
      <c r="M1485" t="s">
        <v>26</v>
      </c>
      <c r="N1485" t="s">
        <v>27</v>
      </c>
      <c r="O1485" t="s">
        <v>35</v>
      </c>
      <c r="P1485" t="s">
        <v>26</v>
      </c>
      <c r="Q1485">
        <v>0</v>
      </c>
    </row>
    <row r="1486" spans="1:17" x14ac:dyDescent="0.25">
      <c r="A1486" t="s">
        <v>17</v>
      </c>
      <c r="B1486" t="s">
        <v>18</v>
      </c>
      <c r="C1486">
        <v>157500</v>
      </c>
      <c r="D1486" t="s">
        <v>19</v>
      </c>
      <c r="E1486" t="s">
        <v>20</v>
      </c>
      <c r="F1486" t="s">
        <v>32</v>
      </c>
      <c r="G1486" t="s">
        <v>22</v>
      </c>
      <c r="H1486" t="s">
        <v>81</v>
      </c>
      <c r="I1486" t="s">
        <v>24</v>
      </c>
      <c r="J1486">
        <v>94455</v>
      </c>
      <c r="K1486">
        <v>9445.5</v>
      </c>
      <c r="L1486" t="s">
        <v>51</v>
      </c>
      <c r="M1486" t="s">
        <v>26</v>
      </c>
      <c r="N1486" t="s">
        <v>27</v>
      </c>
      <c r="O1486" t="s">
        <v>35</v>
      </c>
      <c r="P1486" t="s">
        <v>26</v>
      </c>
      <c r="Q1486">
        <v>0</v>
      </c>
    </row>
    <row r="1487" spans="1:17" x14ac:dyDescent="0.25">
      <c r="A1487" t="s">
        <v>17</v>
      </c>
      <c r="B1487" t="s">
        <v>18</v>
      </c>
      <c r="C1487">
        <v>180000</v>
      </c>
      <c r="D1487" t="s">
        <v>19</v>
      </c>
      <c r="E1487" t="s">
        <v>31</v>
      </c>
      <c r="F1487" t="s">
        <v>32</v>
      </c>
      <c r="G1487" t="s">
        <v>22</v>
      </c>
      <c r="H1487" t="s">
        <v>48</v>
      </c>
      <c r="I1487" t="s">
        <v>24</v>
      </c>
      <c r="J1487">
        <v>34965</v>
      </c>
      <c r="K1487">
        <v>3496.5</v>
      </c>
      <c r="L1487" t="s">
        <v>34</v>
      </c>
      <c r="M1487" t="s">
        <v>26</v>
      </c>
      <c r="N1487" t="s">
        <v>27</v>
      </c>
      <c r="O1487" t="s">
        <v>35</v>
      </c>
      <c r="P1487" t="s">
        <v>26</v>
      </c>
      <c r="Q1487">
        <v>0</v>
      </c>
    </row>
    <row r="1488" spans="1:17" x14ac:dyDescent="0.25">
      <c r="A1488" t="s">
        <v>17</v>
      </c>
      <c r="B1488" t="s">
        <v>18</v>
      </c>
      <c r="C1488">
        <v>180000</v>
      </c>
      <c r="D1488" t="s">
        <v>19</v>
      </c>
      <c r="E1488" t="s">
        <v>31</v>
      </c>
      <c r="F1488" t="s">
        <v>32</v>
      </c>
      <c r="G1488" t="s">
        <v>22</v>
      </c>
      <c r="H1488" t="s">
        <v>48</v>
      </c>
      <c r="I1488" t="s">
        <v>24</v>
      </c>
      <c r="J1488">
        <v>46179</v>
      </c>
      <c r="K1488">
        <v>10179</v>
      </c>
      <c r="L1488" t="s">
        <v>25</v>
      </c>
      <c r="M1488" t="s">
        <v>26</v>
      </c>
      <c r="N1488" t="s">
        <v>27</v>
      </c>
      <c r="O1488" t="s">
        <v>35</v>
      </c>
      <c r="P1488" t="s">
        <v>26</v>
      </c>
      <c r="Q1488">
        <v>0</v>
      </c>
    </row>
    <row r="1489" spans="1:17" x14ac:dyDescent="0.25">
      <c r="A1489" t="s">
        <v>17</v>
      </c>
      <c r="B1489" t="s">
        <v>18</v>
      </c>
      <c r="C1489">
        <v>180000</v>
      </c>
      <c r="D1489" t="s">
        <v>19</v>
      </c>
      <c r="E1489" t="s">
        <v>31</v>
      </c>
      <c r="F1489" t="s">
        <v>32</v>
      </c>
      <c r="G1489" t="s">
        <v>22</v>
      </c>
      <c r="H1489" t="s">
        <v>48</v>
      </c>
      <c r="I1489" t="s">
        <v>24</v>
      </c>
      <c r="J1489">
        <v>40140</v>
      </c>
      <c r="K1489">
        <v>12042</v>
      </c>
      <c r="L1489" t="s">
        <v>51</v>
      </c>
      <c r="M1489" t="s">
        <v>26</v>
      </c>
      <c r="N1489" t="s">
        <v>27</v>
      </c>
      <c r="O1489" t="s">
        <v>28</v>
      </c>
      <c r="P1489" t="s">
        <v>26</v>
      </c>
      <c r="Q1489">
        <v>0</v>
      </c>
    </row>
    <row r="1490" spans="1:17" x14ac:dyDescent="0.25">
      <c r="A1490" t="s">
        <v>17</v>
      </c>
      <c r="B1490" t="s">
        <v>18</v>
      </c>
      <c r="C1490">
        <v>180000</v>
      </c>
      <c r="D1490" t="s">
        <v>19</v>
      </c>
      <c r="E1490" t="s">
        <v>31</v>
      </c>
      <c r="F1490" t="s">
        <v>32</v>
      </c>
      <c r="G1490" t="s">
        <v>22</v>
      </c>
      <c r="H1490" t="s">
        <v>48</v>
      </c>
      <c r="I1490" t="s">
        <v>66</v>
      </c>
      <c r="J1490">
        <v>225000</v>
      </c>
      <c r="K1490">
        <v>0</v>
      </c>
      <c r="L1490" t="s">
        <v>25</v>
      </c>
      <c r="M1490" t="s">
        <v>28</v>
      </c>
      <c r="N1490" t="s">
        <v>58</v>
      </c>
      <c r="O1490" t="s">
        <v>35</v>
      </c>
      <c r="P1490" t="s">
        <v>60</v>
      </c>
      <c r="Q1490">
        <v>1</v>
      </c>
    </row>
    <row r="1491" spans="1:17" x14ac:dyDescent="0.25">
      <c r="A1491" t="s">
        <v>29</v>
      </c>
      <c r="B1491" t="s">
        <v>18</v>
      </c>
      <c r="C1491">
        <v>132075</v>
      </c>
      <c r="D1491" t="s">
        <v>19</v>
      </c>
      <c r="E1491" t="s">
        <v>20</v>
      </c>
      <c r="F1491" t="s">
        <v>54</v>
      </c>
      <c r="G1491" t="s">
        <v>62</v>
      </c>
      <c r="H1491" t="s">
        <v>49</v>
      </c>
      <c r="I1491" t="s">
        <v>24</v>
      </c>
      <c r="J1491">
        <v>396000</v>
      </c>
      <c r="K1491">
        <v>0</v>
      </c>
      <c r="L1491" t="s">
        <v>25</v>
      </c>
      <c r="M1491" t="s">
        <v>26</v>
      </c>
      <c r="N1491" t="s">
        <v>27</v>
      </c>
      <c r="O1491" t="s">
        <v>35</v>
      </c>
      <c r="P1491" t="s">
        <v>26</v>
      </c>
      <c r="Q1491">
        <v>0</v>
      </c>
    </row>
    <row r="1492" spans="1:17" x14ac:dyDescent="0.25">
      <c r="A1492" t="s">
        <v>29</v>
      </c>
      <c r="B1492" t="s">
        <v>18</v>
      </c>
      <c r="C1492">
        <v>132075</v>
      </c>
      <c r="D1492" t="s">
        <v>19</v>
      </c>
      <c r="E1492" t="s">
        <v>20</v>
      </c>
      <c r="F1492" t="s">
        <v>54</v>
      </c>
      <c r="G1492" t="s">
        <v>62</v>
      </c>
      <c r="H1492" t="s">
        <v>49</v>
      </c>
      <c r="I1492" t="s">
        <v>24</v>
      </c>
      <c r="J1492">
        <v>39186</v>
      </c>
      <c r="K1492">
        <v>3919.5</v>
      </c>
      <c r="L1492" t="s">
        <v>42</v>
      </c>
      <c r="M1492" t="s">
        <v>26</v>
      </c>
      <c r="N1492" t="s">
        <v>27</v>
      </c>
      <c r="O1492" t="s">
        <v>35</v>
      </c>
      <c r="P1492" t="s">
        <v>26</v>
      </c>
      <c r="Q1492">
        <v>0</v>
      </c>
    </row>
    <row r="1493" spans="1:17" x14ac:dyDescent="0.25">
      <c r="A1493" t="s">
        <v>29</v>
      </c>
      <c r="B1493" t="s">
        <v>18</v>
      </c>
      <c r="C1493">
        <v>132075</v>
      </c>
      <c r="D1493" t="s">
        <v>19</v>
      </c>
      <c r="E1493" t="s">
        <v>20</v>
      </c>
      <c r="F1493" t="s">
        <v>54</v>
      </c>
      <c r="G1493" t="s">
        <v>62</v>
      </c>
      <c r="H1493" t="s">
        <v>49</v>
      </c>
      <c r="I1493" t="s">
        <v>24</v>
      </c>
      <c r="J1493">
        <v>22536</v>
      </c>
      <c r="K1493">
        <v>2254.5</v>
      </c>
      <c r="L1493" t="s">
        <v>45</v>
      </c>
      <c r="M1493" t="s">
        <v>26</v>
      </c>
      <c r="N1493" t="s">
        <v>27</v>
      </c>
      <c r="O1493" t="s">
        <v>35</v>
      </c>
      <c r="P1493" t="s">
        <v>26</v>
      </c>
      <c r="Q1493">
        <v>0</v>
      </c>
    </row>
    <row r="1494" spans="1:17" x14ac:dyDescent="0.25">
      <c r="A1494" t="s">
        <v>29</v>
      </c>
      <c r="B1494" t="s">
        <v>18</v>
      </c>
      <c r="C1494">
        <v>132075</v>
      </c>
      <c r="D1494" t="s">
        <v>19</v>
      </c>
      <c r="E1494" t="s">
        <v>20</v>
      </c>
      <c r="F1494" t="s">
        <v>54</v>
      </c>
      <c r="G1494" t="s">
        <v>62</v>
      </c>
      <c r="H1494" t="s">
        <v>49</v>
      </c>
      <c r="I1494" t="s">
        <v>24</v>
      </c>
      <c r="J1494">
        <v>189000</v>
      </c>
      <c r="K1494">
        <v>0</v>
      </c>
      <c r="L1494" t="s">
        <v>25</v>
      </c>
      <c r="M1494" t="s">
        <v>26</v>
      </c>
      <c r="N1494" t="s">
        <v>27</v>
      </c>
      <c r="O1494" t="s">
        <v>35</v>
      </c>
      <c r="P1494" t="s">
        <v>26</v>
      </c>
      <c r="Q1494">
        <v>0</v>
      </c>
    </row>
    <row r="1495" spans="1:17" x14ac:dyDescent="0.25">
      <c r="A1495" t="s">
        <v>29</v>
      </c>
      <c r="B1495" t="s">
        <v>18</v>
      </c>
      <c r="C1495">
        <v>132075</v>
      </c>
      <c r="D1495" t="s">
        <v>19</v>
      </c>
      <c r="E1495" t="s">
        <v>20</v>
      </c>
      <c r="F1495" t="s">
        <v>54</v>
      </c>
      <c r="G1495" t="s">
        <v>62</v>
      </c>
      <c r="H1495" t="s">
        <v>49</v>
      </c>
      <c r="I1495" t="s">
        <v>24</v>
      </c>
      <c r="J1495">
        <v>19971</v>
      </c>
      <c r="K1495">
        <v>0</v>
      </c>
      <c r="L1495" t="s">
        <v>25</v>
      </c>
      <c r="M1495" t="s">
        <v>26</v>
      </c>
      <c r="N1495" t="s">
        <v>27</v>
      </c>
      <c r="O1495" t="s">
        <v>35</v>
      </c>
      <c r="P1495" t="s">
        <v>26</v>
      </c>
      <c r="Q1495">
        <v>0</v>
      </c>
    </row>
    <row r="1496" spans="1:17" x14ac:dyDescent="0.25">
      <c r="A1496" t="s">
        <v>29</v>
      </c>
      <c r="B1496" t="s">
        <v>18</v>
      </c>
      <c r="C1496">
        <v>132075</v>
      </c>
      <c r="D1496" t="s">
        <v>19</v>
      </c>
      <c r="E1496" t="s">
        <v>20</v>
      </c>
      <c r="F1496" t="s">
        <v>54</v>
      </c>
      <c r="G1496" t="s">
        <v>62</v>
      </c>
      <c r="H1496" t="s">
        <v>49</v>
      </c>
      <c r="I1496" t="s">
        <v>24</v>
      </c>
      <c r="J1496">
        <v>105147</v>
      </c>
      <c r="K1496">
        <v>5265</v>
      </c>
      <c r="L1496" t="s">
        <v>34</v>
      </c>
      <c r="M1496" t="s">
        <v>26</v>
      </c>
      <c r="N1496" t="s">
        <v>27</v>
      </c>
      <c r="O1496" t="s">
        <v>35</v>
      </c>
      <c r="P1496" t="s">
        <v>26</v>
      </c>
      <c r="Q1496">
        <v>0</v>
      </c>
    </row>
    <row r="1497" spans="1:17" x14ac:dyDescent="0.25">
      <c r="A1497" t="s">
        <v>17</v>
      </c>
      <c r="B1497" t="s">
        <v>18</v>
      </c>
      <c r="C1497">
        <v>360000</v>
      </c>
      <c r="D1497" t="s">
        <v>30</v>
      </c>
      <c r="E1497" t="s">
        <v>20</v>
      </c>
      <c r="F1497" t="s">
        <v>32</v>
      </c>
      <c r="G1497" t="s">
        <v>22</v>
      </c>
      <c r="H1497" t="s">
        <v>99</v>
      </c>
      <c r="I1497" t="s">
        <v>66</v>
      </c>
      <c r="J1497">
        <v>45000</v>
      </c>
      <c r="K1497">
        <v>0</v>
      </c>
      <c r="L1497" t="s">
        <v>51</v>
      </c>
      <c r="M1497" t="s">
        <v>28</v>
      </c>
      <c r="N1497" t="s">
        <v>27</v>
      </c>
      <c r="O1497" t="s">
        <v>28</v>
      </c>
      <c r="P1497" t="s">
        <v>26</v>
      </c>
      <c r="Q1497">
        <v>0</v>
      </c>
    </row>
    <row r="1498" spans="1:17" x14ac:dyDescent="0.25">
      <c r="A1498" t="s">
        <v>17</v>
      </c>
      <c r="B1498" t="s">
        <v>36</v>
      </c>
      <c r="C1498">
        <v>522000</v>
      </c>
      <c r="D1498" t="s">
        <v>30</v>
      </c>
      <c r="E1498" t="s">
        <v>31</v>
      </c>
      <c r="F1498" t="s">
        <v>32</v>
      </c>
      <c r="G1498" t="s">
        <v>22</v>
      </c>
      <c r="H1498" t="s">
        <v>37</v>
      </c>
      <c r="I1498" t="s">
        <v>24</v>
      </c>
      <c r="J1498">
        <v>106425</v>
      </c>
      <c r="K1498">
        <v>0</v>
      </c>
      <c r="L1498" t="s">
        <v>42</v>
      </c>
      <c r="M1498" t="s">
        <v>26</v>
      </c>
      <c r="N1498" t="s">
        <v>27</v>
      </c>
      <c r="O1498" t="s">
        <v>35</v>
      </c>
      <c r="P1498" t="s">
        <v>26</v>
      </c>
      <c r="Q1498">
        <v>0</v>
      </c>
    </row>
    <row r="1499" spans="1:17" x14ac:dyDescent="0.25">
      <c r="A1499" t="s">
        <v>29</v>
      </c>
      <c r="B1499" t="s">
        <v>18</v>
      </c>
      <c r="C1499">
        <v>54000</v>
      </c>
      <c r="D1499" t="s">
        <v>19</v>
      </c>
      <c r="E1499" t="s">
        <v>20</v>
      </c>
      <c r="F1499" t="s">
        <v>32</v>
      </c>
      <c r="G1499" t="s">
        <v>22</v>
      </c>
      <c r="H1499" t="s">
        <v>49</v>
      </c>
      <c r="I1499" t="s">
        <v>24</v>
      </c>
      <c r="J1499">
        <v>17730</v>
      </c>
      <c r="K1499">
        <v>0</v>
      </c>
      <c r="L1499" t="s">
        <v>43</v>
      </c>
      <c r="M1499" t="s">
        <v>26</v>
      </c>
      <c r="N1499" t="s">
        <v>27</v>
      </c>
      <c r="O1499" t="s">
        <v>35</v>
      </c>
      <c r="P1499" t="s">
        <v>26</v>
      </c>
      <c r="Q1499">
        <v>0</v>
      </c>
    </row>
    <row r="1500" spans="1:17" x14ac:dyDescent="0.25">
      <c r="A1500" t="s">
        <v>29</v>
      </c>
      <c r="B1500" t="s">
        <v>36</v>
      </c>
      <c r="C1500">
        <v>112500</v>
      </c>
      <c r="D1500" t="s">
        <v>19</v>
      </c>
      <c r="E1500" t="s">
        <v>31</v>
      </c>
      <c r="F1500" t="s">
        <v>39</v>
      </c>
      <c r="G1500" t="s">
        <v>22</v>
      </c>
      <c r="H1500" t="s">
        <v>23</v>
      </c>
      <c r="I1500" t="s">
        <v>24</v>
      </c>
      <c r="J1500">
        <v>125095.5</v>
      </c>
      <c r="K1500">
        <v>0</v>
      </c>
      <c r="L1500" t="s">
        <v>42</v>
      </c>
      <c r="M1500" t="s">
        <v>26</v>
      </c>
      <c r="N1500" t="s">
        <v>27</v>
      </c>
      <c r="O1500" t="s">
        <v>35</v>
      </c>
      <c r="P1500" t="s">
        <v>26</v>
      </c>
      <c r="Q1500">
        <v>0</v>
      </c>
    </row>
    <row r="1501" spans="1:17" x14ac:dyDescent="0.25">
      <c r="A1501" t="s">
        <v>29</v>
      </c>
      <c r="B1501" t="s">
        <v>36</v>
      </c>
      <c r="C1501">
        <v>112500</v>
      </c>
      <c r="D1501" t="s">
        <v>19</v>
      </c>
      <c r="E1501" t="s">
        <v>31</v>
      </c>
      <c r="F1501" t="s">
        <v>39</v>
      </c>
      <c r="G1501" t="s">
        <v>22</v>
      </c>
      <c r="H1501" t="s">
        <v>23</v>
      </c>
      <c r="I1501" t="s">
        <v>24</v>
      </c>
      <c r="J1501">
        <v>95805</v>
      </c>
      <c r="K1501">
        <v>0</v>
      </c>
      <c r="L1501" t="s">
        <v>38</v>
      </c>
      <c r="M1501" t="s">
        <v>26</v>
      </c>
      <c r="N1501" t="s">
        <v>27</v>
      </c>
      <c r="O1501" t="s">
        <v>35</v>
      </c>
      <c r="P1501" t="s">
        <v>26</v>
      </c>
      <c r="Q1501">
        <v>0</v>
      </c>
    </row>
    <row r="1502" spans="1:17" x14ac:dyDescent="0.25">
      <c r="A1502" t="s">
        <v>29</v>
      </c>
      <c r="B1502" t="s">
        <v>18</v>
      </c>
      <c r="C1502">
        <v>202500</v>
      </c>
      <c r="D1502" t="s">
        <v>46</v>
      </c>
      <c r="E1502" t="s">
        <v>20</v>
      </c>
      <c r="F1502" t="s">
        <v>54</v>
      </c>
      <c r="G1502" t="s">
        <v>22</v>
      </c>
      <c r="H1502" t="s">
        <v>28</v>
      </c>
      <c r="I1502" t="s">
        <v>24</v>
      </c>
      <c r="J1502">
        <v>196200</v>
      </c>
      <c r="K1502">
        <v>0</v>
      </c>
      <c r="L1502" t="s">
        <v>51</v>
      </c>
      <c r="M1502" t="s">
        <v>26</v>
      </c>
      <c r="N1502" t="s">
        <v>27</v>
      </c>
      <c r="O1502" t="s">
        <v>35</v>
      </c>
      <c r="P1502" t="s">
        <v>26</v>
      </c>
      <c r="Q1502">
        <v>0</v>
      </c>
    </row>
    <row r="1503" spans="1:17" x14ac:dyDescent="0.25">
      <c r="A1503" t="s">
        <v>29</v>
      </c>
      <c r="B1503" t="s">
        <v>36</v>
      </c>
      <c r="C1503">
        <v>67500</v>
      </c>
      <c r="D1503" t="s">
        <v>19</v>
      </c>
      <c r="E1503" t="s">
        <v>20</v>
      </c>
      <c r="F1503" t="s">
        <v>32</v>
      </c>
      <c r="G1503" t="s">
        <v>22</v>
      </c>
      <c r="H1503" t="s">
        <v>75</v>
      </c>
      <c r="I1503" t="s">
        <v>24</v>
      </c>
      <c r="J1503">
        <v>111586.5</v>
      </c>
      <c r="K1503">
        <v>11160</v>
      </c>
      <c r="L1503" t="s">
        <v>42</v>
      </c>
      <c r="M1503" t="s">
        <v>26</v>
      </c>
      <c r="N1503" t="s">
        <v>27</v>
      </c>
      <c r="O1503" t="s">
        <v>35</v>
      </c>
      <c r="P1503" t="s">
        <v>26</v>
      </c>
      <c r="Q1503">
        <v>0</v>
      </c>
    </row>
    <row r="1504" spans="1:17" x14ac:dyDescent="0.25">
      <c r="A1504" t="s">
        <v>29</v>
      </c>
      <c r="B1504" t="s">
        <v>36</v>
      </c>
      <c r="C1504">
        <v>67500</v>
      </c>
      <c r="D1504" t="s">
        <v>19</v>
      </c>
      <c r="E1504" t="s">
        <v>20</v>
      </c>
      <c r="F1504" t="s">
        <v>32</v>
      </c>
      <c r="G1504" t="s">
        <v>22</v>
      </c>
      <c r="H1504" t="s">
        <v>75</v>
      </c>
      <c r="I1504" t="s">
        <v>66</v>
      </c>
      <c r="J1504">
        <v>135000</v>
      </c>
      <c r="K1504">
        <v>0</v>
      </c>
      <c r="L1504" t="s">
        <v>38</v>
      </c>
      <c r="M1504" t="s">
        <v>28</v>
      </c>
      <c r="N1504" t="s">
        <v>27</v>
      </c>
      <c r="O1504" t="s">
        <v>35</v>
      </c>
      <c r="P1504" t="s">
        <v>26</v>
      </c>
      <c r="Q1504">
        <v>0</v>
      </c>
    </row>
    <row r="1505" spans="1:17" x14ac:dyDescent="0.25">
      <c r="A1505" t="s">
        <v>17</v>
      </c>
      <c r="B1505" t="s">
        <v>18</v>
      </c>
      <c r="C1505">
        <v>450000</v>
      </c>
      <c r="D1505" t="s">
        <v>19</v>
      </c>
      <c r="E1505" t="s">
        <v>31</v>
      </c>
      <c r="F1505" t="s">
        <v>32</v>
      </c>
      <c r="G1505" t="s">
        <v>22</v>
      </c>
      <c r="H1505" t="s">
        <v>23</v>
      </c>
      <c r="I1505" t="s">
        <v>24</v>
      </c>
      <c r="J1505">
        <v>124920</v>
      </c>
      <c r="K1505">
        <v>0</v>
      </c>
      <c r="L1505" t="s">
        <v>25</v>
      </c>
      <c r="M1505" t="s">
        <v>26</v>
      </c>
      <c r="N1505" t="s">
        <v>27</v>
      </c>
      <c r="O1505" t="s">
        <v>28</v>
      </c>
      <c r="P1505" t="s">
        <v>26</v>
      </c>
      <c r="Q1505">
        <v>0</v>
      </c>
    </row>
    <row r="1506" spans="1:17" x14ac:dyDescent="0.25">
      <c r="A1506" t="s">
        <v>17</v>
      </c>
      <c r="B1506" t="s">
        <v>36</v>
      </c>
      <c r="C1506">
        <v>292500</v>
      </c>
      <c r="D1506" t="s">
        <v>44</v>
      </c>
      <c r="E1506" t="s">
        <v>70</v>
      </c>
      <c r="F1506" t="s">
        <v>32</v>
      </c>
      <c r="G1506" t="s">
        <v>22</v>
      </c>
      <c r="H1506" t="s">
        <v>75</v>
      </c>
      <c r="I1506" t="s">
        <v>24</v>
      </c>
      <c r="J1506">
        <v>38997</v>
      </c>
      <c r="K1506">
        <v>3901.5</v>
      </c>
      <c r="L1506" t="s">
        <v>51</v>
      </c>
      <c r="M1506" t="s">
        <v>26</v>
      </c>
      <c r="N1506" t="s">
        <v>27</v>
      </c>
      <c r="O1506" t="s">
        <v>35</v>
      </c>
      <c r="P1506" t="s">
        <v>26</v>
      </c>
      <c r="Q1506">
        <v>0</v>
      </c>
    </row>
    <row r="1507" spans="1:17" x14ac:dyDescent="0.25">
      <c r="A1507" t="s">
        <v>17</v>
      </c>
      <c r="B1507" t="s">
        <v>36</v>
      </c>
      <c r="C1507">
        <v>292500</v>
      </c>
      <c r="D1507" t="s">
        <v>44</v>
      </c>
      <c r="E1507" t="s">
        <v>70</v>
      </c>
      <c r="F1507" t="s">
        <v>32</v>
      </c>
      <c r="G1507" t="s">
        <v>22</v>
      </c>
      <c r="H1507" t="s">
        <v>75</v>
      </c>
      <c r="I1507" t="s">
        <v>24</v>
      </c>
      <c r="J1507">
        <v>29250</v>
      </c>
      <c r="K1507">
        <v>3150</v>
      </c>
      <c r="L1507" t="s">
        <v>51</v>
      </c>
      <c r="M1507" t="s">
        <v>26</v>
      </c>
      <c r="N1507" t="s">
        <v>27</v>
      </c>
      <c r="O1507" t="s">
        <v>35</v>
      </c>
      <c r="P1507" t="s">
        <v>26</v>
      </c>
      <c r="Q1507">
        <v>0</v>
      </c>
    </row>
    <row r="1508" spans="1:17" x14ac:dyDescent="0.25">
      <c r="A1508" t="s">
        <v>17</v>
      </c>
      <c r="B1508" t="s">
        <v>36</v>
      </c>
      <c r="C1508">
        <v>292500</v>
      </c>
      <c r="D1508" t="s">
        <v>44</v>
      </c>
      <c r="E1508" t="s">
        <v>70</v>
      </c>
      <c r="F1508" t="s">
        <v>32</v>
      </c>
      <c r="G1508" t="s">
        <v>22</v>
      </c>
      <c r="H1508" t="s">
        <v>75</v>
      </c>
      <c r="I1508" t="s">
        <v>24</v>
      </c>
      <c r="J1508">
        <v>35725.5</v>
      </c>
      <c r="K1508">
        <v>3555</v>
      </c>
      <c r="L1508" t="s">
        <v>42</v>
      </c>
      <c r="M1508" t="s">
        <v>26</v>
      </c>
      <c r="N1508" t="s">
        <v>27</v>
      </c>
      <c r="O1508" t="s">
        <v>35</v>
      </c>
      <c r="P1508" t="s">
        <v>26</v>
      </c>
      <c r="Q1508">
        <v>0</v>
      </c>
    </row>
    <row r="1509" spans="1:17" x14ac:dyDescent="0.25">
      <c r="A1509" t="s">
        <v>29</v>
      </c>
      <c r="B1509" t="s">
        <v>18</v>
      </c>
      <c r="C1509">
        <v>189000</v>
      </c>
      <c r="D1509" t="s">
        <v>19</v>
      </c>
      <c r="E1509" t="s">
        <v>20</v>
      </c>
      <c r="F1509" t="s">
        <v>39</v>
      </c>
      <c r="G1509" t="s">
        <v>22</v>
      </c>
      <c r="H1509" t="s">
        <v>23</v>
      </c>
      <c r="I1509" t="s">
        <v>24</v>
      </c>
      <c r="J1509">
        <v>92664</v>
      </c>
      <c r="K1509">
        <v>0</v>
      </c>
      <c r="L1509" t="s">
        <v>45</v>
      </c>
      <c r="M1509" t="s">
        <v>26</v>
      </c>
      <c r="N1509" t="s">
        <v>27</v>
      </c>
      <c r="O1509" t="s">
        <v>35</v>
      </c>
      <c r="P1509" t="s">
        <v>26</v>
      </c>
      <c r="Q1509">
        <v>0</v>
      </c>
    </row>
    <row r="1510" spans="1:17" x14ac:dyDescent="0.25">
      <c r="A1510" t="s">
        <v>29</v>
      </c>
      <c r="B1510" t="s">
        <v>18</v>
      </c>
      <c r="C1510">
        <v>189000</v>
      </c>
      <c r="D1510" t="s">
        <v>19</v>
      </c>
      <c r="E1510" t="s">
        <v>20</v>
      </c>
      <c r="F1510" t="s">
        <v>39</v>
      </c>
      <c r="G1510" t="s">
        <v>22</v>
      </c>
      <c r="H1510" t="s">
        <v>23</v>
      </c>
      <c r="I1510" t="s">
        <v>24</v>
      </c>
      <c r="J1510">
        <v>45810</v>
      </c>
      <c r="K1510">
        <v>4581</v>
      </c>
      <c r="L1510" t="s">
        <v>51</v>
      </c>
      <c r="M1510" t="s">
        <v>26</v>
      </c>
      <c r="N1510" t="s">
        <v>27</v>
      </c>
      <c r="O1510" t="s">
        <v>35</v>
      </c>
      <c r="P1510" t="s">
        <v>26</v>
      </c>
      <c r="Q1510">
        <v>0</v>
      </c>
    </row>
    <row r="1511" spans="1:17" x14ac:dyDescent="0.25">
      <c r="A1511" t="s">
        <v>17</v>
      </c>
      <c r="B1511" t="s">
        <v>36</v>
      </c>
      <c r="C1511">
        <v>180000</v>
      </c>
      <c r="D1511" t="s">
        <v>19</v>
      </c>
      <c r="E1511" t="s">
        <v>20</v>
      </c>
      <c r="F1511" t="s">
        <v>32</v>
      </c>
      <c r="G1511" t="s">
        <v>22</v>
      </c>
      <c r="H1511" t="s">
        <v>49</v>
      </c>
      <c r="I1511" t="s">
        <v>24</v>
      </c>
      <c r="J1511">
        <v>161820</v>
      </c>
      <c r="K1511">
        <v>0</v>
      </c>
      <c r="L1511" t="s">
        <v>43</v>
      </c>
      <c r="M1511" t="s">
        <v>26</v>
      </c>
      <c r="N1511" t="s">
        <v>27</v>
      </c>
      <c r="O1511" t="s">
        <v>35</v>
      </c>
      <c r="P1511" t="s">
        <v>26</v>
      </c>
      <c r="Q1511">
        <v>0</v>
      </c>
    </row>
    <row r="1512" spans="1:17" x14ac:dyDescent="0.25">
      <c r="A1512" t="s">
        <v>29</v>
      </c>
      <c r="B1512" t="s">
        <v>18</v>
      </c>
      <c r="C1512">
        <v>315000</v>
      </c>
      <c r="D1512" t="s">
        <v>46</v>
      </c>
      <c r="E1512" t="s">
        <v>31</v>
      </c>
      <c r="F1512" t="s">
        <v>32</v>
      </c>
      <c r="G1512" t="s">
        <v>22</v>
      </c>
      <c r="H1512" t="s">
        <v>28</v>
      </c>
      <c r="I1512" t="s">
        <v>24</v>
      </c>
      <c r="J1512">
        <v>459000</v>
      </c>
      <c r="K1512">
        <v>0</v>
      </c>
      <c r="L1512" t="s">
        <v>42</v>
      </c>
      <c r="M1512" t="s">
        <v>26</v>
      </c>
      <c r="N1512" t="s">
        <v>27</v>
      </c>
      <c r="O1512" t="s">
        <v>35</v>
      </c>
      <c r="P1512" t="s">
        <v>26</v>
      </c>
      <c r="Q1512">
        <v>0</v>
      </c>
    </row>
    <row r="1513" spans="1:17" x14ac:dyDescent="0.25">
      <c r="A1513" t="s">
        <v>17</v>
      </c>
      <c r="B1513" t="s">
        <v>36</v>
      </c>
      <c r="C1513">
        <v>67500</v>
      </c>
      <c r="D1513" t="s">
        <v>19</v>
      </c>
      <c r="E1513" t="s">
        <v>20</v>
      </c>
      <c r="F1513" t="s">
        <v>32</v>
      </c>
      <c r="G1513" t="s">
        <v>62</v>
      </c>
      <c r="H1513" t="s">
        <v>23</v>
      </c>
      <c r="I1513" t="s">
        <v>24</v>
      </c>
      <c r="J1513">
        <v>24876</v>
      </c>
      <c r="K1513">
        <v>6750</v>
      </c>
      <c r="L1513" t="s">
        <v>45</v>
      </c>
      <c r="M1513" t="s">
        <v>26</v>
      </c>
      <c r="N1513" t="s">
        <v>27</v>
      </c>
      <c r="O1513" t="s">
        <v>35</v>
      </c>
      <c r="P1513" t="s">
        <v>26</v>
      </c>
      <c r="Q1513">
        <v>0</v>
      </c>
    </row>
    <row r="1514" spans="1:17" x14ac:dyDescent="0.25">
      <c r="A1514" t="s">
        <v>29</v>
      </c>
      <c r="B1514" t="s">
        <v>18</v>
      </c>
      <c r="C1514">
        <v>180000</v>
      </c>
      <c r="D1514" t="s">
        <v>30</v>
      </c>
      <c r="E1514" t="s">
        <v>20</v>
      </c>
      <c r="F1514" t="s">
        <v>32</v>
      </c>
      <c r="G1514" t="s">
        <v>73</v>
      </c>
      <c r="H1514" t="s">
        <v>37</v>
      </c>
      <c r="I1514" t="s">
        <v>66</v>
      </c>
      <c r="J1514">
        <v>225000</v>
      </c>
      <c r="K1514">
        <v>0</v>
      </c>
      <c r="L1514" t="s">
        <v>42</v>
      </c>
      <c r="M1514" t="s">
        <v>28</v>
      </c>
      <c r="N1514" t="s">
        <v>58</v>
      </c>
      <c r="O1514" t="s">
        <v>28</v>
      </c>
      <c r="P1514" t="s">
        <v>60</v>
      </c>
      <c r="Q1514">
        <v>1</v>
      </c>
    </row>
    <row r="1515" spans="1:17" x14ac:dyDescent="0.25">
      <c r="A1515" t="s">
        <v>29</v>
      </c>
      <c r="B1515" t="s">
        <v>18</v>
      </c>
      <c r="C1515">
        <v>180000</v>
      </c>
      <c r="D1515" t="s">
        <v>30</v>
      </c>
      <c r="E1515" t="s">
        <v>20</v>
      </c>
      <c r="F1515" t="s">
        <v>32</v>
      </c>
      <c r="G1515" t="s">
        <v>73</v>
      </c>
      <c r="H1515" t="s">
        <v>37</v>
      </c>
      <c r="I1515" t="s">
        <v>24</v>
      </c>
      <c r="J1515">
        <v>25425</v>
      </c>
      <c r="K1515">
        <v>0</v>
      </c>
      <c r="L1515" t="s">
        <v>34</v>
      </c>
      <c r="M1515" t="s">
        <v>26</v>
      </c>
      <c r="N1515" t="s">
        <v>27</v>
      </c>
      <c r="O1515" t="s">
        <v>35</v>
      </c>
      <c r="P1515" t="s">
        <v>26</v>
      </c>
      <c r="Q1515">
        <v>0</v>
      </c>
    </row>
    <row r="1516" spans="1:17" x14ac:dyDescent="0.25">
      <c r="A1516" t="s">
        <v>17</v>
      </c>
      <c r="B1516" t="s">
        <v>36</v>
      </c>
      <c r="C1516">
        <v>180000</v>
      </c>
      <c r="D1516" t="s">
        <v>19</v>
      </c>
      <c r="E1516" t="s">
        <v>20</v>
      </c>
      <c r="F1516" t="s">
        <v>32</v>
      </c>
      <c r="G1516" t="s">
        <v>22</v>
      </c>
      <c r="H1516" t="s">
        <v>65</v>
      </c>
      <c r="I1516" t="s">
        <v>24</v>
      </c>
      <c r="J1516">
        <v>87259.5</v>
      </c>
      <c r="K1516">
        <v>8730</v>
      </c>
      <c r="L1516" t="s">
        <v>42</v>
      </c>
      <c r="M1516" t="s">
        <v>26</v>
      </c>
      <c r="N1516" t="s">
        <v>27</v>
      </c>
      <c r="O1516" t="s">
        <v>35</v>
      </c>
      <c r="P1516" t="s">
        <v>26</v>
      </c>
      <c r="Q1516">
        <v>0</v>
      </c>
    </row>
    <row r="1517" spans="1:17" x14ac:dyDescent="0.25">
      <c r="A1517" t="s">
        <v>17</v>
      </c>
      <c r="B1517" t="s">
        <v>36</v>
      </c>
      <c r="C1517">
        <v>180000</v>
      </c>
      <c r="D1517" t="s">
        <v>19</v>
      </c>
      <c r="E1517" t="s">
        <v>20</v>
      </c>
      <c r="F1517" t="s">
        <v>32</v>
      </c>
      <c r="G1517" t="s">
        <v>22</v>
      </c>
      <c r="H1517" t="s">
        <v>65</v>
      </c>
      <c r="I1517" t="s">
        <v>24</v>
      </c>
      <c r="J1517">
        <v>103050</v>
      </c>
      <c r="K1517">
        <v>10350</v>
      </c>
      <c r="L1517" t="s">
        <v>51</v>
      </c>
      <c r="M1517" t="s">
        <v>26</v>
      </c>
      <c r="N1517" t="s">
        <v>27</v>
      </c>
      <c r="O1517" t="s">
        <v>35</v>
      </c>
      <c r="P1517" t="s">
        <v>26</v>
      </c>
      <c r="Q1517">
        <v>0</v>
      </c>
    </row>
    <row r="1518" spans="1:17" x14ac:dyDescent="0.25">
      <c r="A1518" t="s">
        <v>17</v>
      </c>
      <c r="B1518" t="s">
        <v>36</v>
      </c>
      <c r="C1518">
        <v>180000</v>
      </c>
      <c r="D1518" t="s">
        <v>19</v>
      </c>
      <c r="E1518" t="s">
        <v>20</v>
      </c>
      <c r="F1518" t="s">
        <v>32</v>
      </c>
      <c r="G1518" t="s">
        <v>22</v>
      </c>
      <c r="H1518" t="s">
        <v>65</v>
      </c>
      <c r="I1518" t="s">
        <v>24</v>
      </c>
      <c r="J1518">
        <v>71923.5</v>
      </c>
      <c r="K1518">
        <v>7195.5</v>
      </c>
      <c r="L1518" t="s">
        <v>43</v>
      </c>
      <c r="M1518" t="s">
        <v>26</v>
      </c>
      <c r="N1518" t="s">
        <v>27</v>
      </c>
      <c r="O1518" t="s">
        <v>35</v>
      </c>
      <c r="P1518" t="s">
        <v>26</v>
      </c>
      <c r="Q1518">
        <v>0</v>
      </c>
    </row>
    <row r="1519" spans="1:17" x14ac:dyDescent="0.25">
      <c r="A1519" t="s">
        <v>17</v>
      </c>
      <c r="B1519" t="s">
        <v>18</v>
      </c>
      <c r="C1519">
        <v>112500</v>
      </c>
      <c r="D1519" t="s">
        <v>19</v>
      </c>
      <c r="E1519" t="s">
        <v>20</v>
      </c>
      <c r="F1519" t="s">
        <v>39</v>
      </c>
      <c r="G1519" t="s">
        <v>52</v>
      </c>
      <c r="H1519" t="s">
        <v>23</v>
      </c>
      <c r="I1519" t="s">
        <v>24</v>
      </c>
      <c r="J1519">
        <v>29925</v>
      </c>
      <c r="K1519">
        <v>0</v>
      </c>
      <c r="L1519" t="s">
        <v>45</v>
      </c>
      <c r="M1519" t="s">
        <v>26</v>
      </c>
      <c r="N1519" t="s">
        <v>27</v>
      </c>
      <c r="O1519" t="s">
        <v>35</v>
      </c>
      <c r="P1519" t="s">
        <v>26</v>
      </c>
      <c r="Q1519">
        <v>0</v>
      </c>
    </row>
    <row r="1520" spans="1:17" x14ac:dyDescent="0.25">
      <c r="A1520" t="s">
        <v>29</v>
      </c>
      <c r="B1520" t="s">
        <v>18</v>
      </c>
      <c r="C1520">
        <v>112500</v>
      </c>
      <c r="D1520" t="s">
        <v>46</v>
      </c>
      <c r="E1520" t="s">
        <v>20</v>
      </c>
      <c r="F1520" t="s">
        <v>32</v>
      </c>
      <c r="G1520" t="s">
        <v>22</v>
      </c>
      <c r="H1520" t="s">
        <v>28</v>
      </c>
      <c r="I1520" t="s">
        <v>24</v>
      </c>
      <c r="J1520">
        <v>75297.600000000006</v>
      </c>
      <c r="K1520">
        <v>37650.6</v>
      </c>
      <c r="L1520" t="s">
        <v>43</v>
      </c>
      <c r="M1520" t="s">
        <v>26</v>
      </c>
      <c r="N1520" t="s">
        <v>27</v>
      </c>
      <c r="O1520" t="s">
        <v>35</v>
      </c>
      <c r="P1520" t="s">
        <v>26</v>
      </c>
      <c r="Q1520">
        <v>0</v>
      </c>
    </row>
    <row r="1521" spans="1:17" x14ac:dyDescent="0.25">
      <c r="A1521" t="s">
        <v>29</v>
      </c>
      <c r="B1521" t="s">
        <v>18</v>
      </c>
      <c r="C1521">
        <v>112500</v>
      </c>
      <c r="D1521" t="s">
        <v>46</v>
      </c>
      <c r="E1521" t="s">
        <v>20</v>
      </c>
      <c r="F1521" t="s">
        <v>32</v>
      </c>
      <c r="G1521" t="s">
        <v>22</v>
      </c>
      <c r="H1521" t="s">
        <v>28</v>
      </c>
      <c r="I1521" t="s">
        <v>24</v>
      </c>
      <c r="J1521">
        <v>37985.4</v>
      </c>
      <c r="K1521">
        <v>3798.9</v>
      </c>
      <c r="L1521" t="s">
        <v>51</v>
      </c>
      <c r="M1521" t="s">
        <v>26</v>
      </c>
      <c r="N1521" t="s">
        <v>27</v>
      </c>
      <c r="O1521" t="s">
        <v>35</v>
      </c>
      <c r="P1521" t="s">
        <v>26</v>
      </c>
      <c r="Q1521">
        <v>0</v>
      </c>
    </row>
    <row r="1522" spans="1:17" x14ac:dyDescent="0.25">
      <c r="A1522" t="s">
        <v>29</v>
      </c>
      <c r="B1522" t="s">
        <v>18</v>
      </c>
      <c r="C1522">
        <v>67500</v>
      </c>
      <c r="D1522" t="s">
        <v>46</v>
      </c>
      <c r="E1522" t="s">
        <v>20</v>
      </c>
      <c r="F1522" t="s">
        <v>69</v>
      </c>
      <c r="G1522" t="s">
        <v>22</v>
      </c>
      <c r="H1522" t="s">
        <v>28</v>
      </c>
      <c r="I1522" t="s">
        <v>24</v>
      </c>
      <c r="J1522">
        <v>32544</v>
      </c>
      <c r="K1522">
        <v>0</v>
      </c>
      <c r="L1522" t="s">
        <v>43</v>
      </c>
      <c r="M1522" t="s">
        <v>26</v>
      </c>
      <c r="N1522" t="s">
        <v>27</v>
      </c>
      <c r="O1522" t="s">
        <v>35</v>
      </c>
      <c r="P1522" t="s">
        <v>26</v>
      </c>
      <c r="Q1522">
        <v>0</v>
      </c>
    </row>
    <row r="1523" spans="1:17" x14ac:dyDescent="0.25">
      <c r="A1523" t="s">
        <v>29</v>
      </c>
      <c r="B1523" t="s">
        <v>18</v>
      </c>
      <c r="C1523">
        <v>67500</v>
      </c>
      <c r="D1523" t="s">
        <v>46</v>
      </c>
      <c r="E1523" t="s">
        <v>20</v>
      </c>
      <c r="F1523" t="s">
        <v>69</v>
      </c>
      <c r="G1523" t="s">
        <v>22</v>
      </c>
      <c r="H1523" t="s">
        <v>28</v>
      </c>
      <c r="I1523" t="s">
        <v>24</v>
      </c>
      <c r="J1523">
        <v>25591.5</v>
      </c>
      <c r="K1523">
        <v>0</v>
      </c>
      <c r="L1523" t="s">
        <v>34</v>
      </c>
      <c r="M1523" t="s">
        <v>26</v>
      </c>
      <c r="N1523" t="s">
        <v>58</v>
      </c>
      <c r="O1523" t="s">
        <v>35</v>
      </c>
      <c r="P1523" t="s">
        <v>60</v>
      </c>
      <c r="Q1523">
        <v>1</v>
      </c>
    </row>
    <row r="1524" spans="1:17" x14ac:dyDescent="0.25">
      <c r="A1524" t="s">
        <v>29</v>
      </c>
      <c r="B1524" t="s">
        <v>18</v>
      </c>
      <c r="C1524">
        <v>90000</v>
      </c>
      <c r="D1524" t="s">
        <v>19</v>
      </c>
      <c r="E1524" t="s">
        <v>20</v>
      </c>
      <c r="F1524" t="s">
        <v>32</v>
      </c>
      <c r="G1524" t="s">
        <v>52</v>
      </c>
      <c r="H1524" t="s">
        <v>49</v>
      </c>
      <c r="I1524" t="s">
        <v>24</v>
      </c>
      <c r="J1524">
        <v>62545.5</v>
      </c>
      <c r="K1524">
        <v>6750</v>
      </c>
      <c r="L1524" t="s">
        <v>25</v>
      </c>
      <c r="M1524" t="s">
        <v>26</v>
      </c>
      <c r="N1524" t="s">
        <v>27</v>
      </c>
      <c r="O1524" t="s">
        <v>35</v>
      </c>
      <c r="P1524" t="s">
        <v>26</v>
      </c>
      <c r="Q1524">
        <v>0</v>
      </c>
    </row>
    <row r="1525" spans="1:17" x14ac:dyDescent="0.25">
      <c r="A1525" t="s">
        <v>29</v>
      </c>
      <c r="B1525" t="s">
        <v>18</v>
      </c>
      <c r="C1525">
        <v>121500</v>
      </c>
      <c r="D1525" t="s">
        <v>19</v>
      </c>
      <c r="E1525" t="s">
        <v>31</v>
      </c>
      <c r="F1525" t="s">
        <v>32</v>
      </c>
      <c r="G1525" t="s">
        <v>22</v>
      </c>
      <c r="H1525" t="s">
        <v>91</v>
      </c>
      <c r="I1525" t="s">
        <v>24</v>
      </c>
      <c r="J1525">
        <v>71055</v>
      </c>
      <c r="K1525">
        <v>9000</v>
      </c>
      <c r="L1525" t="s">
        <v>38</v>
      </c>
      <c r="M1525" t="s">
        <v>26</v>
      </c>
      <c r="N1525" t="s">
        <v>27</v>
      </c>
      <c r="O1525" t="s">
        <v>35</v>
      </c>
      <c r="P1525" t="s">
        <v>26</v>
      </c>
      <c r="Q1525">
        <v>0</v>
      </c>
    </row>
    <row r="1526" spans="1:17" x14ac:dyDescent="0.25">
      <c r="A1526" t="s">
        <v>29</v>
      </c>
      <c r="B1526" t="s">
        <v>18</v>
      </c>
      <c r="C1526">
        <v>67500</v>
      </c>
      <c r="D1526" t="s">
        <v>19</v>
      </c>
      <c r="E1526" t="s">
        <v>20</v>
      </c>
      <c r="F1526" t="s">
        <v>39</v>
      </c>
      <c r="G1526" t="s">
        <v>22</v>
      </c>
      <c r="H1526" t="s">
        <v>23</v>
      </c>
      <c r="I1526" t="s">
        <v>24</v>
      </c>
      <c r="J1526">
        <v>97357.5</v>
      </c>
      <c r="K1526">
        <v>9738</v>
      </c>
      <c r="L1526" t="s">
        <v>25</v>
      </c>
      <c r="M1526" t="s">
        <v>26</v>
      </c>
      <c r="N1526" t="s">
        <v>27</v>
      </c>
      <c r="O1526" t="s">
        <v>35</v>
      </c>
      <c r="P1526" t="s">
        <v>26</v>
      </c>
      <c r="Q1526">
        <v>0</v>
      </c>
    </row>
    <row r="1527" spans="1:17" x14ac:dyDescent="0.25">
      <c r="A1527" t="s">
        <v>17</v>
      </c>
      <c r="B1527" t="s">
        <v>36</v>
      </c>
      <c r="C1527">
        <v>168930</v>
      </c>
      <c r="D1527" t="s">
        <v>44</v>
      </c>
      <c r="E1527" t="s">
        <v>20</v>
      </c>
      <c r="F1527" t="s">
        <v>32</v>
      </c>
      <c r="G1527" t="s">
        <v>22</v>
      </c>
      <c r="H1527" t="s">
        <v>92</v>
      </c>
      <c r="I1527" t="s">
        <v>24</v>
      </c>
      <c r="J1527">
        <v>119866.5</v>
      </c>
      <c r="K1527">
        <v>0</v>
      </c>
      <c r="L1527" t="s">
        <v>42</v>
      </c>
      <c r="M1527" t="s">
        <v>26</v>
      </c>
      <c r="N1527" t="s">
        <v>27</v>
      </c>
      <c r="O1527" t="s">
        <v>35</v>
      </c>
      <c r="P1527" t="s">
        <v>26</v>
      </c>
      <c r="Q1527">
        <v>0</v>
      </c>
    </row>
    <row r="1528" spans="1:17" x14ac:dyDescent="0.25">
      <c r="A1528" t="s">
        <v>17</v>
      </c>
      <c r="B1528" t="s">
        <v>18</v>
      </c>
      <c r="C1528">
        <v>112500</v>
      </c>
      <c r="D1528" t="s">
        <v>46</v>
      </c>
      <c r="E1528" t="s">
        <v>20</v>
      </c>
      <c r="F1528" t="s">
        <v>32</v>
      </c>
      <c r="G1528" t="s">
        <v>22</v>
      </c>
      <c r="H1528" t="s">
        <v>28</v>
      </c>
      <c r="I1528" t="s">
        <v>24</v>
      </c>
      <c r="J1528">
        <v>62010</v>
      </c>
      <c r="K1528">
        <v>6201</v>
      </c>
      <c r="L1528" t="s">
        <v>43</v>
      </c>
      <c r="M1528" t="s">
        <v>26</v>
      </c>
      <c r="N1528" t="s">
        <v>27</v>
      </c>
      <c r="O1528" t="s">
        <v>35</v>
      </c>
      <c r="P1528" t="s">
        <v>26</v>
      </c>
      <c r="Q1528">
        <v>0</v>
      </c>
    </row>
    <row r="1529" spans="1:17" x14ac:dyDescent="0.25">
      <c r="A1529" t="s">
        <v>17</v>
      </c>
      <c r="B1529" t="s">
        <v>36</v>
      </c>
      <c r="C1529">
        <v>166500</v>
      </c>
      <c r="D1529" t="s">
        <v>44</v>
      </c>
      <c r="E1529" t="s">
        <v>104</v>
      </c>
      <c r="F1529" t="s">
        <v>32</v>
      </c>
      <c r="G1529" t="s">
        <v>22</v>
      </c>
      <c r="H1529" t="s">
        <v>41</v>
      </c>
      <c r="I1529" t="s">
        <v>24</v>
      </c>
      <c r="J1529">
        <v>18743.400000000001</v>
      </c>
      <c r="K1529">
        <v>0.9</v>
      </c>
      <c r="L1529" t="s">
        <v>34</v>
      </c>
      <c r="M1529" t="s">
        <v>26</v>
      </c>
      <c r="N1529" t="s">
        <v>27</v>
      </c>
      <c r="O1529" t="s">
        <v>35</v>
      </c>
      <c r="P1529" t="s">
        <v>26</v>
      </c>
      <c r="Q1529">
        <v>0</v>
      </c>
    </row>
    <row r="1530" spans="1:17" x14ac:dyDescent="0.25">
      <c r="A1530" t="s">
        <v>17</v>
      </c>
      <c r="B1530" t="s">
        <v>36</v>
      </c>
      <c r="C1530">
        <v>166500</v>
      </c>
      <c r="D1530" t="s">
        <v>44</v>
      </c>
      <c r="E1530" t="s">
        <v>104</v>
      </c>
      <c r="F1530" t="s">
        <v>32</v>
      </c>
      <c r="G1530" t="s">
        <v>22</v>
      </c>
      <c r="H1530" t="s">
        <v>41</v>
      </c>
      <c r="I1530" t="s">
        <v>24</v>
      </c>
      <c r="J1530">
        <v>47137.5</v>
      </c>
      <c r="K1530">
        <v>0</v>
      </c>
      <c r="L1530" t="s">
        <v>51</v>
      </c>
      <c r="M1530" t="s">
        <v>26</v>
      </c>
      <c r="N1530" t="s">
        <v>27</v>
      </c>
      <c r="O1530" t="s">
        <v>35</v>
      </c>
      <c r="P1530" t="s">
        <v>26</v>
      </c>
      <c r="Q1530">
        <v>0</v>
      </c>
    </row>
    <row r="1531" spans="1:17" x14ac:dyDescent="0.25">
      <c r="A1531" t="s">
        <v>17</v>
      </c>
      <c r="B1531" t="s">
        <v>36</v>
      </c>
      <c r="C1531">
        <v>166500</v>
      </c>
      <c r="D1531" t="s">
        <v>44</v>
      </c>
      <c r="E1531" t="s">
        <v>104</v>
      </c>
      <c r="F1531" t="s">
        <v>32</v>
      </c>
      <c r="G1531" t="s">
        <v>22</v>
      </c>
      <c r="H1531" t="s">
        <v>41</v>
      </c>
      <c r="I1531" t="s">
        <v>24</v>
      </c>
      <c r="J1531">
        <v>26586</v>
      </c>
      <c r="K1531">
        <v>4050</v>
      </c>
      <c r="L1531" t="s">
        <v>45</v>
      </c>
      <c r="M1531" t="s">
        <v>26</v>
      </c>
      <c r="N1531" t="s">
        <v>27</v>
      </c>
      <c r="O1531" t="s">
        <v>35</v>
      </c>
      <c r="P1531" t="s">
        <v>26</v>
      </c>
      <c r="Q1531">
        <v>0</v>
      </c>
    </row>
    <row r="1532" spans="1:17" x14ac:dyDescent="0.25">
      <c r="A1532" t="s">
        <v>17</v>
      </c>
      <c r="B1532" t="s">
        <v>36</v>
      </c>
      <c r="C1532">
        <v>166500</v>
      </c>
      <c r="D1532" t="s">
        <v>44</v>
      </c>
      <c r="E1532" t="s">
        <v>104</v>
      </c>
      <c r="F1532" t="s">
        <v>32</v>
      </c>
      <c r="G1532" t="s">
        <v>22</v>
      </c>
      <c r="H1532" t="s">
        <v>41</v>
      </c>
      <c r="I1532" t="s">
        <v>24</v>
      </c>
      <c r="J1532">
        <v>26541</v>
      </c>
      <c r="K1532">
        <v>0</v>
      </c>
      <c r="L1532" t="s">
        <v>34</v>
      </c>
      <c r="M1532" t="s">
        <v>26</v>
      </c>
      <c r="N1532" t="s">
        <v>27</v>
      </c>
      <c r="O1532" t="s">
        <v>35</v>
      </c>
      <c r="P1532" t="s">
        <v>26</v>
      </c>
      <c r="Q1532">
        <v>0</v>
      </c>
    </row>
    <row r="1533" spans="1:17" x14ac:dyDescent="0.25">
      <c r="A1533" t="s">
        <v>17</v>
      </c>
      <c r="B1533" t="s">
        <v>36</v>
      </c>
      <c r="C1533">
        <v>166500</v>
      </c>
      <c r="D1533" t="s">
        <v>44</v>
      </c>
      <c r="E1533" t="s">
        <v>104</v>
      </c>
      <c r="F1533" t="s">
        <v>32</v>
      </c>
      <c r="G1533" t="s">
        <v>22</v>
      </c>
      <c r="H1533" t="s">
        <v>41</v>
      </c>
      <c r="I1533" t="s">
        <v>24</v>
      </c>
      <c r="J1533">
        <v>26586</v>
      </c>
      <c r="K1533">
        <v>2700</v>
      </c>
      <c r="L1533" t="s">
        <v>45</v>
      </c>
      <c r="M1533" t="s">
        <v>26</v>
      </c>
      <c r="N1533" t="s">
        <v>58</v>
      </c>
      <c r="O1533" t="s">
        <v>35</v>
      </c>
      <c r="P1533" t="s">
        <v>59</v>
      </c>
      <c r="Q1533">
        <v>1</v>
      </c>
    </row>
    <row r="1534" spans="1:17" x14ac:dyDescent="0.25">
      <c r="A1534" t="s">
        <v>17</v>
      </c>
      <c r="B1534" t="s">
        <v>36</v>
      </c>
      <c r="C1534">
        <v>166500</v>
      </c>
      <c r="D1534" t="s">
        <v>44</v>
      </c>
      <c r="E1534" t="s">
        <v>104</v>
      </c>
      <c r="F1534" t="s">
        <v>32</v>
      </c>
      <c r="G1534" t="s">
        <v>22</v>
      </c>
      <c r="H1534" t="s">
        <v>41</v>
      </c>
      <c r="I1534" t="s">
        <v>24</v>
      </c>
      <c r="J1534">
        <v>22005</v>
      </c>
      <c r="K1534">
        <v>2200.5</v>
      </c>
      <c r="L1534" t="s">
        <v>45</v>
      </c>
      <c r="M1534" t="s">
        <v>26</v>
      </c>
      <c r="N1534" t="s">
        <v>27</v>
      </c>
      <c r="O1534" t="s">
        <v>35</v>
      </c>
      <c r="P1534" t="s">
        <v>26</v>
      </c>
      <c r="Q1534">
        <v>0</v>
      </c>
    </row>
    <row r="1535" spans="1:17" x14ac:dyDescent="0.25">
      <c r="A1535" t="s">
        <v>29</v>
      </c>
      <c r="B1535" t="s">
        <v>18</v>
      </c>
      <c r="C1535">
        <v>225000</v>
      </c>
      <c r="D1535" t="s">
        <v>44</v>
      </c>
      <c r="E1535" t="s">
        <v>70</v>
      </c>
      <c r="F1535" t="s">
        <v>21</v>
      </c>
      <c r="G1535" t="s">
        <v>62</v>
      </c>
      <c r="H1535" t="s">
        <v>23</v>
      </c>
      <c r="I1535" t="s">
        <v>24</v>
      </c>
      <c r="J1535">
        <v>125910</v>
      </c>
      <c r="K1535">
        <v>12591</v>
      </c>
      <c r="L1535" t="s">
        <v>45</v>
      </c>
      <c r="M1535" t="s">
        <v>26</v>
      </c>
      <c r="N1535" t="s">
        <v>27</v>
      </c>
      <c r="O1535" t="s">
        <v>35</v>
      </c>
      <c r="P1535" t="s">
        <v>26</v>
      </c>
      <c r="Q1535">
        <v>0</v>
      </c>
    </row>
    <row r="1536" spans="1:17" x14ac:dyDescent="0.25">
      <c r="A1536" t="s">
        <v>17</v>
      </c>
      <c r="B1536" t="s">
        <v>36</v>
      </c>
      <c r="C1536">
        <v>225000</v>
      </c>
      <c r="D1536" t="s">
        <v>19</v>
      </c>
      <c r="E1536" t="s">
        <v>31</v>
      </c>
      <c r="F1536" t="s">
        <v>32</v>
      </c>
      <c r="G1536" t="s">
        <v>22</v>
      </c>
      <c r="H1536" t="s">
        <v>49</v>
      </c>
      <c r="I1536" t="s">
        <v>24</v>
      </c>
      <c r="J1536">
        <v>57555</v>
      </c>
      <c r="K1536">
        <v>9000</v>
      </c>
      <c r="L1536" t="s">
        <v>38</v>
      </c>
      <c r="M1536" t="s">
        <v>26</v>
      </c>
      <c r="N1536" t="s">
        <v>27</v>
      </c>
      <c r="O1536" t="s">
        <v>28</v>
      </c>
      <c r="P1536" t="s">
        <v>26</v>
      </c>
      <c r="Q1536">
        <v>0</v>
      </c>
    </row>
    <row r="1537" spans="1:17" x14ac:dyDescent="0.25">
      <c r="A1537" t="s">
        <v>29</v>
      </c>
      <c r="B1537" t="s">
        <v>18</v>
      </c>
      <c r="C1537">
        <v>81000</v>
      </c>
      <c r="D1537" t="s">
        <v>19</v>
      </c>
      <c r="E1537" t="s">
        <v>20</v>
      </c>
      <c r="F1537" t="s">
        <v>32</v>
      </c>
      <c r="G1537" t="s">
        <v>22</v>
      </c>
      <c r="H1537" t="s">
        <v>23</v>
      </c>
      <c r="I1537" t="s">
        <v>24</v>
      </c>
      <c r="J1537">
        <v>37305</v>
      </c>
      <c r="K1537">
        <v>7461</v>
      </c>
      <c r="L1537" t="s">
        <v>42</v>
      </c>
      <c r="M1537" t="s">
        <v>26</v>
      </c>
      <c r="N1537" t="s">
        <v>27</v>
      </c>
      <c r="O1537" t="s">
        <v>35</v>
      </c>
      <c r="P1537" t="s">
        <v>26</v>
      </c>
      <c r="Q1537">
        <v>0</v>
      </c>
    </row>
    <row r="1538" spans="1:17" x14ac:dyDescent="0.25">
      <c r="A1538" t="s">
        <v>29</v>
      </c>
      <c r="B1538" t="s">
        <v>18</v>
      </c>
      <c r="C1538">
        <v>81000</v>
      </c>
      <c r="D1538" t="s">
        <v>19</v>
      </c>
      <c r="E1538" t="s">
        <v>20</v>
      </c>
      <c r="F1538" t="s">
        <v>32</v>
      </c>
      <c r="G1538" t="s">
        <v>22</v>
      </c>
      <c r="H1538" t="s">
        <v>23</v>
      </c>
      <c r="I1538" t="s">
        <v>24</v>
      </c>
      <c r="J1538">
        <v>38421</v>
      </c>
      <c r="K1538">
        <v>3843</v>
      </c>
      <c r="L1538" t="s">
        <v>25</v>
      </c>
      <c r="M1538" t="s">
        <v>26</v>
      </c>
      <c r="N1538" t="s">
        <v>27</v>
      </c>
      <c r="O1538" t="s">
        <v>35</v>
      </c>
      <c r="P1538" t="s">
        <v>26</v>
      </c>
      <c r="Q1538">
        <v>0</v>
      </c>
    </row>
    <row r="1539" spans="1:17" x14ac:dyDescent="0.25">
      <c r="A1539" t="s">
        <v>29</v>
      </c>
      <c r="B1539" t="s">
        <v>18</v>
      </c>
      <c r="C1539">
        <v>171000</v>
      </c>
      <c r="D1539" t="s">
        <v>19</v>
      </c>
      <c r="E1539" t="s">
        <v>20</v>
      </c>
      <c r="F1539" t="s">
        <v>32</v>
      </c>
      <c r="G1539" t="s">
        <v>22</v>
      </c>
      <c r="H1539" t="s">
        <v>49</v>
      </c>
      <c r="I1539" t="s">
        <v>24</v>
      </c>
      <c r="J1539">
        <v>90436.5</v>
      </c>
      <c r="K1539">
        <v>9000</v>
      </c>
      <c r="L1539" t="s">
        <v>42</v>
      </c>
      <c r="M1539" t="s">
        <v>26</v>
      </c>
      <c r="N1539" t="s">
        <v>27</v>
      </c>
      <c r="O1539" t="s">
        <v>35</v>
      </c>
      <c r="P1539" t="s">
        <v>26</v>
      </c>
      <c r="Q1539">
        <v>0</v>
      </c>
    </row>
    <row r="1540" spans="1:17" x14ac:dyDescent="0.25">
      <c r="A1540" t="s">
        <v>29</v>
      </c>
      <c r="B1540" t="s">
        <v>18</v>
      </c>
      <c r="C1540">
        <v>72000</v>
      </c>
      <c r="D1540" t="s">
        <v>46</v>
      </c>
      <c r="E1540" t="s">
        <v>20</v>
      </c>
      <c r="F1540" t="s">
        <v>32</v>
      </c>
      <c r="G1540" t="s">
        <v>22</v>
      </c>
      <c r="H1540" t="s">
        <v>28</v>
      </c>
      <c r="I1540" t="s">
        <v>24</v>
      </c>
      <c r="J1540">
        <v>77805</v>
      </c>
      <c r="K1540">
        <v>0</v>
      </c>
      <c r="L1540" t="s">
        <v>34</v>
      </c>
      <c r="M1540" t="s">
        <v>26</v>
      </c>
      <c r="N1540" t="s">
        <v>27</v>
      </c>
      <c r="O1540" t="s">
        <v>35</v>
      </c>
      <c r="P1540" t="s">
        <v>26</v>
      </c>
      <c r="Q1540">
        <v>0</v>
      </c>
    </row>
    <row r="1541" spans="1:17" x14ac:dyDescent="0.25">
      <c r="A1541" t="s">
        <v>29</v>
      </c>
      <c r="B1541" t="s">
        <v>18</v>
      </c>
      <c r="C1541">
        <v>67500</v>
      </c>
      <c r="D1541" t="s">
        <v>19</v>
      </c>
      <c r="E1541" t="s">
        <v>20</v>
      </c>
      <c r="F1541" t="s">
        <v>39</v>
      </c>
      <c r="G1541" t="s">
        <v>22</v>
      </c>
      <c r="H1541" t="s">
        <v>75</v>
      </c>
      <c r="I1541" t="s">
        <v>24</v>
      </c>
      <c r="J1541">
        <v>166882.5</v>
      </c>
      <c r="K1541">
        <v>16690.5</v>
      </c>
      <c r="L1541" t="s">
        <v>25</v>
      </c>
      <c r="M1541" t="s">
        <v>26</v>
      </c>
      <c r="N1541" t="s">
        <v>27</v>
      </c>
      <c r="O1541" t="s">
        <v>35</v>
      </c>
      <c r="P1541" t="s">
        <v>26</v>
      </c>
      <c r="Q1541">
        <v>0</v>
      </c>
    </row>
    <row r="1542" spans="1:17" x14ac:dyDescent="0.25">
      <c r="A1542" t="s">
        <v>29</v>
      </c>
      <c r="B1542" t="s">
        <v>36</v>
      </c>
      <c r="C1542">
        <v>135000</v>
      </c>
      <c r="D1542" t="s">
        <v>46</v>
      </c>
      <c r="E1542" t="s">
        <v>20</v>
      </c>
      <c r="F1542" t="s">
        <v>32</v>
      </c>
      <c r="G1542" t="s">
        <v>22</v>
      </c>
      <c r="H1542" t="s">
        <v>28</v>
      </c>
      <c r="I1542" t="s">
        <v>24</v>
      </c>
      <c r="J1542">
        <v>266107.5</v>
      </c>
      <c r="K1542">
        <v>0</v>
      </c>
      <c r="L1542" t="s">
        <v>34</v>
      </c>
      <c r="M1542" t="s">
        <v>26</v>
      </c>
      <c r="N1542" t="s">
        <v>27</v>
      </c>
      <c r="O1542" t="s">
        <v>35</v>
      </c>
      <c r="P1542" t="s">
        <v>26</v>
      </c>
      <c r="Q1542">
        <v>0</v>
      </c>
    </row>
    <row r="1543" spans="1:17" x14ac:dyDescent="0.25">
      <c r="A1543" t="s">
        <v>29</v>
      </c>
      <c r="B1543" t="s">
        <v>36</v>
      </c>
      <c r="C1543">
        <v>99000</v>
      </c>
      <c r="D1543" t="s">
        <v>19</v>
      </c>
      <c r="E1543" t="s">
        <v>31</v>
      </c>
      <c r="F1543" t="s">
        <v>39</v>
      </c>
      <c r="G1543" t="s">
        <v>52</v>
      </c>
      <c r="H1543" t="s">
        <v>49</v>
      </c>
      <c r="I1543" t="s">
        <v>24</v>
      </c>
      <c r="J1543">
        <v>26230.5</v>
      </c>
      <c r="K1543">
        <v>0</v>
      </c>
      <c r="L1543" t="s">
        <v>38</v>
      </c>
      <c r="M1543" t="s">
        <v>26</v>
      </c>
      <c r="N1543" t="s">
        <v>58</v>
      </c>
      <c r="O1543" t="s">
        <v>28</v>
      </c>
      <c r="P1543" t="s">
        <v>60</v>
      </c>
      <c r="Q1543">
        <v>1</v>
      </c>
    </row>
    <row r="1544" spans="1:17" x14ac:dyDescent="0.25">
      <c r="A1544" t="s">
        <v>29</v>
      </c>
      <c r="B1544" t="s">
        <v>36</v>
      </c>
      <c r="C1544">
        <v>99000</v>
      </c>
      <c r="D1544" t="s">
        <v>19</v>
      </c>
      <c r="E1544" t="s">
        <v>31</v>
      </c>
      <c r="F1544" t="s">
        <v>39</v>
      </c>
      <c r="G1544" t="s">
        <v>52</v>
      </c>
      <c r="H1544" t="s">
        <v>49</v>
      </c>
      <c r="I1544" t="s">
        <v>24</v>
      </c>
      <c r="J1544">
        <v>87255</v>
      </c>
      <c r="K1544">
        <v>0</v>
      </c>
      <c r="L1544" t="s">
        <v>34</v>
      </c>
      <c r="M1544" t="s">
        <v>26</v>
      </c>
      <c r="N1544" t="s">
        <v>27</v>
      </c>
      <c r="O1544" t="s">
        <v>35</v>
      </c>
      <c r="P1544" t="s">
        <v>26</v>
      </c>
      <c r="Q1544">
        <v>0</v>
      </c>
    </row>
    <row r="1545" spans="1:17" x14ac:dyDescent="0.25">
      <c r="A1545" t="s">
        <v>29</v>
      </c>
      <c r="B1545" t="s">
        <v>36</v>
      </c>
      <c r="C1545">
        <v>99000</v>
      </c>
      <c r="D1545" t="s">
        <v>19</v>
      </c>
      <c r="E1545" t="s">
        <v>31</v>
      </c>
      <c r="F1545" t="s">
        <v>39</v>
      </c>
      <c r="G1545" t="s">
        <v>52</v>
      </c>
      <c r="H1545" t="s">
        <v>49</v>
      </c>
      <c r="I1545" t="s">
        <v>24</v>
      </c>
      <c r="J1545">
        <v>110052</v>
      </c>
      <c r="K1545">
        <v>0</v>
      </c>
      <c r="L1545" t="s">
        <v>43</v>
      </c>
      <c r="M1545" t="s">
        <v>26</v>
      </c>
      <c r="N1545" t="s">
        <v>27</v>
      </c>
      <c r="O1545" t="s">
        <v>35</v>
      </c>
      <c r="P1545" t="s">
        <v>26</v>
      </c>
      <c r="Q1545">
        <v>0</v>
      </c>
    </row>
    <row r="1546" spans="1:17" x14ac:dyDescent="0.25">
      <c r="A1546" t="s">
        <v>29</v>
      </c>
      <c r="B1546" t="s">
        <v>36</v>
      </c>
      <c r="C1546">
        <v>135000</v>
      </c>
      <c r="D1546" t="s">
        <v>19</v>
      </c>
      <c r="E1546" t="s">
        <v>31</v>
      </c>
      <c r="F1546" t="s">
        <v>32</v>
      </c>
      <c r="G1546" t="s">
        <v>22</v>
      </c>
      <c r="H1546" t="s">
        <v>23</v>
      </c>
      <c r="I1546" t="s">
        <v>24</v>
      </c>
      <c r="J1546">
        <v>56209.5</v>
      </c>
      <c r="K1546">
        <v>5625</v>
      </c>
      <c r="L1546" t="s">
        <v>34</v>
      </c>
      <c r="M1546" t="s">
        <v>26</v>
      </c>
      <c r="N1546" t="s">
        <v>27</v>
      </c>
      <c r="O1546" t="s">
        <v>35</v>
      </c>
      <c r="P1546" t="s">
        <v>26</v>
      </c>
      <c r="Q1546">
        <v>0</v>
      </c>
    </row>
    <row r="1547" spans="1:17" x14ac:dyDescent="0.25">
      <c r="A1547" t="s">
        <v>29</v>
      </c>
      <c r="B1547" t="s">
        <v>36</v>
      </c>
      <c r="C1547">
        <v>135000</v>
      </c>
      <c r="D1547" t="s">
        <v>19</v>
      </c>
      <c r="E1547" t="s">
        <v>31</v>
      </c>
      <c r="F1547" t="s">
        <v>32</v>
      </c>
      <c r="G1547" t="s">
        <v>22</v>
      </c>
      <c r="H1547" t="s">
        <v>23</v>
      </c>
      <c r="I1547" t="s">
        <v>24</v>
      </c>
      <c r="J1547">
        <v>42241.5</v>
      </c>
      <c r="K1547">
        <v>0</v>
      </c>
      <c r="L1547" t="s">
        <v>25</v>
      </c>
      <c r="M1547" t="s">
        <v>26</v>
      </c>
      <c r="N1547" t="s">
        <v>27</v>
      </c>
      <c r="O1547" t="s">
        <v>35</v>
      </c>
      <c r="P1547" t="s">
        <v>26</v>
      </c>
      <c r="Q1547">
        <v>0</v>
      </c>
    </row>
    <row r="1548" spans="1:17" x14ac:dyDescent="0.25">
      <c r="A1548" t="s">
        <v>17</v>
      </c>
      <c r="B1548" t="s">
        <v>18</v>
      </c>
      <c r="C1548">
        <v>112500</v>
      </c>
      <c r="D1548" t="s">
        <v>46</v>
      </c>
      <c r="E1548" t="s">
        <v>20</v>
      </c>
      <c r="F1548" t="s">
        <v>32</v>
      </c>
      <c r="G1548" t="s">
        <v>22</v>
      </c>
      <c r="H1548" t="s">
        <v>28</v>
      </c>
      <c r="I1548" t="s">
        <v>24</v>
      </c>
      <c r="J1548">
        <v>98455.274999999994</v>
      </c>
      <c r="K1548">
        <v>0</v>
      </c>
      <c r="L1548" t="s">
        <v>25</v>
      </c>
      <c r="M1548" t="s">
        <v>26</v>
      </c>
      <c r="N1548" t="s">
        <v>58</v>
      </c>
      <c r="O1548" t="s">
        <v>35</v>
      </c>
      <c r="P1548" t="s">
        <v>64</v>
      </c>
      <c r="Q1548">
        <v>1</v>
      </c>
    </row>
    <row r="1549" spans="1:17" x14ac:dyDescent="0.25">
      <c r="A1549" t="s">
        <v>17</v>
      </c>
      <c r="B1549" t="s">
        <v>18</v>
      </c>
      <c r="C1549">
        <v>112500</v>
      </c>
      <c r="D1549" t="s">
        <v>46</v>
      </c>
      <c r="E1549" t="s">
        <v>20</v>
      </c>
      <c r="F1549" t="s">
        <v>32</v>
      </c>
      <c r="G1549" t="s">
        <v>22</v>
      </c>
      <c r="H1549" t="s">
        <v>28</v>
      </c>
      <c r="I1549" t="s">
        <v>24</v>
      </c>
      <c r="J1549">
        <v>116550</v>
      </c>
      <c r="K1549">
        <v>0</v>
      </c>
      <c r="L1549" t="s">
        <v>38</v>
      </c>
      <c r="M1549" t="s">
        <v>26</v>
      </c>
      <c r="N1549" t="s">
        <v>27</v>
      </c>
      <c r="O1549" t="s">
        <v>35</v>
      </c>
      <c r="P1549" t="s">
        <v>26</v>
      </c>
      <c r="Q1549">
        <v>0</v>
      </c>
    </row>
    <row r="1550" spans="1:17" x14ac:dyDescent="0.25">
      <c r="A1550" t="s">
        <v>17</v>
      </c>
      <c r="B1550" t="s">
        <v>18</v>
      </c>
      <c r="C1550">
        <v>112500</v>
      </c>
      <c r="D1550" t="s">
        <v>46</v>
      </c>
      <c r="E1550" t="s">
        <v>20</v>
      </c>
      <c r="F1550" t="s">
        <v>32</v>
      </c>
      <c r="G1550" t="s">
        <v>22</v>
      </c>
      <c r="H1550" t="s">
        <v>28</v>
      </c>
      <c r="I1550" t="s">
        <v>24</v>
      </c>
      <c r="J1550">
        <v>108589.05</v>
      </c>
      <c r="K1550">
        <v>10862.55</v>
      </c>
      <c r="L1550" t="s">
        <v>45</v>
      </c>
      <c r="M1550" t="s">
        <v>26</v>
      </c>
      <c r="N1550" t="s">
        <v>27</v>
      </c>
      <c r="O1550" t="s">
        <v>35</v>
      </c>
      <c r="P1550" t="s">
        <v>26</v>
      </c>
      <c r="Q1550">
        <v>0</v>
      </c>
    </row>
    <row r="1551" spans="1:17" x14ac:dyDescent="0.25">
      <c r="A1551" t="s">
        <v>17</v>
      </c>
      <c r="B1551" t="s">
        <v>18</v>
      </c>
      <c r="C1551">
        <v>112500</v>
      </c>
      <c r="D1551" t="s">
        <v>46</v>
      </c>
      <c r="E1551" t="s">
        <v>20</v>
      </c>
      <c r="F1551" t="s">
        <v>32</v>
      </c>
      <c r="G1551" t="s">
        <v>22</v>
      </c>
      <c r="H1551" t="s">
        <v>28</v>
      </c>
      <c r="I1551" t="s">
        <v>24</v>
      </c>
      <c r="J1551">
        <v>149625</v>
      </c>
      <c r="K1551">
        <v>15750</v>
      </c>
      <c r="L1551" t="s">
        <v>45</v>
      </c>
      <c r="M1551" t="s">
        <v>26</v>
      </c>
      <c r="N1551" t="s">
        <v>27</v>
      </c>
      <c r="O1551" t="s">
        <v>35</v>
      </c>
      <c r="P1551" t="s">
        <v>26</v>
      </c>
      <c r="Q1551">
        <v>0</v>
      </c>
    </row>
    <row r="1552" spans="1:17" x14ac:dyDescent="0.25">
      <c r="A1552" t="s">
        <v>29</v>
      </c>
      <c r="B1552" t="s">
        <v>18</v>
      </c>
      <c r="C1552">
        <v>135000</v>
      </c>
      <c r="D1552" t="s">
        <v>46</v>
      </c>
      <c r="E1552" t="s">
        <v>20</v>
      </c>
      <c r="F1552" t="s">
        <v>32</v>
      </c>
      <c r="G1552" t="s">
        <v>22</v>
      </c>
      <c r="H1552" t="s">
        <v>28</v>
      </c>
      <c r="I1552" t="s">
        <v>24</v>
      </c>
      <c r="J1552">
        <v>74160</v>
      </c>
      <c r="K1552">
        <v>22500</v>
      </c>
      <c r="L1552" t="s">
        <v>45</v>
      </c>
      <c r="M1552" t="s">
        <v>26</v>
      </c>
      <c r="N1552" t="s">
        <v>27</v>
      </c>
      <c r="O1552" t="s">
        <v>35</v>
      </c>
      <c r="P1552" t="s">
        <v>26</v>
      </c>
      <c r="Q1552">
        <v>0</v>
      </c>
    </row>
    <row r="1553" spans="1:17" x14ac:dyDescent="0.25">
      <c r="A1553" t="s">
        <v>17</v>
      </c>
      <c r="B1553" t="s">
        <v>36</v>
      </c>
      <c r="C1553">
        <v>45000</v>
      </c>
      <c r="D1553" t="s">
        <v>46</v>
      </c>
      <c r="E1553" t="s">
        <v>20</v>
      </c>
      <c r="F1553" t="s">
        <v>32</v>
      </c>
      <c r="G1553" t="s">
        <v>22</v>
      </c>
      <c r="H1553" t="s">
        <v>28</v>
      </c>
      <c r="I1553" t="s">
        <v>24</v>
      </c>
      <c r="J1553">
        <v>35775</v>
      </c>
      <c r="K1553">
        <v>6750</v>
      </c>
      <c r="L1553" t="s">
        <v>45</v>
      </c>
      <c r="M1553" t="s">
        <v>26</v>
      </c>
      <c r="N1553" t="s">
        <v>27</v>
      </c>
      <c r="O1553" t="s">
        <v>35</v>
      </c>
      <c r="P1553" t="s">
        <v>26</v>
      </c>
      <c r="Q1553">
        <v>0</v>
      </c>
    </row>
    <row r="1554" spans="1:17" x14ac:dyDescent="0.25">
      <c r="A1554" t="s">
        <v>17</v>
      </c>
      <c r="B1554" t="s">
        <v>36</v>
      </c>
      <c r="C1554">
        <v>45000</v>
      </c>
      <c r="D1554" t="s">
        <v>46</v>
      </c>
      <c r="E1554" t="s">
        <v>20</v>
      </c>
      <c r="F1554" t="s">
        <v>32</v>
      </c>
      <c r="G1554" t="s">
        <v>22</v>
      </c>
      <c r="H1554" t="s">
        <v>28</v>
      </c>
      <c r="I1554" t="s">
        <v>24</v>
      </c>
      <c r="J1554">
        <v>86400</v>
      </c>
      <c r="K1554">
        <v>9000</v>
      </c>
      <c r="L1554" t="s">
        <v>43</v>
      </c>
      <c r="M1554" t="s">
        <v>26</v>
      </c>
      <c r="N1554" t="s">
        <v>27</v>
      </c>
      <c r="O1554" t="s">
        <v>35</v>
      </c>
      <c r="P1554" t="s">
        <v>26</v>
      </c>
      <c r="Q1554">
        <v>0</v>
      </c>
    </row>
    <row r="1555" spans="1:17" x14ac:dyDescent="0.25">
      <c r="A1555" t="s">
        <v>17</v>
      </c>
      <c r="B1555" t="s">
        <v>36</v>
      </c>
      <c r="C1555">
        <v>45000</v>
      </c>
      <c r="D1555" t="s">
        <v>46</v>
      </c>
      <c r="E1555" t="s">
        <v>20</v>
      </c>
      <c r="F1555" t="s">
        <v>32</v>
      </c>
      <c r="G1555" t="s">
        <v>22</v>
      </c>
      <c r="H1555" t="s">
        <v>28</v>
      </c>
      <c r="I1555" t="s">
        <v>24</v>
      </c>
      <c r="J1555">
        <v>17973</v>
      </c>
      <c r="K1555">
        <v>1800</v>
      </c>
      <c r="L1555" t="s">
        <v>42</v>
      </c>
      <c r="M1555" t="s">
        <v>26</v>
      </c>
      <c r="N1555" t="s">
        <v>27</v>
      </c>
      <c r="O1555" t="s">
        <v>28</v>
      </c>
      <c r="P1555" t="s">
        <v>26</v>
      </c>
      <c r="Q1555">
        <v>0</v>
      </c>
    </row>
    <row r="1556" spans="1:17" x14ac:dyDescent="0.25">
      <c r="A1556" t="s">
        <v>17</v>
      </c>
      <c r="B1556" t="s">
        <v>36</v>
      </c>
      <c r="C1556">
        <v>45000</v>
      </c>
      <c r="D1556" t="s">
        <v>46</v>
      </c>
      <c r="E1556" t="s">
        <v>20</v>
      </c>
      <c r="F1556" t="s">
        <v>32</v>
      </c>
      <c r="G1556" t="s">
        <v>22</v>
      </c>
      <c r="H1556" t="s">
        <v>28</v>
      </c>
      <c r="I1556" t="s">
        <v>24</v>
      </c>
      <c r="J1556">
        <v>42975</v>
      </c>
      <c r="K1556">
        <v>13500</v>
      </c>
      <c r="L1556" t="s">
        <v>51</v>
      </c>
      <c r="M1556" t="s">
        <v>26</v>
      </c>
      <c r="N1556" t="s">
        <v>27</v>
      </c>
      <c r="O1556" t="s">
        <v>35</v>
      </c>
      <c r="P1556" t="s">
        <v>26</v>
      </c>
      <c r="Q1556">
        <v>0</v>
      </c>
    </row>
    <row r="1557" spans="1:17" x14ac:dyDescent="0.25">
      <c r="A1557" t="s">
        <v>29</v>
      </c>
      <c r="B1557" t="s">
        <v>18</v>
      </c>
      <c r="C1557">
        <v>72000</v>
      </c>
      <c r="D1557" t="s">
        <v>46</v>
      </c>
      <c r="E1557" t="s">
        <v>20</v>
      </c>
      <c r="F1557" t="s">
        <v>54</v>
      </c>
      <c r="G1557" t="s">
        <v>22</v>
      </c>
      <c r="H1557" t="s">
        <v>28</v>
      </c>
      <c r="I1557" t="s">
        <v>24</v>
      </c>
      <c r="J1557">
        <v>50265</v>
      </c>
      <c r="K1557">
        <v>5026.5</v>
      </c>
      <c r="L1557" t="s">
        <v>42</v>
      </c>
      <c r="M1557" t="s">
        <v>26</v>
      </c>
      <c r="N1557" t="s">
        <v>27</v>
      </c>
      <c r="O1557" t="s">
        <v>35</v>
      </c>
      <c r="P1557" t="s">
        <v>26</v>
      </c>
      <c r="Q1557">
        <v>0</v>
      </c>
    </row>
    <row r="1558" spans="1:17" x14ac:dyDescent="0.25">
      <c r="A1558" t="s">
        <v>29</v>
      </c>
      <c r="B1558" t="s">
        <v>18</v>
      </c>
      <c r="C1558">
        <v>72000</v>
      </c>
      <c r="D1558" t="s">
        <v>46</v>
      </c>
      <c r="E1558" t="s">
        <v>20</v>
      </c>
      <c r="F1558" t="s">
        <v>54</v>
      </c>
      <c r="G1558" t="s">
        <v>22</v>
      </c>
      <c r="H1558" t="s">
        <v>28</v>
      </c>
      <c r="I1558" t="s">
        <v>24</v>
      </c>
      <c r="J1558">
        <v>68215.5</v>
      </c>
      <c r="K1558">
        <v>0</v>
      </c>
      <c r="L1558" t="s">
        <v>38</v>
      </c>
      <c r="M1558" t="s">
        <v>26</v>
      </c>
      <c r="N1558" t="s">
        <v>27</v>
      </c>
      <c r="O1558" t="s">
        <v>35</v>
      </c>
      <c r="P1558" t="s">
        <v>26</v>
      </c>
      <c r="Q1558">
        <v>0</v>
      </c>
    </row>
    <row r="1559" spans="1:17" x14ac:dyDescent="0.25">
      <c r="A1559" t="s">
        <v>17</v>
      </c>
      <c r="B1559" t="s">
        <v>18</v>
      </c>
      <c r="C1559">
        <v>112500</v>
      </c>
      <c r="D1559" t="s">
        <v>44</v>
      </c>
      <c r="E1559" t="s">
        <v>20</v>
      </c>
      <c r="F1559" t="s">
        <v>32</v>
      </c>
      <c r="G1559" t="s">
        <v>22</v>
      </c>
      <c r="H1559" t="s">
        <v>48</v>
      </c>
      <c r="I1559" t="s">
        <v>24</v>
      </c>
      <c r="J1559">
        <v>81720</v>
      </c>
      <c r="K1559">
        <v>0</v>
      </c>
      <c r="L1559" t="s">
        <v>38</v>
      </c>
      <c r="M1559" t="s">
        <v>26</v>
      </c>
      <c r="N1559" t="s">
        <v>27</v>
      </c>
      <c r="O1559" t="s">
        <v>35</v>
      </c>
      <c r="P1559" t="s">
        <v>26</v>
      </c>
      <c r="Q1559">
        <v>0</v>
      </c>
    </row>
    <row r="1560" spans="1:17" x14ac:dyDescent="0.25">
      <c r="A1560" t="s">
        <v>29</v>
      </c>
      <c r="B1560" t="s">
        <v>18</v>
      </c>
      <c r="C1560">
        <v>112500</v>
      </c>
      <c r="D1560" t="s">
        <v>19</v>
      </c>
      <c r="E1560" t="s">
        <v>20</v>
      </c>
      <c r="F1560" t="s">
        <v>21</v>
      </c>
      <c r="G1560" t="s">
        <v>22</v>
      </c>
      <c r="H1560" t="s">
        <v>23</v>
      </c>
      <c r="I1560" t="s">
        <v>24</v>
      </c>
      <c r="J1560">
        <v>24705</v>
      </c>
      <c r="K1560">
        <v>0</v>
      </c>
      <c r="L1560" t="s">
        <v>25</v>
      </c>
      <c r="M1560" t="s">
        <v>26</v>
      </c>
      <c r="N1560" t="s">
        <v>27</v>
      </c>
      <c r="O1560" t="s">
        <v>35</v>
      </c>
      <c r="P1560" t="s">
        <v>26</v>
      </c>
      <c r="Q1560">
        <v>0</v>
      </c>
    </row>
    <row r="1561" spans="1:17" x14ac:dyDescent="0.25">
      <c r="A1561" t="s">
        <v>29</v>
      </c>
      <c r="B1561" t="s">
        <v>18</v>
      </c>
      <c r="C1561">
        <v>112500</v>
      </c>
      <c r="D1561" t="s">
        <v>19</v>
      </c>
      <c r="E1561" t="s">
        <v>20</v>
      </c>
      <c r="F1561" t="s">
        <v>21</v>
      </c>
      <c r="G1561" t="s">
        <v>22</v>
      </c>
      <c r="H1561" t="s">
        <v>23</v>
      </c>
      <c r="I1561" t="s">
        <v>24</v>
      </c>
      <c r="J1561">
        <v>19975.5</v>
      </c>
      <c r="K1561">
        <v>0</v>
      </c>
      <c r="L1561" t="s">
        <v>34</v>
      </c>
      <c r="M1561" t="s">
        <v>26</v>
      </c>
      <c r="N1561" t="s">
        <v>27</v>
      </c>
      <c r="O1561" t="s">
        <v>35</v>
      </c>
      <c r="P1561" t="s">
        <v>26</v>
      </c>
      <c r="Q1561">
        <v>0</v>
      </c>
    </row>
    <row r="1562" spans="1:17" x14ac:dyDescent="0.25">
      <c r="A1562" t="s">
        <v>17</v>
      </c>
      <c r="B1562" t="s">
        <v>36</v>
      </c>
      <c r="C1562">
        <v>225000</v>
      </c>
      <c r="D1562" t="s">
        <v>19</v>
      </c>
      <c r="E1562" t="s">
        <v>20</v>
      </c>
      <c r="F1562" t="s">
        <v>32</v>
      </c>
      <c r="G1562" t="s">
        <v>22</v>
      </c>
      <c r="H1562" t="s">
        <v>23</v>
      </c>
      <c r="I1562" t="s">
        <v>24</v>
      </c>
      <c r="J1562">
        <v>47592</v>
      </c>
      <c r="K1562">
        <v>4761</v>
      </c>
      <c r="L1562" t="s">
        <v>25</v>
      </c>
      <c r="M1562" t="s">
        <v>26</v>
      </c>
      <c r="N1562" t="s">
        <v>27</v>
      </c>
      <c r="O1562" t="s">
        <v>35</v>
      </c>
      <c r="P1562" t="s">
        <v>26</v>
      </c>
      <c r="Q1562">
        <v>0</v>
      </c>
    </row>
    <row r="1563" spans="1:17" x14ac:dyDescent="0.25">
      <c r="A1563" t="s">
        <v>17</v>
      </c>
      <c r="B1563" t="s">
        <v>36</v>
      </c>
      <c r="C1563">
        <v>225000</v>
      </c>
      <c r="D1563" t="s">
        <v>19</v>
      </c>
      <c r="E1563" t="s">
        <v>20</v>
      </c>
      <c r="F1563" t="s">
        <v>32</v>
      </c>
      <c r="G1563" t="s">
        <v>22</v>
      </c>
      <c r="H1563" t="s">
        <v>23</v>
      </c>
      <c r="I1563" t="s">
        <v>66</v>
      </c>
      <c r="J1563">
        <v>112500</v>
      </c>
      <c r="K1563">
        <v>0</v>
      </c>
      <c r="L1563" t="s">
        <v>43</v>
      </c>
      <c r="M1563" t="s">
        <v>28</v>
      </c>
      <c r="N1563" t="s">
        <v>27</v>
      </c>
      <c r="O1563" t="s">
        <v>35</v>
      </c>
      <c r="P1563" t="s">
        <v>26</v>
      </c>
      <c r="Q1563">
        <v>0</v>
      </c>
    </row>
    <row r="1564" spans="1:17" x14ac:dyDescent="0.25">
      <c r="A1564" t="s">
        <v>17</v>
      </c>
      <c r="B1564" t="s">
        <v>36</v>
      </c>
      <c r="C1564">
        <v>225000</v>
      </c>
      <c r="D1564" t="s">
        <v>19</v>
      </c>
      <c r="E1564" t="s">
        <v>20</v>
      </c>
      <c r="F1564" t="s">
        <v>32</v>
      </c>
      <c r="G1564" t="s">
        <v>22</v>
      </c>
      <c r="H1564" t="s">
        <v>23</v>
      </c>
      <c r="I1564" t="s">
        <v>24</v>
      </c>
      <c r="J1564">
        <v>31455</v>
      </c>
      <c r="K1564">
        <v>3145.5</v>
      </c>
      <c r="L1564" t="s">
        <v>43</v>
      </c>
      <c r="M1564" t="s">
        <v>26</v>
      </c>
      <c r="N1564" t="s">
        <v>58</v>
      </c>
      <c r="O1564" t="s">
        <v>35</v>
      </c>
      <c r="P1564" t="s">
        <v>59</v>
      </c>
      <c r="Q1564">
        <v>1</v>
      </c>
    </row>
    <row r="1565" spans="1:17" x14ac:dyDescent="0.25">
      <c r="A1565" t="s">
        <v>29</v>
      </c>
      <c r="B1565" t="s">
        <v>18</v>
      </c>
      <c r="C1565">
        <v>135000</v>
      </c>
      <c r="D1565" t="s">
        <v>19</v>
      </c>
      <c r="E1565" t="s">
        <v>31</v>
      </c>
      <c r="F1565" t="s">
        <v>32</v>
      </c>
      <c r="G1565" t="s">
        <v>22</v>
      </c>
      <c r="H1565" t="s">
        <v>23</v>
      </c>
      <c r="I1565" t="s">
        <v>24</v>
      </c>
      <c r="J1565">
        <v>61330.5</v>
      </c>
      <c r="K1565">
        <v>9000</v>
      </c>
      <c r="L1565" t="s">
        <v>42</v>
      </c>
      <c r="M1565" t="s">
        <v>26</v>
      </c>
      <c r="N1565" t="s">
        <v>27</v>
      </c>
      <c r="O1565" t="s">
        <v>35</v>
      </c>
      <c r="P1565" t="s">
        <v>26</v>
      </c>
      <c r="Q1565">
        <v>0</v>
      </c>
    </row>
    <row r="1566" spans="1:17" x14ac:dyDescent="0.25">
      <c r="A1566" t="s">
        <v>29</v>
      </c>
      <c r="B1566" t="s">
        <v>36</v>
      </c>
      <c r="C1566">
        <v>135000</v>
      </c>
      <c r="D1566" t="s">
        <v>19</v>
      </c>
      <c r="E1566" t="s">
        <v>20</v>
      </c>
      <c r="F1566" t="s">
        <v>32</v>
      </c>
      <c r="G1566" t="s">
        <v>22</v>
      </c>
      <c r="H1566" t="s">
        <v>23</v>
      </c>
      <c r="I1566" t="s">
        <v>24</v>
      </c>
      <c r="J1566">
        <v>175473</v>
      </c>
      <c r="K1566">
        <v>0</v>
      </c>
      <c r="L1566" t="s">
        <v>25</v>
      </c>
      <c r="M1566" t="s">
        <v>26</v>
      </c>
      <c r="N1566" t="s">
        <v>27</v>
      </c>
      <c r="O1566" t="s">
        <v>35</v>
      </c>
      <c r="P1566" t="s">
        <v>26</v>
      </c>
      <c r="Q1566">
        <v>0</v>
      </c>
    </row>
    <row r="1567" spans="1:17" x14ac:dyDescent="0.25">
      <c r="A1567" t="s">
        <v>17</v>
      </c>
      <c r="B1567" t="s">
        <v>36</v>
      </c>
      <c r="C1567">
        <v>112500</v>
      </c>
      <c r="D1567" t="s">
        <v>19</v>
      </c>
      <c r="E1567" t="s">
        <v>20</v>
      </c>
      <c r="F1567" t="s">
        <v>32</v>
      </c>
      <c r="G1567" t="s">
        <v>22</v>
      </c>
      <c r="H1567" t="s">
        <v>49</v>
      </c>
      <c r="I1567" t="s">
        <v>24</v>
      </c>
      <c r="J1567">
        <v>35995.5</v>
      </c>
      <c r="K1567">
        <v>3600</v>
      </c>
      <c r="L1567" t="s">
        <v>43</v>
      </c>
      <c r="M1567" t="s">
        <v>26</v>
      </c>
      <c r="N1567" t="s">
        <v>27</v>
      </c>
      <c r="O1567" t="s">
        <v>35</v>
      </c>
      <c r="P1567" t="s">
        <v>26</v>
      </c>
      <c r="Q1567">
        <v>0</v>
      </c>
    </row>
    <row r="1568" spans="1:17" x14ac:dyDescent="0.25">
      <c r="A1568" t="s">
        <v>29</v>
      </c>
      <c r="B1568" t="s">
        <v>18</v>
      </c>
      <c r="C1568">
        <v>76500</v>
      </c>
      <c r="D1568" t="s">
        <v>46</v>
      </c>
      <c r="E1568" t="s">
        <v>20</v>
      </c>
      <c r="F1568" t="s">
        <v>69</v>
      </c>
      <c r="G1568" t="s">
        <v>22</v>
      </c>
      <c r="H1568" t="s">
        <v>28</v>
      </c>
      <c r="I1568" t="s">
        <v>24</v>
      </c>
      <c r="J1568">
        <v>71415</v>
      </c>
      <c r="K1568">
        <v>0</v>
      </c>
      <c r="L1568" t="s">
        <v>34</v>
      </c>
      <c r="M1568" t="s">
        <v>26</v>
      </c>
      <c r="N1568" t="s">
        <v>27</v>
      </c>
      <c r="O1568" t="s">
        <v>35</v>
      </c>
      <c r="P1568" t="s">
        <v>26</v>
      </c>
      <c r="Q1568">
        <v>0</v>
      </c>
    </row>
    <row r="1569" spans="1:17" x14ac:dyDescent="0.25">
      <c r="A1569" t="s">
        <v>17</v>
      </c>
      <c r="B1569" t="s">
        <v>18</v>
      </c>
      <c r="C1569">
        <v>202500</v>
      </c>
      <c r="D1569" t="s">
        <v>19</v>
      </c>
      <c r="E1569" t="s">
        <v>20</v>
      </c>
      <c r="F1569" t="s">
        <v>39</v>
      </c>
      <c r="G1569" t="s">
        <v>22</v>
      </c>
      <c r="H1569" t="s">
        <v>75</v>
      </c>
      <c r="I1569" t="s">
        <v>24</v>
      </c>
      <c r="J1569">
        <v>67455</v>
      </c>
      <c r="K1569">
        <v>6745.5</v>
      </c>
      <c r="L1569" t="s">
        <v>25</v>
      </c>
      <c r="M1569" t="s">
        <v>26</v>
      </c>
      <c r="N1569" t="s">
        <v>27</v>
      </c>
      <c r="O1569" t="s">
        <v>83</v>
      </c>
      <c r="P1569" t="s">
        <v>26</v>
      </c>
      <c r="Q1569">
        <v>0</v>
      </c>
    </row>
    <row r="1570" spans="1:17" x14ac:dyDescent="0.25">
      <c r="A1570" t="s">
        <v>29</v>
      </c>
      <c r="B1570" t="s">
        <v>18</v>
      </c>
      <c r="C1570">
        <v>112500</v>
      </c>
      <c r="D1570" t="s">
        <v>44</v>
      </c>
      <c r="E1570" t="s">
        <v>20</v>
      </c>
      <c r="F1570" t="s">
        <v>32</v>
      </c>
      <c r="G1570" t="s">
        <v>22</v>
      </c>
      <c r="H1570" t="s">
        <v>100</v>
      </c>
      <c r="I1570" t="s">
        <v>24</v>
      </c>
      <c r="J1570">
        <v>145269</v>
      </c>
      <c r="K1570">
        <v>0</v>
      </c>
      <c r="L1570" t="s">
        <v>25</v>
      </c>
      <c r="M1570" t="s">
        <v>26</v>
      </c>
      <c r="N1570" t="s">
        <v>27</v>
      </c>
      <c r="O1570" t="s">
        <v>35</v>
      </c>
      <c r="P1570" t="s">
        <v>26</v>
      </c>
      <c r="Q1570">
        <v>0</v>
      </c>
    </row>
    <row r="1571" spans="1:17" x14ac:dyDescent="0.25">
      <c r="A1571" t="s">
        <v>29</v>
      </c>
      <c r="B1571" t="s">
        <v>18</v>
      </c>
      <c r="C1571">
        <v>112500</v>
      </c>
      <c r="D1571" t="s">
        <v>44</v>
      </c>
      <c r="E1571" t="s">
        <v>20</v>
      </c>
      <c r="F1571" t="s">
        <v>32</v>
      </c>
      <c r="G1571" t="s">
        <v>22</v>
      </c>
      <c r="H1571" t="s">
        <v>100</v>
      </c>
      <c r="I1571" t="s">
        <v>24</v>
      </c>
      <c r="J1571">
        <v>66595.5</v>
      </c>
      <c r="K1571">
        <v>0</v>
      </c>
      <c r="L1571" t="s">
        <v>38</v>
      </c>
      <c r="M1571" t="s">
        <v>26</v>
      </c>
      <c r="N1571" t="s">
        <v>27</v>
      </c>
      <c r="O1571" t="s">
        <v>35</v>
      </c>
      <c r="P1571" t="s">
        <v>26</v>
      </c>
      <c r="Q1571">
        <v>0</v>
      </c>
    </row>
    <row r="1572" spans="1:17" x14ac:dyDescent="0.25">
      <c r="A1572" t="s">
        <v>29</v>
      </c>
      <c r="B1572" t="s">
        <v>18</v>
      </c>
      <c r="C1572">
        <v>112500</v>
      </c>
      <c r="D1572" t="s">
        <v>44</v>
      </c>
      <c r="E1572" t="s">
        <v>20</v>
      </c>
      <c r="F1572" t="s">
        <v>32</v>
      </c>
      <c r="G1572" t="s">
        <v>22</v>
      </c>
      <c r="H1572" t="s">
        <v>100</v>
      </c>
      <c r="I1572" t="s">
        <v>24</v>
      </c>
      <c r="J1572">
        <v>107991</v>
      </c>
      <c r="K1572">
        <v>0</v>
      </c>
      <c r="L1572" t="s">
        <v>43</v>
      </c>
      <c r="M1572" t="s">
        <v>26</v>
      </c>
      <c r="N1572" t="s">
        <v>27</v>
      </c>
      <c r="O1572" t="s">
        <v>35</v>
      </c>
      <c r="P1572" t="s">
        <v>26</v>
      </c>
      <c r="Q1572">
        <v>0</v>
      </c>
    </row>
    <row r="1573" spans="1:17" x14ac:dyDescent="0.25">
      <c r="A1573" t="s">
        <v>29</v>
      </c>
      <c r="B1573" t="s">
        <v>18</v>
      </c>
      <c r="C1573">
        <v>180000</v>
      </c>
      <c r="D1573" t="s">
        <v>19</v>
      </c>
      <c r="E1573" t="s">
        <v>20</v>
      </c>
      <c r="F1573" t="s">
        <v>39</v>
      </c>
      <c r="G1573" t="s">
        <v>22</v>
      </c>
      <c r="H1573" t="s">
        <v>57</v>
      </c>
      <c r="I1573" t="s">
        <v>24</v>
      </c>
      <c r="J1573">
        <v>15736.5</v>
      </c>
      <c r="K1573">
        <v>0</v>
      </c>
      <c r="L1573" t="s">
        <v>51</v>
      </c>
      <c r="M1573" t="s">
        <v>26</v>
      </c>
      <c r="N1573" t="s">
        <v>58</v>
      </c>
      <c r="O1573" t="s">
        <v>35</v>
      </c>
      <c r="P1573" t="s">
        <v>64</v>
      </c>
      <c r="Q1573">
        <v>1</v>
      </c>
    </row>
    <row r="1574" spans="1:17" x14ac:dyDescent="0.25">
      <c r="A1574" t="s">
        <v>29</v>
      </c>
      <c r="B1574" t="s">
        <v>18</v>
      </c>
      <c r="C1574">
        <v>180000</v>
      </c>
      <c r="D1574" t="s">
        <v>19</v>
      </c>
      <c r="E1574" t="s">
        <v>20</v>
      </c>
      <c r="F1574" t="s">
        <v>39</v>
      </c>
      <c r="G1574" t="s">
        <v>22</v>
      </c>
      <c r="H1574" t="s">
        <v>57</v>
      </c>
      <c r="I1574" t="s">
        <v>24</v>
      </c>
      <c r="J1574">
        <v>237825</v>
      </c>
      <c r="K1574">
        <v>28539</v>
      </c>
      <c r="L1574" t="s">
        <v>42</v>
      </c>
      <c r="M1574" t="s">
        <v>26</v>
      </c>
      <c r="N1574" t="s">
        <v>58</v>
      </c>
      <c r="O1574" t="s">
        <v>35</v>
      </c>
      <c r="P1574" t="s">
        <v>64</v>
      </c>
      <c r="Q1574">
        <v>1</v>
      </c>
    </row>
    <row r="1575" spans="1:17" x14ac:dyDescent="0.25">
      <c r="A1575" t="s">
        <v>29</v>
      </c>
      <c r="B1575" t="s">
        <v>18</v>
      </c>
      <c r="C1575">
        <v>180000</v>
      </c>
      <c r="D1575" t="s">
        <v>19</v>
      </c>
      <c r="E1575" t="s">
        <v>20</v>
      </c>
      <c r="F1575" t="s">
        <v>32</v>
      </c>
      <c r="G1575" t="s">
        <v>22</v>
      </c>
      <c r="H1575" t="s">
        <v>68</v>
      </c>
      <c r="I1575" t="s">
        <v>24</v>
      </c>
      <c r="J1575">
        <v>138730.5</v>
      </c>
      <c r="K1575">
        <v>45000</v>
      </c>
      <c r="L1575" t="s">
        <v>38</v>
      </c>
      <c r="M1575" t="s">
        <v>26</v>
      </c>
      <c r="N1575" t="s">
        <v>27</v>
      </c>
      <c r="O1575" t="s">
        <v>35</v>
      </c>
      <c r="P1575" t="s">
        <v>26</v>
      </c>
      <c r="Q1575">
        <v>0</v>
      </c>
    </row>
    <row r="1576" spans="1:17" x14ac:dyDescent="0.25">
      <c r="A1576" t="s">
        <v>29</v>
      </c>
      <c r="B1576" t="s">
        <v>18</v>
      </c>
      <c r="C1576">
        <v>112500</v>
      </c>
      <c r="D1576" t="s">
        <v>19</v>
      </c>
      <c r="E1576" t="s">
        <v>20</v>
      </c>
      <c r="F1576" t="s">
        <v>39</v>
      </c>
      <c r="G1576" t="s">
        <v>22</v>
      </c>
      <c r="H1576" t="s">
        <v>48</v>
      </c>
      <c r="I1576" t="s">
        <v>24</v>
      </c>
      <c r="J1576">
        <v>29646</v>
      </c>
      <c r="K1576">
        <v>2965.5</v>
      </c>
      <c r="L1576" t="s">
        <v>45</v>
      </c>
      <c r="M1576" t="s">
        <v>26</v>
      </c>
      <c r="N1576" t="s">
        <v>27</v>
      </c>
      <c r="O1576" t="s">
        <v>35</v>
      </c>
      <c r="P1576" t="s">
        <v>26</v>
      </c>
      <c r="Q1576">
        <v>0</v>
      </c>
    </row>
    <row r="1577" spans="1:17" x14ac:dyDescent="0.25">
      <c r="A1577" t="s">
        <v>29</v>
      </c>
      <c r="B1577" t="s">
        <v>18</v>
      </c>
      <c r="C1577">
        <v>112500</v>
      </c>
      <c r="D1577" t="s">
        <v>19</v>
      </c>
      <c r="E1577" t="s">
        <v>20</v>
      </c>
      <c r="F1577" t="s">
        <v>39</v>
      </c>
      <c r="G1577" t="s">
        <v>22</v>
      </c>
      <c r="H1577" t="s">
        <v>48</v>
      </c>
      <c r="I1577" t="s">
        <v>66</v>
      </c>
      <c r="J1577">
        <v>67500</v>
      </c>
      <c r="K1577">
        <v>0</v>
      </c>
      <c r="L1577" t="s">
        <v>42</v>
      </c>
      <c r="M1577" t="s">
        <v>28</v>
      </c>
      <c r="N1577" t="s">
        <v>27</v>
      </c>
      <c r="O1577" t="s">
        <v>35</v>
      </c>
      <c r="P1577" t="s">
        <v>26</v>
      </c>
      <c r="Q1577">
        <v>0</v>
      </c>
    </row>
    <row r="1578" spans="1:17" x14ac:dyDescent="0.25">
      <c r="A1578" t="s">
        <v>29</v>
      </c>
      <c r="B1578" t="s">
        <v>36</v>
      </c>
      <c r="C1578">
        <v>112500</v>
      </c>
      <c r="D1578" t="s">
        <v>30</v>
      </c>
      <c r="E1578" t="s">
        <v>20</v>
      </c>
      <c r="F1578" t="s">
        <v>32</v>
      </c>
      <c r="G1578" t="s">
        <v>73</v>
      </c>
      <c r="H1578" t="s">
        <v>41</v>
      </c>
      <c r="I1578" t="s">
        <v>24</v>
      </c>
      <c r="J1578">
        <v>198000</v>
      </c>
      <c r="K1578">
        <v>39600</v>
      </c>
      <c r="L1578" t="s">
        <v>25</v>
      </c>
      <c r="M1578" t="s">
        <v>26</v>
      </c>
      <c r="N1578" t="s">
        <v>27</v>
      </c>
      <c r="O1578" t="s">
        <v>28</v>
      </c>
      <c r="P1578" t="s">
        <v>26</v>
      </c>
      <c r="Q1578">
        <v>0</v>
      </c>
    </row>
    <row r="1579" spans="1:17" x14ac:dyDescent="0.25">
      <c r="A1579" t="s">
        <v>29</v>
      </c>
      <c r="B1579" t="s">
        <v>18</v>
      </c>
      <c r="C1579">
        <v>81000</v>
      </c>
      <c r="D1579" t="s">
        <v>19</v>
      </c>
      <c r="E1579" t="s">
        <v>20</v>
      </c>
      <c r="F1579" t="s">
        <v>32</v>
      </c>
      <c r="G1579" t="s">
        <v>22</v>
      </c>
      <c r="H1579" t="s">
        <v>92</v>
      </c>
      <c r="I1579" t="s">
        <v>90</v>
      </c>
      <c r="J1579">
        <v>135000</v>
      </c>
      <c r="K1579">
        <v>0</v>
      </c>
      <c r="L1579" t="s">
        <v>51</v>
      </c>
      <c r="M1579" t="s">
        <v>26</v>
      </c>
      <c r="N1579" t="s">
        <v>27</v>
      </c>
      <c r="O1579" t="s">
        <v>28</v>
      </c>
      <c r="P1579" t="s">
        <v>26</v>
      </c>
      <c r="Q1579">
        <v>0</v>
      </c>
    </row>
    <row r="1580" spans="1:17" x14ac:dyDescent="0.25">
      <c r="A1580" t="s">
        <v>17</v>
      </c>
      <c r="B1580" t="s">
        <v>36</v>
      </c>
      <c r="C1580">
        <v>202500</v>
      </c>
      <c r="D1580" t="s">
        <v>19</v>
      </c>
      <c r="E1580" t="s">
        <v>20</v>
      </c>
      <c r="F1580" t="s">
        <v>39</v>
      </c>
      <c r="G1580" t="s">
        <v>22</v>
      </c>
      <c r="H1580" t="s">
        <v>61</v>
      </c>
      <c r="I1580" t="s">
        <v>24</v>
      </c>
      <c r="J1580">
        <v>22000.5</v>
      </c>
      <c r="K1580">
        <v>2250</v>
      </c>
      <c r="L1580" t="s">
        <v>38</v>
      </c>
      <c r="M1580" t="s">
        <v>26</v>
      </c>
      <c r="N1580" t="s">
        <v>27</v>
      </c>
      <c r="O1580" t="s">
        <v>35</v>
      </c>
      <c r="P1580" t="s">
        <v>26</v>
      </c>
      <c r="Q1580">
        <v>0</v>
      </c>
    </row>
    <row r="1581" spans="1:17" x14ac:dyDescent="0.25">
      <c r="A1581" t="s">
        <v>29</v>
      </c>
      <c r="B1581" t="s">
        <v>18</v>
      </c>
      <c r="C1581">
        <v>180000</v>
      </c>
      <c r="D1581" t="s">
        <v>19</v>
      </c>
      <c r="E1581" t="s">
        <v>20</v>
      </c>
      <c r="F1581" t="s">
        <v>32</v>
      </c>
      <c r="G1581" t="s">
        <v>22</v>
      </c>
      <c r="H1581" t="s">
        <v>23</v>
      </c>
      <c r="I1581" t="s">
        <v>24</v>
      </c>
      <c r="J1581">
        <v>90094.5</v>
      </c>
      <c r="K1581">
        <v>18022.5</v>
      </c>
      <c r="L1581" t="s">
        <v>38</v>
      </c>
      <c r="M1581" t="s">
        <v>26</v>
      </c>
      <c r="N1581" t="s">
        <v>58</v>
      </c>
      <c r="O1581" t="s">
        <v>35</v>
      </c>
      <c r="P1581" t="s">
        <v>60</v>
      </c>
      <c r="Q1581">
        <v>1</v>
      </c>
    </row>
    <row r="1582" spans="1:17" x14ac:dyDescent="0.25">
      <c r="A1582" t="s">
        <v>29</v>
      </c>
      <c r="B1582" t="s">
        <v>18</v>
      </c>
      <c r="C1582">
        <v>180000</v>
      </c>
      <c r="D1582" t="s">
        <v>19</v>
      </c>
      <c r="E1582" t="s">
        <v>20</v>
      </c>
      <c r="F1582" t="s">
        <v>32</v>
      </c>
      <c r="G1582" t="s">
        <v>22</v>
      </c>
      <c r="H1582" t="s">
        <v>23</v>
      </c>
      <c r="I1582" t="s">
        <v>24</v>
      </c>
      <c r="J1582">
        <v>160105.5</v>
      </c>
      <c r="K1582">
        <v>16010.55</v>
      </c>
      <c r="L1582" t="s">
        <v>25</v>
      </c>
      <c r="M1582" t="s">
        <v>26</v>
      </c>
      <c r="N1582" t="s">
        <v>27</v>
      </c>
      <c r="O1582" t="s">
        <v>35</v>
      </c>
      <c r="P1582" t="s">
        <v>26</v>
      </c>
      <c r="Q1582">
        <v>0</v>
      </c>
    </row>
    <row r="1583" spans="1:17" x14ac:dyDescent="0.25">
      <c r="A1583" t="s">
        <v>29</v>
      </c>
      <c r="B1583" t="s">
        <v>36</v>
      </c>
      <c r="C1583">
        <v>135000</v>
      </c>
      <c r="D1583" t="s">
        <v>30</v>
      </c>
      <c r="E1583" t="s">
        <v>31</v>
      </c>
      <c r="F1583" t="s">
        <v>32</v>
      </c>
      <c r="G1583" t="s">
        <v>22</v>
      </c>
      <c r="H1583" t="s">
        <v>33</v>
      </c>
      <c r="I1583" t="s">
        <v>24</v>
      </c>
      <c r="J1583">
        <v>35100</v>
      </c>
      <c r="K1583">
        <v>9000</v>
      </c>
      <c r="L1583" t="s">
        <v>42</v>
      </c>
      <c r="M1583" t="s">
        <v>26</v>
      </c>
      <c r="N1583" t="s">
        <v>27</v>
      </c>
      <c r="O1583" t="s">
        <v>35</v>
      </c>
      <c r="P1583" t="s">
        <v>26</v>
      </c>
      <c r="Q1583">
        <v>0</v>
      </c>
    </row>
    <row r="1584" spans="1:17" x14ac:dyDescent="0.25">
      <c r="A1584" t="s">
        <v>29</v>
      </c>
      <c r="B1584" t="s">
        <v>36</v>
      </c>
      <c r="C1584">
        <v>135000</v>
      </c>
      <c r="D1584" t="s">
        <v>30</v>
      </c>
      <c r="E1584" t="s">
        <v>31</v>
      </c>
      <c r="F1584" t="s">
        <v>32</v>
      </c>
      <c r="G1584" t="s">
        <v>22</v>
      </c>
      <c r="H1584" t="s">
        <v>33</v>
      </c>
      <c r="I1584" t="s">
        <v>24</v>
      </c>
      <c r="J1584">
        <v>92353.5</v>
      </c>
      <c r="K1584">
        <v>9238.5</v>
      </c>
      <c r="L1584" t="s">
        <v>42</v>
      </c>
      <c r="M1584" t="s">
        <v>26</v>
      </c>
      <c r="N1584" t="s">
        <v>27</v>
      </c>
      <c r="O1584" t="s">
        <v>28</v>
      </c>
      <c r="P1584" t="s">
        <v>26</v>
      </c>
      <c r="Q1584">
        <v>0</v>
      </c>
    </row>
    <row r="1585" spans="1:17" x14ac:dyDescent="0.25">
      <c r="A1585" t="s">
        <v>29</v>
      </c>
      <c r="B1585" t="s">
        <v>18</v>
      </c>
      <c r="C1585">
        <v>135000</v>
      </c>
      <c r="D1585" t="s">
        <v>46</v>
      </c>
      <c r="E1585" t="s">
        <v>20</v>
      </c>
      <c r="F1585" t="s">
        <v>21</v>
      </c>
      <c r="G1585" t="s">
        <v>22</v>
      </c>
      <c r="H1585" t="s">
        <v>28</v>
      </c>
      <c r="I1585" t="s">
        <v>24</v>
      </c>
      <c r="J1585">
        <v>46755</v>
      </c>
      <c r="K1585">
        <v>5400</v>
      </c>
      <c r="L1585" t="s">
        <v>45</v>
      </c>
      <c r="M1585" t="s">
        <v>26</v>
      </c>
      <c r="N1585" t="s">
        <v>27</v>
      </c>
      <c r="O1585" t="s">
        <v>35</v>
      </c>
      <c r="P1585" t="s">
        <v>26</v>
      </c>
      <c r="Q1585">
        <v>0</v>
      </c>
    </row>
    <row r="1586" spans="1:17" x14ac:dyDescent="0.25">
      <c r="A1586" t="s">
        <v>29</v>
      </c>
      <c r="B1586" t="s">
        <v>18</v>
      </c>
      <c r="C1586">
        <v>135000</v>
      </c>
      <c r="D1586" t="s">
        <v>46</v>
      </c>
      <c r="E1586" t="s">
        <v>20</v>
      </c>
      <c r="F1586" t="s">
        <v>21</v>
      </c>
      <c r="G1586" t="s">
        <v>22</v>
      </c>
      <c r="H1586" t="s">
        <v>28</v>
      </c>
      <c r="I1586" t="s">
        <v>24</v>
      </c>
      <c r="J1586">
        <v>53910</v>
      </c>
      <c r="K1586">
        <v>0</v>
      </c>
      <c r="L1586" t="s">
        <v>34</v>
      </c>
      <c r="M1586" t="s">
        <v>26</v>
      </c>
      <c r="N1586" t="s">
        <v>76</v>
      </c>
      <c r="O1586" t="s">
        <v>35</v>
      </c>
      <c r="P1586" t="s">
        <v>77</v>
      </c>
      <c r="Q1586">
        <v>0</v>
      </c>
    </row>
    <row r="1587" spans="1:17" x14ac:dyDescent="0.25">
      <c r="A1587" t="s">
        <v>29</v>
      </c>
      <c r="B1587" t="s">
        <v>18</v>
      </c>
      <c r="C1587">
        <v>180000</v>
      </c>
      <c r="D1587" t="s">
        <v>46</v>
      </c>
      <c r="E1587" t="s">
        <v>20</v>
      </c>
      <c r="F1587" t="s">
        <v>39</v>
      </c>
      <c r="G1587" t="s">
        <v>22</v>
      </c>
      <c r="H1587" t="s">
        <v>28</v>
      </c>
      <c r="I1587" t="s">
        <v>24</v>
      </c>
      <c r="J1587">
        <v>77058</v>
      </c>
      <c r="K1587">
        <v>0</v>
      </c>
      <c r="L1587" t="s">
        <v>45</v>
      </c>
      <c r="M1587" t="s">
        <v>26</v>
      </c>
      <c r="N1587" t="s">
        <v>27</v>
      </c>
      <c r="O1587" t="s">
        <v>35</v>
      </c>
      <c r="P1587" t="s">
        <v>26</v>
      </c>
      <c r="Q1587">
        <v>0</v>
      </c>
    </row>
    <row r="1588" spans="1:17" x14ac:dyDescent="0.25">
      <c r="A1588" t="s">
        <v>29</v>
      </c>
      <c r="B1588" t="s">
        <v>18</v>
      </c>
      <c r="C1588">
        <v>180000</v>
      </c>
      <c r="D1588" t="s">
        <v>46</v>
      </c>
      <c r="E1588" t="s">
        <v>20</v>
      </c>
      <c r="F1588" t="s">
        <v>39</v>
      </c>
      <c r="G1588" t="s">
        <v>22</v>
      </c>
      <c r="H1588" t="s">
        <v>28</v>
      </c>
      <c r="I1588" t="s">
        <v>24</v>
      </c>
      <c r="J1588">
        <v>151200</v>
      </c>
      <c r="K1588">
        <v>0</v>
      </c>
      <c r="L1588" t="s">
        <v>38</v>
      </c>
      <c r="M1588" t="s">
        <v>26</v>
      </c>
      <c r="N1588" t="s">
        <v>27</v>
      </c>
      <c r="O1588" t="s">
        <v>28</v>
      </c>
      <c r="P1588" t="s">
        <v>26</v>
      </c>
      <c r="Q1588">
        <v>0</v>
      </c>
    </row>
    <row r="1589" spans="1:17" x14ac:dyDescent="0.25">
      <c r="A1589" t="s">
        <v>29</v>
      </c>
      <c r="B1589" t="s">
        <v>18</v>
      </c>
      <c r="C1589">
        <v>103500</v>
      </c>
      <c r="D1589" t="s">
        <v>19</v>
      </c>
      <c r="E1589" t="s">
        <v>20</v>
      </c>
      <c r="F1589" t="s">
        <v>32</v>
      </c>
      <c r="G1589" t="s">
        <v>22</v>
      </c>
      <c r="H1589" t="s">
        <v>23</v>
      </c>
      <c r="I1589" t="s">
        <v>24</v>
      </c>
      <c r="J1589">
        <v>148320</v>
      </c>
      <c r="K1589">
        <v>0</v>
      </c>
      <c r="L1589" t="s">
        <v>51</v>
      </c>
      <c r="M1589" t="s">
        <v>26</v>
      </c>
      <c r="N1589" t="s">
        <v>27</v>
      </c>
      <c r="O1589" t="s">
        <v>35</v>
      </c>
      <c r="P1589" t="s">
        <v>26</v>
      </c>
      <c r="Q1589">
        <v>0</v>
      </c>
    </row>
    <row r="1590" spans="1:17" x14ac:dyDescent="0.25">
      <c r="A1590" t="s">
        <v>29</v>
      </c>
      <c r="B1590" t="s">
        <v>18</v>
      </c>
      <c r="C1590">
        <v>103500</v>
      </c>
      <c r="D1590" t="s">
        <v>19</v>
      </c>
      <c r="E1590" t="s">
        <v>20</v>
      </c>
      <c r="F1590" t="s">
        <v>32</v>
      </c>
      <c r="G1590" t="s">
        <v>22</v>
      </c>
      <c r="H1590" t="s">
        <v>23</v>
      </c>
      <c r="I1590" t="s">
        <v>24</v>
      </c>
      <c r="J1590">
        <v>30177</v>
      </c>
      <c r="K1590">
        <v>3060</v>
      </c>
      <c r="L1590" t="s">
        <v>42</v>
      </c>
      <c r="M1590" t="s">
        <v>26</v>
      </c>
      <c r="N1590" t="s">
        <v>27</v>
      </c>
      <c r="O1590" t="s">
        <v>35</v>
      </c>
      <c r="P1590" t="s">
        <v>26</v>
      </c>
      <c r="Q1590">
        <v>0</v>
      </c>
    </row>
    <row r="1591" spans="1:17" x14ac:dyDescent="0.25">
      <c r="A1591" t="s">
        <v>29</v>
      </c>
      <c r="B1591" t="s">
        <v>18</v>
      </c>
      <c r="C1591">
        <v>202500</v>
      </c>
      <c r="D1591" t="s">
        <v>30</v>
      </c>
      <c r="E1591" t="s">
        <v>20</v>
      </c>
      <c r="F1591" t="s">
        <v>32</v>
      </c>
      <c r="G1591" t="s">
        <v>22</v>
      </c>
      <c r="H1591" t="s">
        <v>37</v>
      </c>
      <c r="I1591" t="s">
        <v>66</v>
      </c>
      <c r="J1591">
        <v>90000</v>
      </c>
      <c r="K1591">
        <v>0</v>
      </c>
      <c r="L1591" t="s">
        <v>51</v>
      </c>
      <c r="M1591" t="s">
        <v>28</v>
      </c>
      <c r="N1591" t="s">
        <v>58</v>
      </c>
      <c r="O1591" t="s">
        <v>28</v>
      </c>
      <c r="P1591" t="s">
        <v>60</v>
      </c>
      <c r="Q1591">
        <v>1</v>
      </c>
    </row>
    <row r="1592" spans="1:17" x14ac:dyDescent="0.25">
      <c r="A1592" t="s">
        <v>29</v>
      </c>
      <c r="B1592" t="s">
        <v>18</v>
      </c>
      <c r="C1592">
        <v>202500</v>
      </c>
      <c r="D1592" t="s">
        <v>30</v>
      </c>
      <c r="E1592" t="s">
        <v>20</v>
      </c>
      <c r="F1592" t="s">
        <v>32</v>
      </c>
      <c r="G1592" t="s">
        <v>22</v>
      </c>
      <c r="H1592" t="s">
        <v>37</v>
      </c>
      <c r="I1592" t="s">
        <v>66</v>
      </c>
      <c r="J1592">
        <v>67500</v>
      </c>
      <c r="K1592">
        <v>0</v>
      </c>
      <c r="L1592" t="s">
        <v>51</v>
      </c>
      <c r="M1592" t="s">
        <v>28</v>
      </c>
      <c r="N1592" t="s">
        <v>27</v>
      </c>
      <c r="O1592" t="s">
        <v>28</v>
      </c>
      <c r="P1592" t="s">
        <v>26</v>
      </c>
      <c r="Q1592">
        <v>0</v>
      </c>
    </row>
    <row r="1593" spans="1:17" x14ac:dyDescent="0.25">
      <c r="A1593" t="s">
        <v>29</v>
      </c>
      <c r="B1593" t="s">
        <v>18</v>
      </c>
      <c r="C1593">
        <v>202500</v>
      </c>
      <c r="D1593" t="s">
        <v>30</v>
      </c>
      <c r="E1593" t="s">
        <v>20</v>
      </c>
      <c r="F1593" t="s">
        <v>32</v>
      </c>
      <c r="G1593" t="s">
        <v>22</v>
      </c>
      <c r="H1593" t="s">
        <v>37</v>
      </c>
      <c r="I1593" t="s">
        <v>66</v>
      </c>
      <c r="J1593">
        <v>67500</v>
      </c>
      <c r="K1593">
        <v>0</v>
      </c>
      <c r="L1593" t="s">
        <v>51</v>
      </c>
      <c r="M1593" t="s">
        <v>28</v>
      </c>
      <c r="N1593" t="s">
        <v>27</v>
      </c>
      <c r="O1593" t="s">
        <v>28</v>
      </c>
      <c r="P1593" t="s">
        <v>26</v>
      </c>
      <c r="Q1593">
        <v>0</v>
      </c>
    </row>
    <row r="1594" spans="1:17" x14ac:dyDescent="0.25">
      <c r="A1594" t="s">
        <v>29</v>
      </c>
      <c r="B1594" t="s">
        <v>18</v>
      </c>
      <c r="C1594">
        <v>202500</v>
      </c>
      <c r="D1594" t="s">
        <v>30</v>
      </c>
      <c r="E1594" t="s">
        <v>20</v>
      </c>
      <c r="F1594" t="s">
        <v>32</v>
      </c>
      <c r="G1594" t="s">
        <v>22</v>
      </c>
      <c r="H1594" t="s">
        <v>37</v>
      </c>
      <c r="I1594" t="s">
        <v>66</v>
      </c>
      <c r="J1594">
        <v>270000</v>
      </c>
      <c r="K1594">
        <v>0</v>
      </c>
      <c r="L1594" t="s">
        <v>42</v>
      </c>
      <c r="M1594" t="s">
        <v>28</v>
      </c>
      <c r="N1594" t="s">
        <v>27</v>
      </c>
      <c r="O1594" t="s">
        <v>28</v>
      </c>
      <c r="P1594" t="s">
        <v>26</v>
      </c>
      <c r="Q1594">
        <v>0</v>
      </c>
    </row>
    <row r="1595" spans="1:17" x14ac:dyDescent="0.25">
      <c r="A1595" t="s">
        <v>29</v>
      </c>
      <c r="B1595" t="s">
        <v>18</v>
      </c>
      <c r="C1595">
        <v>112500</v>
      </c>
      <c r="D1595" t="s">
        <v>44</v>
      </c>
      <c r="E1595" t="s">
        <v>20</v>
      </c>
      <c r="F1595" t="s">
        <v>39</v>
      </c>
      <c r="G1595" t="s">
        <v>22</v>
      </c>
      <c r="H1595" t="s">
        <v>49</v>
      </c>
      <c r="I1595" t="s">
        <v>24</v>
      </c>
      <c r="J1595">
        <v>30330</v>
      </c>
      <c r="K1595">
        <v>3033</v>
      </c>
      <c r="L1595" t="s">
        <v>38</v>
      </c>
      <c r="M1595" t="s">
        <v>26</v>
      </c>
      <c r="N1595" t="s">
        <v>27</v>
      </c>
      <c r="O1595" t="s">
        <v>35</v>
      </c>
      <c r="P1595" t="s">
        <v>26</v>
      </c>
      <c r="Q1595">
        <v>0</v>
      </c>
    </row>
    <row r="1596" spans="1:17" x14ac:dyDescent="0.25">
      <c r="A1596" t="s">
        <v>29</v>
      </c>
      <c r="B1596" t="s">
        <v>18</v>
      </c>
      <c r="C1596">
        <v>112500</v>
      </c>
      <c r="D1596" t="s">
        <v>44</v>
      </c>
      <c r="E1596" t="s">
        <v>20</v>
      </c>
      <c r="F1596" t="s">
        <v>39</v>
      </c>
      <c r="G1596" t="s">
        <v>22</v>
      </c>
      <c r="H1596" t="s">
        <v>49</v>
      </c>
      <c r="I1596" t="s">
        <v>24</v>
      </c>
      <c r="J1596">
        <v>234292.5</v>
      </c>
      <c r="K1596">
        <v>0</v>
      </c>
      <c r="L1596" t="s">
        <v>42</v>
      </c>
      <c r="M1596" t="s">
        <v>26</v>
      </c>
      <c r="N1596" t="s">
        <v>27</v>
      </c>
      <c r="O1596" t="s">
        <v>35</v>
      </c>
      <c r="P1596" t="s">
        <v>26</v>
      </c>
      <c r="Q1596">
        <v>0</v>
      </c>
    </row>
    <row r="1597" spans="1:17" x14ac:dyDescent="0.25">
      <c r="A1597" t="s">
        <v>29</v>
      </c>
      <c r="B1597" t="s">
        <v>18</v>
      </c>
      <c r="C1597">
        <v>99000</v>
      </c>
      <c r="D1597" t="s">
        <v>19</v>
      </c>
      <c r="E1597" t="s">
        <v>20</v>
      </c>
      <c r="F1597" t="s">
        <v>54</v>
      </c>
      <c r="G1597" t="s">
        <v>22</v>
      </c>
      <c r="H1597" t="s">
        <v>49</v>
      </c>
      <c r="I1597" t="s">
        <v>24</v>
      </c>
      <c r="J1597">
        <v>38763</v>
      </c>
      <c r="K1597">
        <v>3870</v>
      </c>
      <c r="L1597" t="s">
        <v>51</v>
      </c>
      <c r="M1597" t="s">
        <v>26</v>
      </c>
      <c r="N1597" t="s">
        <v>27</v>
      </c>
      <c r="O1597" t="s">
        <v>35</v>
      </c>
      <c r="P1597" t="s">
        <v>26</v>
      </c>
      <c r="Q1597">
        <v>0</v>
      </c>
    </row>
    <row r="1598" spans="1:17" x14ac:dyDescent="0.25">
      <c r="A1598" t="s">
        <v>29</v>
      </c>
      <c r="B1598" t="s">
        <v>18</v>
      </c>
      <c r="C1598">
        <v>99000</v>
      </c>
      <c r="D1598" t="s">
        <v>19</v>
      </c>
      <c r="E1598" t="s">
        <v>20</v>
      </c>
      <c r="F1598" t="s">
        <v>54</v>
      </c>
      <c r="G1598" t="s">
        <v>22</v>
      </c>
      <c r="H1598" t="s">
        <v>49</v>
      </c>
      <c r="I1598" t="s">
        <v>24</v>
      </c>
      <c r="J1598">
        <v>105057</v>
      </c>
      <c r="K1598">
        <v>11250</v>
      </c>
      <c r="L1598" t="s">
        <v>34</v>
      </c>
      <c r="M1598" t="s">
        <v>26</v>
      </c>
      <c r="N1598" t="s">
        <v>58</v>
      </c>
      <c r="O1598" t="s">
        <v>35</v>
      </c>
      <c r="P1598" t="s">
        <v>60</v>
      </c>
      <c r="Q1598">
        <v>1</v>
      </c>
    </row>
    <row r="1599" spans="1:17" x14ac:dyDescent="0.25">
      <c r="A1599" t="s">
        <v>29</v>
      </c>
      <c r="B1599" t="s">
        <v>18</v>
      </c>
      <c r="C1599">
        <v>99000</v>
      </c>
      <c r="D1599" t="s">
        <v>19</v>
      </c>
      <c r="E1599" t="s">
        <v>20</v>
      </c>
      <c r="F1599" t="s">
        <v>54</v>
      </c>
      <c r="G1599" t="s">
        <v>22</v>
      </c>
      <c r="H1599" t="s">
        <v>49</v>
      </c>
      <c r="I1599" t="s">
        <v>24</v>
      </c>
      <c r="J1599">
        <v>51885</v>
      </c>
      <c r="K1599">
        <v>9000</v>
      </c>
      <c r="L1599" t="s">
        <v>51</v>
      </c>
      <c r="M1599" t="s">
        <v>26</v>
      </c>
      <c r="N1599" t="s">
        <v>27</v>
      </c>
      <c r="O1599" t="s">
        <v>35</v>
      </c>
      <c r="P1599" t="s">
        <v>26</v>
      </c>
      <c r="Q1599">
        <v>0</v>
      </c>
    </row>
    <row r="1600" spans="1:17" x14ac:dyDescent="0.25">
      <c r="A1600" t="s">
        <v>29</v>
      </c>
      <c r="B1600" t="s">
        <v>18</v>
      </c>
      <c r="C1600">
        <v>99000</v>
      </c>
      <c r="D1600" t="s">
        <v>19</v>
      </c>
      <c r="E1600" t="s">
        <v>20</v>
      </c>
      <c r="F1600" t="s">
        <v>54</v>
      </c>
      <c r="G1600" t="s">
        <v>22</v>
      </c>
      <c r="H1600" t="s">
        <v>49</v>
      </c>
      <c r="I1600" t="s">
        <v>24</v>
      </c>
      <c r="J1600">
        <v>105057</v>
      </c>
      <c r="K1600">
        <v>15057</v>
      </c>
      <c r="L1600" t="s">
        <v>34</v>
      </c>
      <c r="M1600" t="s">
        <v>26</v>
      </c>
      <c r="N1600" t="s">
        <v>27</v>
      </c>
      <c r="O1600" t="s">
        <v>35</v>
      </c>
      <c r="P1600" t="s">
        <v>26</v>
      </c>
      <c r="Q1600">
        <v>0</v>
      </c>
    </row>
    <row r="1601" spans="1:17" x14ac:dyDescent="0.25">
      <c r="A1601" t="s">
        <v>29</v>
      </c>
      <c r="B1601" t="s">
        <v>18</v>
      </c>
      <c r="C1601">
        <v>99000</v>
      </c>
      <c r="D1601" t="s">
        <v>19</v>
      </c>
      <c r="E1601" t="s">
        <v>20</v>
      </c>
      <c r="F1601" t="s">
        <v>54</v>
      </c>
      <c r="G1601" t="s">
        <v>22</v>
      </c>
      <c r="H1601" t="s">
        <v>49</v>
      </c>
      <c r="I1601" t="s">
        <v>24</v>
      </c>
      <c r="J1601">
        <v>30960</v>
      </c>
      <c r="K1601">
        <v>3105</v>
      </c>
      <c r="L1601" t="s">
        <v>25</v>
      </c>
      <c r="M1601" t="s">
        <v>26</v>
      </c>
      <c r="N1601" t="s">
        <v>27</v>
      </c>
      <c r="O1601" t="s">
        <v>35</v>
      </c>
      <c r="P1601" t="s">
        <v>26</v>
      </c>
      <c r="Q1601">
        <v>0</v>
      </c>
    </row>
    <row r="1602" spans="1:17" x14ac:dyDescent="0.25">
      <c r="A1602" t="s">
        <v>29</v>
      </c>
      <c r="B1602" t="s">
        <v>18</v>
      </c>
      <c r="C1602">
        <v>99000</v>
      </c>
      <c r="D1602" t="s">
        <v>19</v>
      </c>
      <c r="E1602" t="s">
        <v>20</v>
      </c>
      <c r="F1602" t="s">
        <v>54</v>
      </c>
      <c r="G1602" t="s">
        <v>22</v>
      </c>
      <c r="H1602" t="s">
        <v>49</v>
      </c>
      <c r="I1602" t="s">
        <v>24</v>
      </c>
      <c r="J1602">
        <v>26946</v>
      </c>
      <c r="K1602">
        <v>2695.5</v>
      </c>
      <c r="L1602" t="s">
        <v>51</v>
      </c>
      <c r="M1602" t="s">
        <v>26</v>
      </c>
      <c r="N1602" t="s">
        <v>27</v>
      </c>
      <c r="O1602" t="s">
        <v>35</v>
      </c>
      <c r="P1602" t="s">
        <v>26</v>
      </c>
      <c r="Q1602">
        <v>0</v>
      </c>
    </row>
    <row r="1603" spans="1:17" x14ac:dyDescent="0.25">
      <c r="A1603" t="s">
        <v>29</v>
      </c>
      <c r="B1603" t="s">
        <v>18</v>
      </c>
      <c r="C1603">
        <v>45000</v>
      </c>
      <c r="D1603" t="s">
        <v>46</v>
      </c>
      <c r="E1603" t="s">
        <v>20</v>
      </c>
      <c r="F1603" t="s">
        <v>32</v>
      </c>
      <c r="G1603" t="s">
        <v>22</v>
      </c>
      <c r="H1603" t="s">
        <v>28</v>
      </c>
      <c r="I1603" t="s">
        <v>24</v>
      </c>
      <c r="J1603">
        <v>92389.5</v>
      </c>
      <c r="K1603">
        <v>4500</v>
      </c>
      <c r="L1603" t="s">
        <v>51</v>
      </c>
      <c r="M1603" t="s">
        <v>26</v>
      </c>
      <c r="N1603" t="s">
        <v>27</v>
      </c>
      <c r="O1603" t="s">
        <v>35</v>
      </c>
      <c r="P1603" t="s">
        <v>26</v>
      </c>
      <c r="Q1603">
        <v>0</v>
      </c>
    </row>
    <row r="1604" spans="1:17" x14ac:dyDescent="0.25">
      <c r="A1604" t="s">
        <v>17</v>
      </c>
      <c r="B1604" t="s">
        <v>36</v>
      </c>
      <c r="C1604">
        <v>310500</v>
      </c>
      <c r="D1604" t="s">
        <v>44</v>
      </c>
      <c r="E1604" t="s">
        <v>31</v>
      </c>
      <c r="F1604" t="s">
        <v>32</v>
      </c>
      <c r="G1604" t="s">
        <v>22</v>
      </c>
      <c r="H1604" t="s">
        <v>49</v>
      </c>
      <c r="I1604" t="s">
        <v>24</v>
      </c>
      <c r="J1604">
        <v>54414</v>
      </c>
      <c r="K1604">
        <v>0</v>
      </c>
      <c r="L1604" t="s">
        <v>51</v>
      </c>
      <c r="M1604" t="s">
        <v>26</v>
      </c>
      <c r="N1604" t="s">
        <v>27</v>
      </c>
      <c r="O1604" t="s">
        <v>35</v>
      </c>
      <c r="P1604" t="s">
        <v>26</v>
      </c>
      <c r="Q1604">
        <v>0</v>
      </c>
    </row>
    <row r="1605" spans="1:17" x14ac:dyDescent="0.25">
      <c r="A1605" t="s">
        <v>17</v>
      </c>
      <c r="B1605" t="s">
        <v>36</v>
      </c>
      <c r="C1605">
        <v>310500</v>
      </c>
      <c r="D1605" t="s">
        <v>44</v>
      </c>
      <c r="E1605" t="s">
        <v>31</v>
      </c>
      <c r="F1605" t="s">
        <v>32</v>
      </c>
      <c r="G1605" t="s">
        <v>22</v>
      </c>
      <c r="H1605" t="s">
        <v>49</v>
      </c>
      <c r="I1605" t="s">
        <v>24</v>
      </c>
      <c r="J1605">
        <v>195160.5</v>
      </c>
      <c r="K1605">
        <v>39033</v>
      </c>
      <c r="L1605" t="s">
        <v>43</v>
      </c>
      <c r="M1605" t="s">
        <v>26</v>
      </c>
      <c r="N1605" t="s">
        <v>27</v>
      </c>
      <c r="O1605" t="s">
        <v>35</v>
      </c>
      <c r="P1605" t="s">
        <v>26</v>
      </c>
      <c r="Q1605">
        <v>0</v>
      </c>
    </row>
    <row r="1606" spans="1:17" x14ac:dyDescent="0.25">
      <c r="A1606" t="s">
        <v>29</v>
      </c>
      <c r="B1606" t="s">
        <v>18</v>
      </c>
      <c r="C1606">
        <v>81000</v>
      </c>
      <c r="D1606" t="s">
        <v>44</v>
      </c>
      <c r="E1606" t="s">
        <v>20</v>
      </c>
      <c r="F1606" t="s">
        <v>32</v>
      </c>
      <c r="G1606" t="s">
        <v>22</v>
      </c>
      <c r="H1606" t="s">
        <v>23</v>
      </c>
      <c r="I1606" t="s">
        <v>24</v>
      </c>
      <c r="J1606">
        <v>66150</v>
      </c>
      <c r="K1606">
        <v>18000</v>
      </c>
      <c r="L1606" t="s">
        <v>34</v>
      </c>
      <c r="M1606" t="s">
        <v>26</v>
      </c>
      <c r="N1606" t="s">
        <v>58</v>
      </c>
      <c r="O1606" t="s">
        <v>35</v>
      </c>
      <c r="P1606" t="s">
        <v>60</v>
      </c>
      <c r="Q1606">
        <v>1</v>
      </c>
    </row>
    <row r="1607" spans="1:17" x14ac:dyDescent="0.25">
      <c r="A1607" t="s">
        <v>29</v>
      </c>
      <c r="B1607" t="s">
        <v>18</v>
      </c>
      <c r="C1607">
        <v>81000</v>
      </c>
      <c r="D1607" t="s">
        <v>44</v>
      </c>
      <c r="E1607" t="s">
        <v>20</v>
      </c>
      <c r="F1607" t="s">
        <v>32</v>
      </c>
      <c r="G1607" t="s">
        <v>22</v>
      </c>
      <c r="H1607" t="s">
        <v>23</v>
      </c>
      <c r="I1607" t="s">
        <v>24</v>
      </c>
      <c r="J1607">
        <v>21510</v>
      </c>
      <c r="K1607">
        <v>0</v>
      </c>
      <c r="L1607" t="s">
        <v>34</v>
      </c>
      <c r="M1607" t="s">
        <v>26</v>
      </c>
      <c r="N1607" t="s">
        <v>76</v>
      </c>
      <c r="O1607" t="s">
        <v>35</v>
      </c>
      <c r="P1607" t="s">
        <v>77</v>
      </c>
      <c r="Q1607">
        <v>0</v>
      </c>
    </row>
    <row r="1608" spans="1:17" x14ac:dyDescent="0.25">
      <c r="A1608" t="s">
        <v>29</v>
      </c>
      <c r="B1608" t="s">
        <v>18</v>
      </c>
      <c r="C1608">
        <v>81000</v>
      </c>
      <c r="D1608" t="s">
        <v>44</v>
      </c>
      <c r="E1608" t="s">
        <v>20</v>
      </c>
      <c r="F1608" t="s">
        <v>32</v>
      </c>
      <c r="G1608" t="s">
        <v>22</v>
      </c>
      <c r="H1608" t="s">
        <v>23</v>
      </c>
      <c r="I1608" t="s">
        <v>24</v>
      </c>
      <c r="J1608">
        <v>27783</v>
      </c>
      <c r="K1608">
        <v>3150</v>
      </c>
      <c r="L1608" t="s">
        <v>34</v>
      </c>
      <c r="M1608" t="s">
        <v>26</v>
      </c>
      <c r="N1608" t="s">
        <v>27</v>
      </c>
      <c r="O1608" t="s">
        <v>35</v>
      </c>
      <c r="P1608" t="s">
        <v>26</v>
      </c>
      <c r="Q1608">
        <v>0</v>
      </c>
    </row>
    <row r="1609" spans="1:17" x14ac:dyDescent="0.25">
      <c r="A1609" t="s">
        <v>29</v>
      </c>
      <c r="B1609" t="s">
        <v>18</v>
      </c>
      <c r="C1609">
        <v>81000</v>
      </c>
      <c r="D1609" t="s">
        <v>44</v>
      </c>
      <c r="E1609" t="s">
        <v>20</v>
      </c>
      <c r="F1609" t="s">
        <v>32</v>
      </c>
      <c r="G1609" t="s">
        <v>22</v>
      </c>
      <c r="H1609" t="s">
        <v>23</v>
      </c>
      <c r="I1609" t="s">
        <v>24</v>
      </c>
      <c r="J1609">
        <v>29349</v>
      </c>
      <c r="K1609">
        <v>0</v>
      </c>
      <c r="L1609" t="s">
        <v>34</v>
      </c>
      <c r="M1609" t="s">
        <v>26</v>
      </c>
      <c r="N1609" t="s">
        <v>27</v>
      </c>
      <c r="O1609" t="s">
        <v>35</v>
      </c>
      <c r="P1609" t="s">
        <v>26</v>
      </c>
      <c r="Q1609">
        <v>0</v>
      </c>
    </row>
    <row r="1610" spans="1:17" x14ac:dyDescent="0.25">
      <c r="A1610" t="s">
        <v>29</v>
      </c>
      <c r="B1610" t="s">
        <v>18</v>
      </c>
      <c r="C1610">
        <v>81000</v>
      </c>
      <c r="D1610" t="s">
        <v>44</v>
      </c>
      <c r="E1610" t="s">
        <v>20</v>
      </c>
      <c r="F1610" t="s">
        <v>32</v>
      </c>
      <c r="G1610" t="s">
        <v>22</v>
      </c>
      <c r="H1610" t="s">
        <v>23</v>
      </c>
      <c r="I1610" t="s">
        <v>24</v>
      </c>
      <c r="J1610">
        <v>68076</v>
      </c>
      <c r="K1610">
        <v>22500</v>
      </c>
      <c r="L1610" t="s">
        <v>43</v>
      </c>
      <c r="M1610" t="s">
        <v>26</v>
      </c>
      <c r="N1610" t="s">
        <v>58</v>
      </c>
      <c r="O1610" t="s">
        <v>28</v>
      </c>
      <c r="P1610" t="s">
        <v>60</v>
      </c>
      <c r="Q1610">
        <v>1</v>
      </c>
    </row>
    <row r="1611" spans="1:17" x14ac:dyDescent="0.25">
      <c r="A1611" t="s">
        <v>29</v>
      </c>
      <c r="B1611" t="s">
        <v>36</v>
      </c>
      <c r="C1611">
        <v>135000</v>
      </c>
      <c r="D1611" t="s">
        <v>44</v>
      </c>
      <c r="E1611" t="s">
        <v>20</v>
      </c>
      <c r="F1611" t="s">
        <v>32</v>
      </c>
      <c r="G1611" t="s">
        <v>22</v>
      </c>
      <c r="H1611" t="s">
        <v>92</v>
      </c>
      <c r="I1611" t="s">
        <v>24</v>
      </c>
      <c r="J1611">
        <v>80401.5</v>
      </c>
      <c r="K1611">
        <v>0</v>
      </c>
      <c r="L1611" t="s">
        <v>42</v>
      </c>
      <c r="M1611" t="s">
        <v>26</v>
      </c>
      <c r="N1611" t="s">
        <v>27</v>
      </c>
      <c r="O1611" t="s">
        <v>28</v>
      </c>
      <c r="P1611" t="s">
        <v>26</v>
      </c>
      <c r="Q1611">
        <v>0</v>
      </c>
    </row>
    <row r="1612" spans="1:17" x14ac:dyDescent="0.25">
      <c r="A1612" t="s">
        <v>29</v>
      </c>
      <c r="B1612" t="s">
        <v>36</v>
      </c>
      <c r="C1612">
        <v>135000</v>
      </c>
      <c r="D1612" t="s">
        <v>30</v>
      </c>
      <c r="E1612" t="s">
        <v>31</v>
      </c>
      <c r="F1612" t="s">
        <v>32</v>
      </c>
      <c r="G1612" t="s">
        <v>22</v>
      </c>
      <c r="H1612" t="s">
        <v>33</v>
      </c>
      <c r="I1612" t="s">
        <v>24</v>
      </c>
      <c r="J1612">
        <v>222024.19500000001</v>
      </c>
      <c r="K1612">
        <v>19317.195</v>
      </c>
      <c r="L1612" t="s">
        <v>42</v>
      </c>
      <c r="M1612" t="s">
        <v>26</v>
      </c>
      <c r="N1612" t="s">
        <v>27</v>
      </c>
      <c r="O1612" t="s">
        <v>35</v>
      </c>
      <c r="P1612" t="s">
        <v>26</v>
      </c>
      <c r="Q1612">
        <v>0</v>
      </c>
    </row>
    <row r="1613" spans="1:17" x14ac:dyDescent="0.25">
      <c r="A1613" t="s">
        <v>29</v>
      </c>
      <c r="B1613" t="s">
        <v>36</v>
      </c>
      <c r="C1613">
        <v>135000</v>
      </c>
      <c r="D1613" t="s">
        <v>30</v>
      </c>
      <c r="E1613" t="s">
        <v>31</v>
      </c>
      <c r="F1613" t="s">
        <v>32</v>
      </c>
      <c r="G1613" t="s">
        <v>22</v>
      </c>
      <c r="H1613" t="s">
        <v>33</v>
      </c>
      <c r="I1613" t="s">
        <v>24</v>
      </c>
      <c r="J1613">
        <v>141669</v>
      </c>
      <c r="K1613">
        <v>0</v>
      </c>
      <c r="L1613" t="s">
        <v>43</v>
      </c>
      <c r="M1613" t="s">
        <v>26</v>
      </c>
      <c r="N1613" t="s">
        <v>76</v>
      </c>
      <c r="O1613" t="s">
        <v>35</v>
      </c>
      <c r="P1613" t="s">
        <v>77</v>
      </c>
      <c r="Q1613">
        <v>0</v>
      </c>
    </row>
    <row r="1614" spans="1:17" x14ac:dyDescent="0.25">
      <c r="A1614" t="s">
        <v>29</v>
      </c>
      <c r="B1614" t="s">
        <v>36</v>
      </c>
      <c r="C1614">
        <v>135000</v>
      </c>
      <c r="D1614" t="s">
        <v>30</v>
      </c>
      <c r="E1614" t="s">
        <v>31</v>
      </c>
      <c r="F1614" t="s">
        <v>32</v>
      </c>
      <c r="G1614" t="s">
        <v>22</v>
      </c>
      <c r="H1614" t="s">
        <v>33</v>
      </c>
      <c r="I1614" t="s">
        <v>24</v>
      </c>
      <c r="J1614">
        <v>95580</v>
      </c>
      <c r="K1614">
        <v>0</v>
      </c>
      <c r="L1614" t="s">
        <v>43</v>
      </c>
      <c r="M1614" t="s">
        <v>26</v>
      </c>
      <c r="N1614" t="s">
        <v>76</v>
      </c>
      <c r="O1614" t="s">
        <v>35</v>
      </c>
      <c r="P1614" t="s">
        <v>77</v>
      </c>
      <c r="Q1614">
        <v>0</v>
      </c>
    </row>
    <row r="1615" spans="1:17" x14ac:dyDescent="0.25">
      <c r="A1615" t="s">
        <v>29</v>
      </c>
      <c r="B1615" t="s">
        <v>18</v>
      </c>
      <c r="C1615">
        <v>180000</v>
      </c>
      <c r="D1615" t="s">
        <v>46</v>
      </c>
      <c r="E1615" t="s">
        <v>20</v>
      </c>
      <c r="F1615" t="s">
        <v>54</v>
      </c>
      <c r="G1615" t="s">
        <v>22</v>
      </c>
      <c r="H1615" t="s">
        <v>28</v>
      </c>
      <c r="I1615" t="s">
        <v>66</v>
      </c>
      <c r="J1615">
        <v>90000</v>
      </c>
      <c r="K1615">
        <v>0</v>
      </c>
      <c r="L1615" t="s">
        <v>43</v>
      </c>
      <c r="M1615" t="s">
        <v>41</v>
      </c>
      <c r="N1615" t="s">
        <v>58</v>
      </c>
      <c r="O1615" t="s">
        <v>35</v>
      </c>
      <c r="P1615" t="s">
        <v>64</v>
      </c>
      <c r="Q1615">
        <v>1</v>
      </c>
    </row>
    <row r="1616" spans="1:17" x14ac:dyDescent="0.25">
      <c r="A1616" t="s">
        <v>29</v>
      </c>
      <c r="B1616" t="s">
        <v>18</v>
      </c>
      <c r="C1616">
        <v>180000</v>
      </c>
      <c r="D1616" t="s">
        <v>46</v>
      </c>
      <c r="E1616" t="s">
        <v>20</v>
      </c>
      <c r="F1616" t="s">
        <v>54</v>
      </c>
      <c r="G1616" t="s">
        <v>22</v>
      </c>
      <c r="H1616" t="s">
        <v>28</v>
      </c>
      <c r="I1616" t="s">
        <v>24</v>
      </c>
      <c r="J1616">
        <v>92700</v>
      </c>
      <c r="K1616">
        <v>0</v>
      </c>
      <c r="L1616" t="s">
        <v>43</v>
      </c>
      <c r="M1616" t="s">
        <v>26</v>
      </c>
      <c r="N1616" t="s">
        <v>27</v>
      </c>
      <c r="O1616" t="s">
        <v>35</v>
      </c>
      <c r="P1616" t="s">
        <v>26</v>
      </c>
      <c r="Q1616">
        <v>0</v>
      </c>
    </row>
    <row r="1617" spans="1:17" x14ac:dyDescent="0.25">
      <c r="A1617" t="s">
        <v>29</v>
      </c>
      <c r="B1617" t="s">
        <v>18</v>
      </c>
      <c r="C1617">
        <v>180000</v>
      </c>
      <c r="D1617" t="s">
        <v>46</v>
      </c>
      <c r="E1617" t="s">
        <v>20</v>
      </c>
      <c r="F1617" t="s">
        <v>54</v>
      </c>
      <c r="G1617" t="s">
        <v>22</v>
      </c>
      <c r="H1617" t="s">
        <v>28</v>
      </c>
      <c r="I1617" t="s">
        <v>24</v>
      </c>
      <c r="J1617">
        <v>121410</v>
      </c>
      <c r="K1617">
        <v>12141</v>
      </c>
      <c r="L1617" t="s">
        <v>25</v>
      </c>
      <c r="M1617" t="s">
        <v>26</v>
      </c>
      <c r="N1617" t="s">
        <v>27</v>
      </c>
      <c r="O1617" t="s">
        <v>35</v>
      </c>
      <c r="P1617" t="s">
        <v>26</v>
      </c>
      <c r="Q1617">
        <v>0</v>
      </c>
    </row>
    <row r="1618" spans="1:17" x14ac:dyDescent="0.25">
      <c r="A1618" t="s">
        <v>29</v>
      </c>
      <c r="B1618" t="s">
        <v>18</v>
      </c>
      <c r="C1618">
        <v>121500</v>
      </c>
      <c r="D1618" t="s">
        <v>19</v>
      </c>
      <c r="E1618" t="s">
        <v>20</v>
      </c>
      <c r="F1618" t="s">
        <v>32</v>
      </c>
      <c r="G1618" t="s">
        <v>22</v>
      </c>
      <c r="H1618" t="s">
        <v>56</v>
      </c>
      <c r="I1618" t="s">
        <v>24</v>
      </c>
      <c r="J1618">
        <v>78300</v>
      </c>
      <c r="K1618">
        <v>0</v>
      </c>
      <c r="L1618" t="s">
        <v>51</v>
      </c>
      <c r="M1618" t="s">
        <v>26</v>
      </c>
      <c r="N1618" t="s">
        <v>27</v>
      </c>
      <c r="O1618" t="s">
        <v>35</v>
      </c>
      <c r="P1618" t="s">
        <v>26</v>
      </c>
      <c r="Q1618">
        <v>0</v>
      </c>
    </row>
    <row r="1619" spans="1:17" x14ac:dyDescent="0.25">
      <c r="A1619" t="s">
        <v>29</v>
      </c>
      <c r="B1619" t="s">
        <v>18</v>
      </c>
      <c r="C1619">
        <v>225000</v>
      </c>
      <c r="D1619" t="s">
        <v>46</v>
      </c>
      <c r="E1619" t="s">
        <v>20</v>
      </c>
      <c r="F1619" t="s">
        <v>32</v>
      </c>
      <c r="G1619" t="s">
        <v>22</v>
      </c>
      <c r="H1619" t="s">
        <v>28</v>
      </c>
      <c r="I1619" t="s">
        <v>24</v>
      </c>
      <c r="J1619">
        <v>152005.5</v>
      </c>
      <c r="K1619">
        <v>13500</v>
      </c>
      <c r="L1619" t="s">
        <v>51</v>
      </c>
      <c r="M1619" t="s">
        <v>26</v>
      </c>
      <c r="N1619" t="s">
        <v>27</v>
      </c>
      <c r="O1619" t="s">
        <v>35</v>
      </c>
      <c r="P1619" t="s">
        <v>26</v>
      </c>
      <c r="Q1619">
        <v>0</v>
      </c>
    </row>
    <row r="1620" spans="1:17" x14ac:dyDescent="0.25">
      <c r="A1620" t="s">
        <v>17</v>
      </c>
      <c r="B1620" t="s">
        <v>36</v>
      </c>
      <c r="C1620">
        <v>270000</v>
      </c>
      <c r="D1620" t="s">
        <v>44</v>
      </c>
      <c r="E1620" t="s">
        <v>20</v>
      </c>
      <c r="F1620" t="s">
        <v>21</v>
      </c>
      <c r="G1620" t="s">
        <v>62</v>
      </c>
      <c r="H1620" t="s">
        <v>49</v>
      </c>
      <c r="I1620" t="s">
        <v>24</v>
      </c>
      <c r="J1620">
        <v>21879</v>
      </c>
      <c r="K1620">
        <v>2191.5</v>
      </c>
      <c r="L1620" t="s">
        <v>34</v>
      </c>
      <c r="M1620" t="s">
        <v>26</v>
      </c>
      <c r="N1620" t="s">
        <v>27</v>
      </c>
      <c r="O1620" t="s">
        <v>83</v>
      </c>
      <c r="P1620" t="s">
        <v>26</v>
      </c>
      <c r="Q1620">
        <v>0</v>
      </c>
    </row>
    <row r="1621" spans="1:17" x14ac:dyDescent="0.25">
      <c r="A1621" t="s">
        <v>29</v>
      </c>
      <c r="B1621" t="s">
        <v>18</v>
      </c>
      <c r="C1621">
        <v>135000</v>
      </c>
      <c r="D1621" t="s">
        <v>46</v>
      </c>
      <c r="E1621" t="s">
        <v>20</v>
      </c>
      <c r="F1621" t="s">
        <v>32</v>
      </c>
      <c r="G1621" t="s">
        <v>22</v>
      </c>
      <c r="H1621" t="s">
        <v>28</v>
      </c>
      <c r="I1621" t="s">
        <v>24</v>
      </c>
      <c r="J1621">
        <v>60075</v>
      </c>
      <c r="K1621">
        <v>6007.5</v>
      </c>
      <c r="L1621" t="s">
        <v>42</v>
      </c>
      <c r="M1621" t="s">
        <v>26</v>
      </c>
      <c r="N1621" t="s">
        <v>27</v>
      </c>
      <c r="O1621" t="s">
        <v>35</v>
      </c>
      <c r="P1621" t="s">
        <v>26</v>
      </c>
      <c r="Q1621">
        <v>0</v>
      </c>
    </row>
    <row r="1622" spans="1:17" x14ac:dyDescent="0.25">
      <c r="A1622" t="s">
        <v>17</v>
      </c>
      <c r="B1622" t="s">
        <v>36</v>
      </c>
      <c r="C1622">
        <v>135000</v>
      </c>
      <c r="D1622" t="s">
        <v>19</v>
      </c>
      <c r="E1622" t="s">
        <v>20</v>
      </c>
      <c r="F1622" t="s">
        <v>32</v>
      </c>
      <c r="G1622" t="s">
        <v>22</v>
      </c>
      <c r="H1622" t="s">
        <v>23</v>
      </c>
      <c r="I1622" t="s">
        <v>24</v>
      </c>
      <c r="J1622">
        <v>31995.45</v>
      </c>
      <c r="K1622">
        <v>6394.95</v>
      </c>
      <c r="L1622" t="s">
        <v>51</v>
      </c>
      <c r="M1622" t="s">
        <v>26</v>
      </c>
      <c r="N1622" t="s">
        <v>27</v>
      </c>
      <c r="O1622" t="s">
        <v>35</v>
      </c>
      <c r="P1622" t="s">
        <v>26</v>
      </c>
      <c r="Q1622">
        <v>0</v>
      </c>
    </row>
    <row r="1623" spans="1:17" x14ac:dyDescent="0.25">
      <c r="A1623" t="s">
        <v>17</v>
      </c>
      <c r="B1623" t="s">
        <v>36</v>
      </c>
      <c r="C1623">
        <v>135000</v>
      </c>
      <c r="D1623" t="s">
        <v>19</v>
      </c>
      <c r="E1623" t="s">
        <v>20</v>
      </c>
      <c r="F1623" t="s">
        <v>32</v>
      </c>
      <c r="G1623" t="s">
        <v>22</v>
      </c>
      <c r="H1623" t="s">
        <v>23</v>
      </c>
      <c r="I1623" t="s">
        <v>24</v>
      </c>
      <c r="J1623">
        <v>72625.5</v>
      </c>
      <c r="K1623">
        <v>13500</v>
      </c>
      <c r="L1623" t="s">
        <v>45</v>
      </c>
      <c r="M1623" t="s">
        <v>26</v>
      </c>
      <c r="N1623" t="s">
        <v>27</v>
      </c>
      <c r="O1623" t="s">
        <v>35</v>
      </c>
      <c r="P1623" t="s">
        <v>26</v>
      </c>
      <c r="Q1623">
        <v>0</v>
      </c>
    </row>
    <row r="1624" spans="1:17" x14ac:dyDescent="0.25">
      <c r="A1624" t="s">
        <v>29</v>
      </c>
      <c r="B1624" t="s">
        <v>36</v>
      </c>
      <c r="C1624">
        <v>157500</v>
      </c>
      <c r="D1624" t="s">
        <v>44</v>
      </c>
      <c r="E1624" t="s">
        <v>70</v>
      </c>
      <c r="F1624" t="s">
        <v>39</v>
      </c>
      <c r="G1624" t="s">
        <v>22</v>
      </c>
      <c r="H1624" t="s">
        <v>48</v>
      </c>
      <c r="I1624" t="s">
        <v>24</v>
      </c>
      <c r="J1624">
        <v>127980</v>
      </c>
      <c r="K1624">
        <v>0</v>
      </c>
      <c r="L1624" t="s">
        <v>42</v>
      </c>
      <c r="M1624" t="s">
        <v>26</v>
      </c>
      <c r="N1624" t="s">
        <v>27</v>
      </c>
      <c r="O1624" t="s">
        <v>35</v>
      </c>
      <c r="P1624" t="s">
        <v>26</v>
      </c>
      <c r="Q1624">
        <v>0</v>
      </c>
    </row>
    <row r="1625" spans="1:17" x14ac:dyDescent="0.25">
      <c r="A1625" t="s">
        <v>29</v>
      </c>
      <c r="B1625" t="s">
        <v>18</v>
      </c>
      <c r="C1625">
        <v>121500</v>
      </c>
      <c r="D1625" t="s">
        <v>44</v>
      </c>
      <c r="E1625" t="s">
        <v>20</v>
      </c>
      <c r="F1625" t="s">
        <v>32</v>
      </c>
      <c r="G1625" t="s">
        <v>22</v>
      </c>
      <c r="H1625" t="s">
        <v>57</v>
      </c>
      <c r="I1625" t="s">
        <v>24</v>
      </c>
      <c r="J1625">
        <v>68706</v>
      </c>
      <c r="K1625">
        <v>0</v>
      </c>
      <c r="L1625" t="s">
        <v>51</v>
      </c>
      <c r="M1625" t="s">
        <v>26</v>
      </c>
      <c r="N1625" t="s">
        <v>27</v>
      </c>
      <c r="O1625" t="s">
        <v>35</v>
      </c>
      <c r="P1625" t="s">
        <v>26</v>
      </c>
      <c r="Q1625">
        <v>0</v>
      </c>
    </row>
    <row r="1626" spans="1:17" x14ac:dyDescent="0.25">
      <c r="A1626" t="s">
        <v>29</v>
      </c>
      <c r="B1626" t="s">
        <v>36</v>
      </c>
      <c r="C1626">
        <v>292500</v>
      </c>
      <c r="D1626" t="s">
        <v>19</v>
      </c>
      <c r="E1626" t="s">
        <v>70</v>
      </c>
      <c r="F1626" t="s">
        <v>21</v>
      </c>
      <c r="G1626" t="s">
        <v>22</v>
      </c>
      <c r="H1626" t="s">
        <v>91</v>
      </c>
      <c r="I1626" t="s">
        <v>24</v>
      </c>
      <c r="J1626">
        <v>24970.5</v>
      </c>
      <c r="K1626">
        <v>0</v>
      </c>
      <c r="L1626" t="s">
        <v>45</v>
      </c>
      <c r="M1626" t="s">
        <v>26</v>
      </c>
      <c r="N1626" t="s">
        <v>27</v>
      </c>
      <c r="O1626" t="s">
        <v>35</v>
      </c>
      <c r="P1626" t="s">
        <v>26</v>
      </c>
      <c r="Q1626">
        <v>0</v>
      </c>
    </row>
    <row r="1627" spans="1:17" x14ac:dyDescent="0.25">
      <c r="A1627" t="s">
        <v>29</v>
      </c>
      <c r="B1627" t="s">
        <v>18</v>
      </c>
      <c r="C1627">
        <v>135000</v>
      </c>
      <c r="D1627" t="s">
        <v>19</v>
      </c>
      <c r="E1627" t="s">
        <v>31</v>
      </c>
      <c r="F1627" t="s">
        <v>32</v>
      </c>
      <c r="G1627" t="s">
        <v>22</v>
      </c>
      <c r="H1627" t="s">
        <v>115</v>
      </c>
      <c r="I1627" t="s">
        <v>24</v>
      </c>
      <c r="J1627">
        <v>44955</v>
      </c>
      <c r="K1627">
        <v>4495.5</v>
      </c>
      <c r="L1627" t="s">
        <v>34</v>
      </c>
      <c r="M1627" t="s">
        <v>26</v>
      </c>
      <c r="N1627" t="s">
        <v>27</v>
      </c>
      <c r="O1627" t="s">
        <v>28</v>
      </c>
      <c r="P1627" t="s">
        <v>26</v>
      </c>
      <c r="Q1627">
        <v>0</v>
      </c>
    </row>
    <row r="1628" spans="1:17" x14ac:dyDescent="0.25">
      <c r="A1628" t="s">
        <v>29</v>
      </c>
      <c r="B1628" t="s">
        <v>18</v>
      </c>
      <c r="C1628">
        <v>135000</v>
      </c>
      <c r="D1628" t="s">
        <v>19</v>
      </c>
      <c r="E1628" t="s">
        <v>31</v>
      </c>
      <c r="F1628" t="s">
        <v>32</v>
      </c>
      <c r="G1628" t="s">
        <v>22</v>
      </c>
      <c r="H1628" t="s">
        <v>115</v>
      </c>
      <c r="I1628" t="s">
        <v>24</v>
      </c>
      <c r="J1628">
        <v>53955</v>
      </c>
      <c r="K1628">
        <v>0</v>
      </c>
      <c r="L1628" t="s">
        <v>34</v>
      </c>
      <c r="M1628" t="s">
        <v>26</v>
      </c>
      <c r="N1628" t="s">
        <v>27</v>
      </c>
      <c r="O1628" t="s">
        <v>35</v>
      </c>
      <c r="P1628" t="s">
        <v>26</v>
      </c>
      <c r="Q1628">
        <v>0</v>
      </c>
    </row>
    <row r="1629" spans="1:17" x14ac:dyDescent="0.25">
      <c r="A1629" t="s">
        <v>29</v>
      </c>
      <c r="B1629" t="s">
        <v>18</v>
      </c>
      <c r="C1629">
        <v>135000</v>
      </c>
      <c r="D1629" t="s">
        <v>19</v>
      </c>
      <c r="E1629" t="s">
        <v>31</v>
      </c>
      <c r="F1629" t="s">
        <v>32</v>
      </c>
      <c r="G1629" t="s">
        <v>22</v>
      </c>
      <c r="H1629" t="s">
        <v>115</v>
      </c>
      <c r="I1629" t="s">
        <v>24</v>
      </c>
      <c r="J1629">
        <v>27859.275000000001</v>
      </c>
      <c r="K1629">
        <v>4.2750000000000004</v>
      </c>
      <c r="L1629" t="s">
        <v>38</v>
      </c>
      <c r="M1629" t="s">
        <v>26</v>
      </c>
      <c r="N1629" t="s">
        <v>27</v>
      </c>
      <c r="O1629" t="s">
        <v>35</v>
      </c>
      <c r="P1629" t="s">
        <v>26</v>
      </c>
      <c r="Q1629">
        <v>0</v>
      </c>
    </row>
    <row r="1630" spans="1:17" x14ac:dyDescent="0.25">
      <c r="A1630" t="s">
        <v>29</v>
      </c>
      <c r="B1630" t="s">
        <v>36</v>
      </c>
      <c r="C1630">
        <v>450000</v>
      </c>
      <c r="D1630" t="s">
        <v>19</v>
      </c>
      <c r="E1630" t="s">
        <v>31</v>
      </c>
      <c r="F1630" t="s">
        <v>21</v>
      </c>
      <c r="G1630" t="s">
        <v>22</v>
      </c>
      <c r="H1630" t="s">
        <v>37</v>
      </c>
      <c r="I1630" t="s">
        <v>24</v>
      </c>
      <c r="J1630">
        <v>311391</v>
      </c>
      <c r="K1630">
        <v>62280</v>
      </c>
      <c r="L1630" t="s">
        <v>25</v>
      </c>
      <c r="M1630" t="s">
        <v>26</v>
      </c>
      <c r="N1630" t="s">
        <v>27</v>
      </c>
      <c r="O1630" t="s">
        <v>35</v>
      </c>
      <c r="P1630" t="s">
        <v>26</v>
      </c>
      <c r="Q1630">
        <v>0</v>
      </c>
    </row>
    <row r="1631" spans="1:17" x14ac:dyDescent="0.25">
      <c r="A1631" t="s">
        <v>29</v>
      </c>
      <c r="B1631" t="s">
        <v>36</v>
      </c>
      <c r="C1631">
        <v>450000</v>
      </c>
      <c r="D1631" t="s">
        <v>19</v>
      </c>
      <c r="E1631" t="s">
        <v>31</v>
      </c>
      <c r="F1631" t="s">
        <v>21</v>
      </c>
      <c r="G1631" t="s">
        <v>22</v>
      </c>
      <c r="H1631" t="s">
        <v>37</v>
      </c>
      <c r="I1631" t="s">
        <v>24</v>
      </c>
      <c r="J1631">
        <v>332910</v>
      </c>
      <c r="K1631">
        <v>0</v>
      </c>
      <c r="L1631" t="s">
        <v>34</v>
      </c>
      <c r="M1631" t="s">
        <v>26</v>
      </c>
      <c r="N1631" t="s">
        <v>27</v>
      </c>
      <c r="O1631" t="s">
        <v>35</v>
      </c>
      <c r="P1631" t="s">
        <v>26</v>
      </c>
      <c r="Q1631">
        <v>0</v>
      </c>
    </row>
    <row r="1632" spans="1:17" x14ac:dyDescent="0.25">
      <c r="A1632" t="s">
        <v>17</v>
      </c>
      <c r="B1632" t="s">
        <v>36</v>
      </c>
      <c r="C1632">
        <v>202500</v>
      </c>
      <c r="D1632" t="s">
        <v>44</v>
      </c>
      <c r="E1632" t="s">
        <v>20</v>
      </c>
      <c r="F1632" t="s">
        <v>32</v>
      </c>
      <c r="G1632" t="s">
        <v>73</v>
      </c>
      <c r="H1632" t="s">
        <v>79</v>
      </c>
      <c r="I1632" t="s">
        <v>24</v>
      </c>
      <c r="J1632">
        <v>59535</v>
      </c>
      <c r="K1632">
        <v>6750</v>
      </c>
      <c r="L1632" t="s">
        <v>51</v>
      </c>
      <c r="M1632" t="s">
        <v>26</v>
      </c>
      <c r="N1632" t="s">
        <v>27</v>
      </c>
      <c r="O1632" t="s">
        <v>35</v>
      </c>
      <c r="P1632" t="s">
        <v>26</v>
      </c>
      <c r="Q1632">
        <v>0</v>
      </c>
    </row>
    <row r="1633" spans="1:17" x14ac:dyDescent="0.25">
      <c r="A1633" t="s">
        <v>29</v>
      </c>
      <c r="B1633" t="s">
        <v>18</v>
      </c>
      <c r="C1633">
        <v>315000</v>
      </c>
      <c r="D1633" t="s">
        <v>44</v>
      </c>
      <c r="E1633" t="s">
        <v>20</v>
      </c>
      <c r="F1633" t="s">
        <v>69</v>
      </c>
      <c r="G1633" t="s">
        <v>22</v>
      </c>
      <c r="H1633" t="s">
        <v>96</v>
      </c>
      <c r="I1633" t="s">
        <v>24</v>
      </c>
      <c r="J1633">
        <v>74704.5</v>
      </c>
      <c r="K1633">
        <v>0</v>
      </c>
      <c r="L1633" t="s">
        <v>25</v>
      </c>
      <c r="M1633" t="s">
        <v>26</v>
      </c>
      <c r="N1633" t="s">
        <v>27</v>
      </c>
      <c r="O1633" t="s">
        <v>35</v>
      </c>
      <c r="P1633" t="s">
        <v>26</v>
      </c>
      <c r="Q1633">
        <v>0</v>
      </c>
    </row>
    <row r="1634" spans="1:17" x14ac:dyDescent="0.25">
      <c r="A1634" t="s">
        <v>29</v>
      </c>
      <c r="B1634" t="s">
        <v>18</v>
      </c>
      <c r="C1634">
        <v>315000</v>
      </c>
      <c r="D1634" t="s">
        <v>44</v>
      </c>
      <c r="E1634" t="s">
        <v>20</v>
      </c>
      <c r="F1634" t="s">
        <v>69</v>
      </c>
      <c r="G1634" t="s">
        <v>22</v>
      </c>
      <c r="H1634" t="s">
        <v>96</v>
      </c>
      <c r="I1634" t="s">
        <v>24</v>
      </c>
      <c r="J1634">
        <v>152622</v>
      </c>
      <c r="K1634">
        <v>0</v>
      </c>
      <c r="L1634" t="s">
        <v>45</v>
      </c>
      <c r="M1634" t="s">
        <v>26</v>
      </c>
      <c r="N1634" t="s">
        <v>58</v>
      </c>
      <c r="O1634" t="s">
        <v>35</v>
      </c>
      <c r="P1634" t="s">
        <v>64</v>
      </c>
      <c r="Q1634">
        <v>1</v>
      </c>
    </row>
    <row r="1635" spans="1:17" x14ac:dyDescent="0.25">
      <c r="A1635" t="s">
        <v>29</v>
      </c>
      <c r="B1635" t="s">
        <v>18</v>
      </c>
      <c r="C1635">
        <v>315000</v>
      </c>
      <c r="D1635" t="s">
        <v>44</v>
      </c>
      <c r="E1635" t="s">
        <v>20</v>
      </c>
      <c r="F1635" t="s">
        <v>69</v>
      </c>
      <c r="G1635" t="s">
        <v>22</v>
      </c>
      <c r="H1635" t="s">
        <v>96</v>
      </c>
      <c r="I1635" t="s">
        <v>24</v>
      </c>
      <c r="J1635">
        <v>152622</v>
      </c>
      <c r="K1635">
        <v>0</v>
      </c>
      <c r="L1635" t="s">
        <v>45</v>
      </c>
      <c r="M1635" t="s">
        <v>26</v>
      </c>
      <c r="N1635" t="s">
        <v>58</v>
      </c>
      <c r="O1635" t="s">
        <v>35</v>
      </c>
      <c r="P1635" t="s">
        <v>64</v>
      </c>
      <c r="Q1635">
        <v>1</v>
      </c>
    </row>
    <row r="1636" spans="1:17" x14ac:dyDescent="0.25">
      <c r="A1636" t="s">
        <v>29</v>
      </c>
      <c r="B1636" t="s">
        <v>18</v>
      </c>
      <c r="C1636">
        <v>315000</v>
      </c>
      <c r="D1636" t="s">
        <v>44</v>
      </c>
      <c r="E1636" t="s">
        <v>20</v>
      </c>
      <c r="F1636" t="s">
        <v>69</v>
      </c>
      <c r="G1636" t="s">
        <v>22</v>
      </c>
      <c r="H1636" t="s">
        <v>96</v>
      </c>
      <c r="I1636" t="s">
        <v>24</v>
      </c>
      <c r="J1636">
        <v>157653</v>
      </c>
      <c r="K1636">
        <v>15768</v>
      </c>
      <c r="L1636" t="s">
        <v>45</v>
      </c>
      <c r="M1636" t="s">
        <v>26</v>
      </c>
      <c r="N1636" t="s">
        <v>27</v>
      </c>
      <c r="O1636" t="s">
        <v>35</v>
      </c>
      <c r="P1636" t="s">
        <v>26</v>
      </c>
      <c r="Q1636">
        <v>0</v>
      </c>
    </row>
    <row r="1637" spans="1:17" x14ac:dyDescent="0.25">
      <c r="A1637" t="s">
        <v>29</v>
      </c>
      <c r="B1637" t="s">
        <v>18</v>
      </c>
      <c r="C1637">
        <v>94500</v>
      </c>
      <c r="D1637" t="s">
        <v>46</v>
      </c>
      <c r="E1637" t="s">
        <v>20</v>
      </c>
      <c r="F1637" t="s">
        <v>39</v>
      </c>
      <c r="G1637" t="s">
        <v>22</v>
      </c>
      <c r="H1637" t="s">
        <v>28</v>
      </c>
      <c r="I1637" t="s">
        <v>66</v>
      </c>
      <c r="J1637">
        <v>67500</v>
      </c>
      <c r="K1637">
        <v>0</v>
      </c>
      <c r="L1637" t="s">
        <v>45</v>
      </c>
      <c r="M1637" t="s">
        <v>28</v>
      </c>
      <c r="N1637" t="s">
        <v>27</v>
      </c>
      <c r="O1637" t="s">
        <v>35</v>
      </c>
      <c r="P1637" t="s">
        <v>26</v>
      </c>
      <c r="Q1637">
        <v>0</v>
      </c>
    </row>
    <row r="1638" spans="1:17" x14ac:dyDescent="0.25">
      <c r="A1638" t="s">
        <v>29</v>
      </c>
      <c r="B1638" t="s">
        <v>18</v>
      </c>
      <c r="C1638">
        <v>94500</v>
      </c>
      <c r="D1638" t="s">
        <v>46</v>
      </c>
      <c r="E1638" t="s">
        <v>20</v>
      </c>
      <c r="F1638" t="s">
        <v>39</v>
      </c>
      <c r="G1638" t="s">
        <v>22</v>
      </c>
      <c r="H1638" t="s">
        <v>28</v>
      </c>
      <c r="I1638" t="s">
        <v>66</v>
      </c>
      <c r="J1638">
        <v>90000</v>
      </c>
      <c r="K1638">
        <v>0</v>
      </c>
      <c r="L1638" t="s">
        <v>51</v>
      </c>
      <c r="M1638" t="s">
        <v>28</v>
      </c>
      <c r="N1638" t="s">
        <v>27</v>
      </c>
      <c r="O1638" t="s">
        <v>35</v>
      </c>
      <c r="P1638" t="s">
        <v>26</v>
      </c>
      <c r="Q1638">
        <v>0</v>
      </c>
    </row>
    <row r="1639" spans="1:17" x14ac:dyDescent="0.25">
      <c r="A1639" t="s">
        <v>17</v>
      </c>
      <c r="B1639" t="s">
        <v>18</v>
      </c>
      <c r="C1639">
        <v>180000</v>
      </c>
      <c r="D1639" t="s">
        <v>19</v>
      </c>
      <c r="E1639" t="s">
        <v>20</v>
      </c>
      <c r="F1639" t="s">
        <v>32</v>
      </c>
      <c r="G1639" t="s">
        <v>22</v>
      </c>
      <c r="H1639" t="s">
        <v>23</v>
      </c>
      <c r="I1639" t="s">
        <v>24</v>
      </c>
      <c r="J1639">
        <v>39375</v>
      </c>
      <c r="K1639">
        <v>0</v>
      </c>
      <c r="L1639" t="s">
        <v>34</v>
      </c>
      <c r="M1639" t="s">
        <v>26</v>
      </c>
      <c r="N1639" t="s">
        <v>27</v>
      </c>
      <c r="O1639" t="s">
        <v>35</v>
      </c>
      <c r="P1639" t="s">
        <v>26</v>
      </c>
      <c r="Q1639">
        <v>0</v>
      </c>
    </row>
    <row r="1640" spans="1:17" x14ac:dyDescent="0.25">
      <c r="A1640" t="s">
        <v>17</v>
      </c>
      <c r="B1640" t="s">
        <v>18</v>
      </c>
      <c r="C1640">
        <v>180000</v>
      </c>
      <c r="D1640" t="s">
        <v>19</v>
      </c>
      <c r="E1640" t="s">
        <v>20</v>
      </c>
      <c r="F1640" t="s">
        <v>32</v>
      </c>
      <c r="G1640" t="s">
        <v>22</v>
      </c>
      <c r="H1640" t="s">
        <v>23</v>
      </c>
      <c r="I1640" t="s">
        <v>24</v>
      </c>
      <c r="J1640">
        <v>145314</v>
      </c>
      <c r="K1640">
        <v>0</v>
      </c>
      <c r="L1640" t="s">
        <v>43</v>
      </c>
      <c r="M1640" t="s">
        <v>26</v>
      </c>
      <c r="N1640" t="s">
        <v>27</v>
      </c>
      <c r="O1640" t="s">
        <v>35</v>
      </c>
      <c r="P1640" t="s">
        <v>26</v>
      </c>
      <c r="Q1640">
        <v>0</v>
      </c>
    </row>
    <row r="1641" spans="1:17" x14ac:dyDescent="0.25">
      <c r="A1641" t="s">
        <v>29</v>
      </c>
      <c r="B1641" t="s">
        <v>18</v>
      </c>
      <c r="C1641">
        <v>202500</v>
      </c>
      <c r="D1641" t="s">
        <v>19</v>
      </c>
      <c r="E1641" t="s">
        <v>20</v>
      </c>
      <c r="F1641" t="s">
        <v>21</v>
      </c>
      <c r="G1641" t="s">
        <v>22</v>
      </c>
      <c r="H1641" t="s">
        <v>23</v>
      </c>
      <c r="I1641" t="s">
        <v>66</v>
      </c>
      <c r="J1641">
        <v>675000</v>
      </c>
      <c r="K1641">
        <v>0</v>
      </c>
      <c r="L1641" t="s">
        <v>51</v>
      </c>
      <c r="M1641" t="s">
        <v>28</v>
      </c>
      <c r="N1641" t="s">
        <v>58</v>
      </c>
      <c r="O1641" t="s">
        <v>28</v>
      </c>
      <c r="P1641" t="s">
        <v>60</v>
      </c>
      <c r="Q1641">
        <v>1</v>
      </c>
    </row>
    <row r="1642" spans="1:17" x14ac:dyDescent="0.25">
      <c r="A1642" t="s">
        <v>29</v>
      </c>
      <c r="B1642" t="s">
        <v>18</v>
      </c>
      <c r="C1642">
        <v>202500</v>
      </c>
      <c r="D1642" t="s">
        <v>19</v>
      </c>
      <c r="E1642" t="s">
        <v>20</v>
      </c>
      <c r="F1642" t="s">
        <v>21</v>
      </c>
      <c r="G1642" t="s">
        <v>22</v>
      </c>
      <c r="H1642" t="s">
        <v>23</v>
      </c>
      <c r="I1642" t="s">
        <v>90</v>
      </c>
      <c r="J1642">
        <v>157500</v>
      </c>
      <c r="K1642">
        <v>0</v>
      </c>
      <c r="L1642" t="s">
        <v>51</v>
      </c>
      <c r="M1642" t="s">
        <v>26</v>
      </c>
      <c r="N1642" t="s">
        <v>58</v>
      </c>
      <c r="O1642" t="s">
        <v>28</v>
      </c>
      <c r="P1642" t="s">
        <v>64</v>
      </c>
      <c r="Q1642">
        <v>1</v>
      </c>
    </row>
    <row r="1643" spans="1:17" x14ac:dyDescent="0.25">
      <c r="A1643" t="s">
        <v>29</v>
      </c>
      <c r="B1643" t="s">
        <v>18</v>
      </c>
      <c r="C1643">
        <v>202500</v>
      </c>
      <c r="D1643" t="s">
        <v>19</v>
      </c>
      <c r="E1643" t="s">
        <v>20</v>
      </c>
      <c r="F1643" t="s">
        <v>21</v>
      </c>
      <c r="G1643" t="s">
        <v>22</v>
      </c>
      <c r="H1643" t="s">
        <v>23</v>
      </c>
      <c r="I1643" t="s">
        <v>24</v>
      </c>
      <c r="J1643">
        <v>171000</v>
      </c>
      <c r="K1643">
        <v>0</v>
      </c>
      <c r="L1643" t="s">
        <v>42</v>
      </c>
      <c r="M1643" t="s">
        <v>26</v>
      </c>
      <c r="N1643" t="s">
        <v>27</v>
      </c>
      <c r="O1643" t="s">
        <v>35</v>
      </c>
      <c r="P1643" t="s">
        <v>26</v>
      </c>
      <c r="Q1643">
        <v>0</v>
      </c>
    </row>
    <row r="1644" spans="1:17" x14ac:dyDescent="0.25">
      <c r="A1644" t="s">
        <v>29</v>
      </c>
      <c r="B1644" t="s">
        <v>18</v>
      </c>
      <c r="C1644">
        <v>54000</v>
      </c>
      <c r="D1644" t="s">
        <v>46</v>
      </c>
      <c r="E1644" t="s">
        <v>20</v>
      </c>
      <c r="F1644" t="s">
        <v>69</v>
      </c>
      <c r="G1644" t="s">
        <v>22</v>
      </c>
      <c r="H1644" t="s">
        <v>28</v>
      </c>
      <c r="I1644" t="s">
        <v>24</v>
      </c>
      <c r="J1644">
        <v>41670</v>
      </c>
      <c r="K1644">
        <v>0</v>
      </c>
      <c r="L1644" t="s">
        <v>25</v>
      </c>
      <c r="M1644" t="s">
        <v>26</v>
      </c>
      <c r="N1644" t="s">
        <v>27</v>
      </c>
      <c r="O1644" t="s">
        <v>35</v>
      </c>
      <c r="P1644" t="s">
        <v>26</v>
      </c>
      <c r="Q1644">
        <v>0</v>
      </c>
    </row>
    <row r="1645" spans="1:17" x14ac:dyDescent="0.25">
      <c r="A1645" t="s">
        <v>29</v>
      </c>
      <c r="B1645" t="s">
        <v>36</v>
      </c>
      <c r="C1645">
        <v>157500</v>
      </c>
      <c r="D1645" t="s">
        <v>19</v>
      </c>
      <c r="E1645" t="s">
        <v>31</v>
      </c>
      <c r="F1645" t="s">
        <v>32</v>
      </c>
      <c r="G1645" t="s">
        <v>22</v>
      </c>
      <c r="H1645" t="s">
        <v>93</v>
      </c>
      <c r="I1645" t="s">
        <v>24</v>
      </c>
      <c r="J1645">
        <v>69745.5</v>
      </c>
      <c r="K1645">
        <v>0</v>
      </c>
      <c r="L1645" t="s">
        <v>51</v>
      </c>
      <c r="M1645" t="s">
        <v>26</v>
      </c>
      <c r="N1645" t="s">
        <v>58</v>
      </c>
      <c r="O1645" t="s">
        <v>35</v>
      </c>
      <c r="P1645" t="s">
        <v>64</v>
      </c>
      <c r="Q1645">
        <v>1</v>
      </c>
    </row>
    <row r="1646" spans="1:17" x14ac:dyDescent="0.25">
      <c r="A1646" t="s">
        <v>29</v>
      </c>
      <c r="B1646" t="s">
        <v>36</v>
      </c>
      <c r="C1646">
        <v>157500</v>
      </c>
      <c r="D1646" t="s">
        <v>19</v>
      </c>
      <c r="E1646" t="s">
        <v>31</v>
      </c>
      <c r="F1646" t="s">
        <v>32</v>
      </c>
      <c r="G1646" t="s">
        <v>22</v>
      </c>
      <c r="H1646" t="s">
        <v>93</v>
      </c>
      <c r="I1646" t="s">
        <v>24</v>
      </c>
      <c r="J1646">
        <v>31144.5</v>
      </c>
      <c r="K1646">
        <v>3150</v>
      </c>
      <c r="L1646" t="s">
        <v>34</v>
      </c>
      <c r="M1646" t="s">
        <v>26</v>
      </c>
      <c r="N1646" t="s">
        <v>27</v>
      </c>
      <c r="O1646" t="s">
        <v>35</v>
      </c>
      <c r="P1646" t="s">
        <v>26</v>
      </c>
      <c r="Q1646">
        <v>0</v>
      </c>
    </row>
    <row r="1647" spans="1:17" x14ac:dyDescent="0.25">
      <c r="A1647" t="s">
        <v>29</v>
      </c>
      <c r="B1647" t="s">
        <v>18</v>
      </c>
      <c r="C1647">
        <v>225000</v>
      </c>
      <c r="D1647" t="s">
        <v>19</v>
      </c>
      <c r="E1647" t="s">
        <v>20</v>
      </c>
      <c r="F1647" t="s">
        <v>32</v>
      </c>
      <c r="G1647" t="s">
        <v>22</v>
      </c>
      <c r="H1647" t="s">
        <v>49</v>
      </c>
      <c r="I1647" t="s">
        <v>24</v>
      </c>
      <c r="J1647">
        <v>60750</v>
      </c>
      <c r="K1647">
        <v>0</v>
      </c>
      <c r="L1647" t="s">
        <v>43</v>
      </c>
      <c r="M1647" t="s">
        <v>26</v>
      </c>
      <c r="N1647" t="s">
        <v>27</v>
      </c>
      <c r="O1647" t="s">
        <v>28</v>
      </c>
      <c r="P1647" t="s">
        <v>26</v>
      </c>
      <c r="Q1647">
        <v>0</v>
      </c>
    </row>
    <row r="1648" spans="1:17" x14ac:dyDescent="0.25">
      <c r="A1648" t="s">
        <v>29</v>
      </c>
      <c r="B1648" t="s">
        <v>18</v>
      </c>
      <c r="C1648">
        <v>225000</v>
      </c>
      <c r="D1648" t="s">
        <v>19</v>
      </c>
      <c r="E1648" t="s">
        <v>20</v>
      </c>
      <c r="F1648" t="s">
        <v>32</v>
      </c>
      <c r="G1648" t="s">
        <v>22</v>
      </c>
      <c r="H1648" t="s">
        <v>49</v>
      </c>
      <c r="I1648" t="s">
        <v>24</v>
      </c>
      <c r="J1648">
        <v>66541.5</v>
      </c>
      <c r="K1648">
        <v>450</v>
      </c>
      <c r="L1648" t="s">
        <v>42</v>
      </c>
      <c r="M1648" t="s">
        <v>26</v>
      </c>
      <c r="N1648" t="s">
        <v>27</v>
      </c>
      <c r="O1648" t="s">
        <v>28</v>
      </c>
      <c r="P1648" t="s">
        <v>26</v>
      </c>
      <c r="Q1648">
        <v>0</v>
      </c>
    </row>
    <row r="1649" spans="1:17" x14ac:dyDescent="0.25">
      <c r="A1649" t="s">
        <v>29</v>
      </c>
      <c r="B1649" t="s">
        <v>18</v>
      </c>
      <c r="C1649">
        <v>225000</v>
      </c>
      <c r="D1649" t="s">
        <v>19</v>
      </c>
      <c r="E1649" t="s">
        <v>20</v>
      </c>
      <c r="F1649" t="s">
        <v>32</v>
      </c>
      <c r="G1649" t="s">
        <v>22</v>
      </c>
      <c r="H1649" t="s">
        <v>49</v>
      </c>
      <c r="I1649" t="s">
        <v>66</v>
      </c>
      <c r="J1649">
        <v>256500</v>
      </c>
      <c r="K1649">
        <v>0</v>
      </c>
      <c r="L1649" t="s">
        <v>38</v>
      </c>
      <c r="M1649" t="s">
        <v>28</v>
      </c>
      <c r="N1649" t="s">
        <v>27</v>
      </c>
      <c r="O1649" t="s">
        <v>35</v>
      </c>
      <c r="P1649" t="s">
        <v>26</v>
      </c>
      <c r="Q1649">
        <v>0</v>
      </c>
    </row>
    <row r="1650" spans="1:17" x14ac:dyDescent="0.25">
      <c r="A1650" t="s">
        <v>29</v>
      </c>
      <c r="B1650" t="s">
        <v>18</v>
      </c>
      <c r="C1650">
        <v>112500</v>
      </c>
      <c r="D1650" t="s">
        <v>44</v>
      </c>
      <c r="E1650" t="s">
        <v>70</v>
      </c>
      <c r="F1650" t="s">
        <v>39</v>
      </c>
      <c r="G1650" t="s">
        <v>22</v>
      </c>
      <c r="H1650" t="s">
        <v>68</v>
      </c>
      <c r="I1650" t="s">
        <v>24</v>
      </c>
      <c r="J1650">
        <v>83700</v>
      </c>
      <c r="K1650">
        <v>0</v>
      </c>
      <c r="L1650" t="s">
        <v>34</v>
      </c>
      <c r="M1650" t="s">
        <v>26</v>
      </c>
      <c r="N1650" t="s">
        <v>27</v>
      </c>
      <c r="O1650" t="s">
        <v>35</v>
      </c>
      <c r="P1650" t="s">
        <v>26</v>
      </c>
      <c r="Q1650">
        <v>0</v>
      </c>
    </row>
    <row r="1651" spans="1:17" x14ac:dyDescent="0.25">
      <c r="A1651" t="s">
        <v>17</v>
      </c>
      <c r="B1651" t="s">
        <v>18</v>
      </c>
      <c r="C1651">
        <v>46948.5</v>
      </c>
      <c r="D1651" t="s">
        <v>46</v>
      </c>
      <c r="E1651" t="s">
        <v>20</v>
      </c>
      <c r="F1651" t="s">
        <v>21</v>
      </c>
      <c r="G1651" t="s">
        <v>22</v>
      </c>
      <c r="H1651" t="s">
        <v>28</v>
      </c>
      <c r="I1651" t="s">
        <v>24</v>
      </c>
      <c r="J1651">
        <v>49842</v>
      </c>
      <c r="K1651">
        <v>0</v>
      </c>
      <c r="L1651" t="s">
        <v>43</v>
      </c>
      <c r="M1651" t="s">
        <v>26</v>
      </c>
      <c r="N1651" t="s">
        <v>27</v>
      </c>
      <c r="O1651" t="s">
        <v>35</v>
      </c>
      <c r="P1651" t="s">
        <v>26</v>
      </c>
      <c r="Q1651">
        <v>0</v>
      </c>
    </row>
    <row r="1652" spans="1:17" x14ac:dyDescent="0.25">
      <c r="A1652" t="s">
        <v>17</v>
      </c>
      <c r="B1652" t="s">
        <v>36</v>
      </c>
      <c r="C1652">
        <v>180000</v>
      </c>
      <c r="D1652" t="s">
        <v>46</v>
      </c>
      <c r="E1652" t="s">
        <v>20</v>
      </c>
      <c r="F1652" t="s">
        <v>32</v>
      </c>
      <c r="G1652" t="s">
        <v>22</v>
      </c>
      <c r="H1652" t="s">
        <v>28</v>
      </c>
      <c r="I1652" t="s">
        <v>24</v>
      </c>
      <c r="J1652">
        <v>202500</v>
      </c>
      <c r="K1652">
        <v>0</v>
      </c>
      <c r="L1652" t="s">
        <v>45</v>
      </c>
      <c r="M1652" t="s">
        <v>26</v>
      </c>
      <c r="N1652" t="s">
        <v>27</v>
      </c>
      <c r="O1652" t="s">
        <v>28</v>
      </c>
      <c r="P1652" t="s">
        <v>26</v>
      </c>
      <c r="Q1652">
        <v>0</v>
      </c>
    </row>
    <row r="1653" spans="1:17" x14ac:dyDescent="0.25">
      <c r="A1653" t="s">
        <v>29</v>
      </c>
      <c r="B1653" t="s">
        <v>36</v>
      </c>
      <c r="C1653">
        <v>171000</v>
      </c>
      <c r="D1653" t="s">
        <v>19</v>
      </c>
      <c r="E1653" t="s">
        <v>31</v>
      </c>
      <c r="F1653" t="s">
        <v>32</v>
      </c>
      <c r="G1653" t="s">
        <v>22</v>
      </c>
      <c r="H1653" t="s">
        <v>49</v>
      </c>
      <c r="I1653" t="s">
        <v>24</v>
      </c>
      <c r="J1653">
        <v>82665</v>
      </c>
      <c r="K1653">
        <v>8266.5</v>
      </c>
      <c r="L1653" t="s">
        <v>43</v>
      </c>
      <c r="M1653" t="s">
        <v>26</v>
      </c>
      <c r="N1653" t="s">
        <v>27</v>
      </c>
      <c r="O1653" t="s">
        <v>28</v>
      </c>
      <c r="P1653" t="s">
        <v>26</v>
      </c>
      <c r="Q1653">
        <v>0</v>
      </c>
    </row>
    <row r="1654" spans="1:17" x14ac:dyDescent="0.25">
      <c r="A1654" t="s">
        <v>17</v>
      </c>
      <c r="B1654" t="s">
        <v>18</v>
      </c>
      <c r="C1654">
        <v>135000</v>
      </c>
      <c r="D1654" t="s">
        <v>44</v>
      </c>
      <c r="E1654" t="s">
        <v>20</v>
      </c>
      <c r="F1654" t="s">
        <v>32</v>
      </c>
      <c r="G1654" t="s">
        <v>22</v>
      </c>
      <c r="H1654" t="s">
        <v>23</v>
      </c>
      <c r="I1654" t="s">
        <v>24</v>
      </c>
      <c r="J1654">
        <v>91264.5</v>
      </c>
      <c r="K1654">
        <v>0</v>
      </c>
      <c r="L1654" t="s">
        <v>25</v>
      </c>
      <c r="M1654" t="s">
        <v>26</v>
      </c>
      <c r="N1654" t="s">
        <v>27</v>
      </c>
      <c r="O1654" t="s">
        <v>35</v>
      </c>
      <c r="P1654" t="s">
        <v>26</v>
      </c>
      <c r="Q1654">
        <v>0</v>
      </c>
    </row>
    <row r="1655" spans="1:17" x14ac:dyDescent="0.25">
      <c r="A1655" t="s">
        <v>17</v>
      </c>
      <c r="B1655" t="s">
        <v>18</v>
      </c>
      <c r="C1655">
        <v>135000</v>
      </c>
      <c r="D1655" t="s">
        <v>44</v>
      </c>
      <c r="E1655" t="s">
        <v>20</v>
      </c>
      <c r="F1655" t="s">
        <v>32</v>
      </c>
      <c r="G1655" t="s">
        <v>22</v>
      </c>
      <c r="H1655" t="s">
        <v>23</v>
      </c>
      <c r="I1655" t="s">
        <v>24</v>
      </c>
      <c r="J1655">
        <v>34821</v>
      </c>
      <c r="K1655">
        <v>0</v>
      </c>
      <c r="L1655" t="s">
        <v>51</v>
      </c>
      <c r="M1655" t="s">
        <v>26</v>
      </c>
      <c r="N1655" t="s">
        <v>27</v>
      </c>
      <c r="O1655" t="s">
        <v>35</v>
      </c>
      <c r="P1655" t="s">
        <v>26</v>
      </c>
      <c r="Q1655">
        <v>0</v>
      </c>
    </row>
    <row r="1656" spans="1:17" x14ac:dyDescent="0.25">
      <c r="A1656" t="s">
        <v>17</v>
      </c>
      <c r="B1656" t="s">
        <v>18</v>
      </c>
      <c r="C1656">
        <v>315000</v>
      </c>
      <c r="D1656" t="s">
        <v>44</v>
      </c>
      <c r="E1656" t="s">
        <v>20</v>
      </c>
      <c r="F1656" t="s">
        <v>32</v>
      </c>
      <c r="G1656" t="s">
        <v>95</v>
      </c>
      <c r="H1656" t="s">
        <v>79</v>
      </c>
      <c r="I1656" t="s">
        <v>24</v>
      </c>
      <c r="J1656">
        <v>26910</v>
      </c>
      <c r="K1656">
        <v>4500</v>
      </c>
      <c r="L1656" t="s">
        <v>25</v>
      </c>
      <c r="M1656" t="s">
        <v>26</v>
      </c>
      <c r="N1656" t="s">
        <v>27</v>
      </c>
      <c r="O1656" t="s">
        <v>35</v>
      </c>
      <c r="P1656" t="s">
        <v>26</v>
      </c>
      <c r="Q1656">
        <v>0</v>
      </c>
    </row>
    <row r="1657" spans="1:17" x14ac:dyDescent="0.25">
      <c r="A1657" t="s">
        <v>17</v>
      </c>
      <c r="B1657" t="s">
        <v>36</v>
      </c>
      <c r="C1657">
        <v>225000</v>
      </c>
      <c r="D1657" t="s">
        <v>30</v>
      </c>
      <c r="E1657" t="s">
        <v>31</v>
      </c>
      <c r="F1657" t="s">
        <v>32</v>
      </c>
      <c r="G1657" t="s">
        <v>22</v>
      </c>
      <c r="H1657" t="s">
        <v>41</v>
      </c>
      <c r="I1657" t="s">
        <v>24</v>
      </c>
      <c r="J1657">
        <v>40954.5</v>
      </c>
      <c r="K1657">
        <v>8194.5</v>
      </c>
      <c r="L1657" t="s">
        <v>38</v>
      </c>
      <c r="M1657" t="s">
        <v>26</v>
      </c>
      <c r="N1657" t="s">
        <v>27</v>
      </c>
      <c r="O1657" t="s">
        <v>35</v>
      </c>
      <c r="P1657" t="s">
        <v>26</v>
      </c>
      <c r="Q1657">
        <v>0</v>
      </c>
    </row>
    <row r="1658" spans="1:17" x14ac:dyDescent="0.25">
      <c r="A1658" t="s">
        <v>17</v>
      </c>
      <c r="B1658" t="s">
        <v>36</v>
      </c>
      <c r="C1658">
        <v>175500</v>
      </c>
      <c r="D1658" t="s">
        <v>19</v>
      </c>
      <c r="E1658" t="s">
        <v>20</v>
      </c>
      <c r="F1658" t="s">
        <v>32</v>
      </c>
      <c r="G1658" t="s">
        <v>22</v>
      </c>
      <c r="H1658" t="s">
        <v>55</v>
      </c>
      <c r="I1658" t="s">
        <v>24</v>
      </c>
      <c r="J1658">
        <v>161599.5</v>
      </c>
      <c r="K1658">
        <v>16164</v>
      </c>
      <c r="L1658" t="s">
        <v>51</v>
      </c>
      <c r="M1658" t="s">
        <v>26</v>
      </c>
      <c r="N1658" t="s">
        <v>27</v>
      </c>
      <c r="O1658" t="s">
        <v>35</v>
      </c>
      <c r="P1658" t="s">
        <v>26</v>
      </c>
      <c r="Q1658">
        <v>0</v>
      </c>
    </row>
    <row r="1659" spans="1:17" x14ac:dyDescent="0.25">
      <c r="A1659" t="s">
        <v>29</v>
      </c>
      <c r="B1659" t="s">
        <v>18</v>
      </c>
      <c r="C1659">
        <v>202500</v>
      </c>
      <c r="D1659" t="s">
        <v>30</v>
      </c>
      <c r="E1659" t="s">
        <v>31</v>
      </c>
      <c r="F1659" t="s">
        <v>32</v>
      </c>
      <c r="G1659" t="s">
        <v>22</v>
      </c>
      <c r="H1659" t="s">
        <v>33</v>
      </c>
      <c r="I1659" t="s">
        <v>24</v>
      </c>
      <c r="J1659">
        <v>347463</v>
      </c>
      <c r="K1659">
        <v>34749</v>
      </c>
      <c r="L1659" t="s">
        <v>38</v>
      </c>
      <c r="M1659" t="s">
        <v>26</v>
      </c>
      <c r="N1659" t="s">
        <v>27</v>
      </c>
      <c r="O1659" t="s">
        <v>35</v>
      </c>
      <c r="P1659" t="s">
        <v>26</v>
      </c>
      <c r="Q1659">
        <v>0</v>
      </c>
    </row>
    <row r="1660" spans="1:17" x14ac:dyDescent="0.25">
      <c r="A1660" t="s">
        <v>29</v>
      </c>
      <c r="B1660" t="s">
        <v>18</v>
      </c>
      <c r="C1660">
        <v>135000</v>
      </c>
      <c r="D1660" t="s">
        <v>44</v>
      </c>
      <c r="E1660" t="s">
        <v>20</v>
      </c>
      <c r="F1660" t="s">
        <v>54</v>
      </c>
      <c r="G1660" t="s">
        <v>22</v>
      </c>
      <c r="H1660" t="s">
        <v>37</v>
      </c>
      <c r="I1660" t="s">
        <v>24</v>
      </c>
      <c r="J1660">
        <v>64755</v>
      </c>
      <c r="K1660">
        <v>6475.5</v>
      </c>
      <c r="L1660" t="s">
        <v>43</v>
      </c>
      <c r="M1660" t="s">
        <v>26</v>
      </c>
      <c r="N1660" t="s">
        <v>27</v>
      </c>
      <c r="O1660" t="s">
        <v>35</v>
      </c>
      <c r="P1660" t="s">
        <v>26</v>
      </c>
      <c r="Q1660">
        <v>0</v>
      </c>
    </row>
    <row r="1661" spans="1:17" x14ac:dyDescent="0.25">
      <c r="A1661" t="s">
        <v>29</v>
      </c>
      <c r="B1661" t="s">
        <v>18</v>
      </c>
      <c r="C1661">
        <v>67500</v>
      </c>
      <c r="D1661" t="s">
        <v>44</v>
      </c>
      <c r="E1661" t="s">
        <v>20</v>
      </c>
      <c r="F1661" t="s">
        <v>21</v>
      </c>
      <c r="G1661" t="s">
        <v>22</v>
      </c>
      <c r="H1661" t="s">
        <v>89</v>
      </c>
      <c r="I1661" t="s">
        <v>24</v>
      </c>
      <c r="J1661">
        <v>99000</v>
      </c>
      <c r="K1661">
        <v>22500</v>
      </c>
      <c r="L1661" t="s">
        <v>34</v>
      </c>
      <c r="M1661" t="s">
        <v>26</v>
      </c>
      <c r="N1661" t="s">
        <v>27</v>
      </c>
      <c r="O1661" t="s">
        <v>35</v>
      </c>
      <c r="P1661" t="s">
        <v>26</v>
      </c>
      <c r="Q1661">
        <v>0</v>
      </c>
    </row>
    <row r="1662" spans="1:17" x14ac:dyDescent="0.25">
      <c r="A1662" t="s">
        <v>29</v>
      </c>
      <c r="B1662" t="s">
        <v>18</v>
      </c>
      <c r="C1662">
        <v>67500</v>
      </c>
      <c r="D1662" t="s">
        <v>44</v>
      </c>
      <c r="E1662" t="s">
        <v>20</v>
      </c>
      <c r="F1662" t="s">
        <v>21</v>
      </c>
      <c r="G1662" t="s">
        <v>22</v>
      </c>
      <c r="H1662" t="s">
        <v>89</v>
      </c>
      <c r="I1662" t="s">
        <v>24</v>
      </c>
      <c r="J1662">
        <v>86184</v>
      </c>
      <c r="K1662">
        <v>0</v>
      </c>
      <c r="L1662" t="s">
        <v>51</v>
      </c>
      <c r="M1662" t="s">
        <v>26</v>
      </c>
      <c r="N1662" t="s">
        <v>27</v>
      </c>
      <c r="O1662" t="s">
        <v>35</v>
      </c>
      <c r="P1662" t="s">
        <v>26</v>
      </c>
      <c r="Q1662">
        <v>0</v>
      </c>
    </row>
    <row r="1663" spans="1:17" x14ac:dyDescent="0.25">
      <c r="A1663" t="s">
        <v>29</v>
      </c>
      <c r="B1663" t="s">
        <v>18</v>
      </c>
      <c r="C1663">
        <v>67500</v>
      </c>
      <c r="D1663" t="s">
        <v>44</v>
      </c>
      <c r="E1663" t="s">
        <v>20</v>
      </c>
      <c r="F1663" t="s">
        <v>21</v>
      </c>
      <c r="G1663" t="s">
        <v>22</v>
      </c>
      <c r="H1663" t="s">
        <v>89</v>
      </c>
      <c r="I1663" t="s">
        <v>24</v>
      </c>
      <c r="J1663">
        <v>26941.5</v>
      </c>
      <c r="K1663">
        <v>2700</v>
      </c>
      <c r="L1663" t="s">
        <v>45</v>
      </c>
      <c r="M1663" t="s">
        <v>26</v>
      </c>
      <c r="N1663" t="s">
        <v>27</v>
      </c>
      <c r="O1663" t="s">
        <v>35</v>
      </c>
      <c r="P1663" t="s">
        <v>26</v>
      </c>
      <c r="Q1663">
        <v>0</v>
      </c>
    </row>
    <row r="1664" spans="1:17" x14ac:dyDescent="0.25">
      <c r="A1664" t="s">
        <v>29</v>
      </c>
      <c r="B1664" t="s">
        <v>18</v>
      </c>
      <c r="C1664">
        <v>225000</v>
      </c>
      <c r="D1664" t="s">
        <v>19</v>
      </c>
      <c r="E1664" t="s">
        <v>70</v>
      </c>
      <c r="F1664" t="s">
        <v>32</v>
      </c>
      <c r="G1664" t="s">
        <v>22</v>
      </c>
      <c r="H1664" t="s">
        <v>49</v>
      </c>
      <c r="I1664" t="s">
        <v>24</v>
      </c>
      <c r="J1664">
        <v>371835</v>
      </c>
      <c r="K1664">
        <v>37183.5</v>
      </c>
      <c r="L1664" t="s">
        <v>42</v>
      </c>
      <c r="M1664" t="s">
        <v>26</v>
      </c>
      <c r="N1664" t="s">
        <v>27</v>
      </c>
      <c r="O1664" t="s">
        <v>35</v>
      </c>
      <c r="P1664" t="s">
        <v>26</v>
      </c>
      <c r="Q1664">
        <v>0</v>
      </c>
    </row>
    <row r="1665" spans="1:17" x14ac:dyDescent="0.25">
      <c r="A1665" t="s">
        <v>29</v>
      </c>
      <c r="B1665" t="s">
        <v>18</v>
      </c>
      <c r="C1665">
        <v>225000</v>
      </c>
      <c r="D1665" t="s">
        <v>19</v>
      </c>
      <c r="E1665" t="s">
        <v>70</v>
      </c>
      <c r="F1665" t="s">
        <v>32</v>
      </c>
      <c r="G1665" t="s">
        <v>22</v>
      </c>
      <c r="H1665" t="s">
        <v>49</v>
      </c>
      <c r="I1665" t="s">
        <v>24</v>
      </c>
      <c r="J1665">
        <v>71680.5</v>
      </c>
      <c r="K1665">
        <v>0</v>
      </c>
      <c r="L1665" t="s">
        <v>42</v>
      </c>
      <c r="M1665" t="s">
        <v>26</v>
      </c>
      <c r="N1665" t="s">
        <v>76</v>
      </c>
      <c r="O1665" t="s">
        <v>35</v>
      </c>
      <c r="P1665" t="s">
        <v>77</v>
      </c>
      <c r="Q1665">
        <v>0</v>
      </c>
    </row>
    <row r="1666" spans="1:17" x14ac:dyDescent="0.25">
      <c r="A1666" t="s">
        <v>29</v>
      </c>
      <c r="B1666" t="s">
        <v>18</v>
      </c>
      <c r="C1666">
        <v>225000</v>
      </c>
      <c r="D1666" t="s">
        <v>19</v>
      </c>
      <c r="E1666" t="s">
        <v>70</v>
      </c>
      <c r="F1666" t="s">
        <v>32</v>
      </c>
      <c r="G1666" t="s">
        <v>22</v>
      </c>
      <c r="H1666" t="s">
        <v>49</v>
      </c>
      <c r="I1666" t="s">
        <v>24</v>
      </c>
      <c r="J1666">
        <v>27855</v>
      </c>
      <c r="K1666">
        <v>0</v>
      </c>
      <c r="L1666" t="s">
        <v>34</v>
      </c>
      <c r="M1666" t="s">
        <v>26</v>
      </c>
      <c r="N1666" t="s">
        <v>76</v>
      </c>
      <c r="O1666" t="s">
        <v>35</v>
      </c>
      <c r="P1666" t="s">
        <v>77</v>
      </c>
      <c r="Q1666">
        <v>0</v>
      </c>
    </row>
    <row r="1667" spans="1:17" x14ac:dyDescent="0.25">
      <c r="A1667" t="s">
        <v>29</v>
      </c>
      <c r="B1667" t="s">
        <v>18</v>
      </c>
      <c r="C1667">
        <v>130500</v>
      </c>
      <c r="D1667" t="s">
        <v>44</v>
      </c>
      <c r="E1667" t="s">
        <v>20</v>
      </c>
      <c r="F1667" t="s">
        <v>69</v>
      </c>
      <c r="G1667" t="s">
        <v>22</v>
      </c>
      <c r="H1667" t="s">
        <v>49</v>
      </c>
      <c r="I1667" t="s">
        <v>24</v>
      </c>
      <c r="J1667">
        <v>96498</v>
      </c>
      <c r="K1667">
        <v>9652.5</v>
      </c>
      <c r="L1667" t="s">
        <v>34</v>
      </c>
      <c r="M1667" t="s">
        <v>26</v>
      </c>
      <c r="N1667" t="s">
        <v>27</v>
      </c>
      <c r="O1667" t="s">
        <v>35</v>
      </c>
      <c r="P1667" t="s">
        <v>26</v>
      </c>
      <c r="Q1667">
        <v>0</v>
      </c>
    </row>
    <row r="1668" spans="1:17" x14ac:dyDescent="0.25">
      <c r="A1668" t="s">
        <v>29</v>
      </c>
      <c r="B1668" t="s">
        <v>18</v>
      </c>
      <c r="C1668">
        <v>130500</v>
      </c>
      <c r="D1668" t="s">
        <v>44</v>
      </c>
      <c r="E1668" t="s">
        <v>20</v>
      </c>
      <c r="F1668" t="s">
        <v>69</v>
      </c>
      <c r="G1668" t="s">
        <v>22</v>
      </c>
      <c r="H1668" t="s">
        <v>49</v>
      </c>
      <c r="I1668" t="s">
        <v>24</v>
      </c>
      <c r="J1668">
        <v>31450.5</v>
      </c>
      <c r="K1668">
        <v>3145.5</v>
      </c>
      <c r="L1668" t="s">
        <v>25</v>
      </c>
      <c r="M1668" t="s">
        <v>26</v>
      </c>
      <c r="N1668" t="s">
        <v>27</v>
      </c>
      <c r="O1668" t="s">
        <v>35</v>
      </c>
      <c r="P1668" t="s">
        <v>26</v>
      </c>
      <c r="Q1668">
        <v>0</v>
      </c>
    </row>
    <row r="1669" spans="1:17" x14ac:dyDescent="0.25">
      <c r="A1669" t="s">
        <v>17</v>
      </c>
      <c r="B1669" t="s">
        <v>18</v>
      </c>
      <c r="C1669">
        <v>112500</v>
      </c>
      <c r="D1669" t="s">
        <v>44</v>
      </c>
      <c r="E1669" t="s">
        <v>20</v>
      </c>
      <c r="F1669" t="s">
        <v>32</v>
      </c>
      <c r="G1669" t="s">
        <v>22</v>
      </c>
      <c r="H1669" t="s">
        <v>49</v>
      </c>
      <c r="I1669" t="s">
        <v>24</v>
      </c>
      <c r="J1669">
        <v>34276.5</v>
      </c>
      <c r="K1669">
        <v>0</v>
      </c>
      <c r="L1669" t="s">
        <v>42</v>
      </c>
      <c r="M1669" t="s">
        <v>26</v>
      </c>
      <c r="N1669" t="s">
        <v>27</v>
      </c>
      <c r="O1669" t="s">
        <v>35</v>
      </c>
      <c r="P1669" t="s">
        <v>26</v>
      </c>
      <c r="Q1669">
        <v>0</v>
      </c>
    </row>
    <row r="1670" spans="1:17" x14ac:dyDescent="0.25">
      <c r="A1670" t="s">
        <v>17</v>
      </c>
      <c r="B1670" t="s">
        <v>18</v>
      </c>
      <c r="C1670">
        <v>157500</v>
      </c>
      <c r="D1670" t="s">
        <v>19</v>
      </c>
      <c r="E1670" t="s">
        <v>20</v>
      </c>
      <c r="F1670" t="s">
        <v>32</v>
      </c>
      <c r="G1670" t="s">
        <v>62</v>
      </c>
      <c r="H1670" t="s">
        <v>23</v>
      </c>
      <c r="I1670" t="s">
        <v>66</v>
      </c>
      <c r="J1670">
        <v>180000</v>
      </c>
      <c r="K1670">
        <v>0</v>
      </c>
      <c r="L1670" t="s">
        <v>43</v>
      </c>
      <c r="M1670" t="s">
        <v>28</v>
      </c>
      <c r="N1670" t="s">
        <v>27</v>
      </c>
      <c r="O1670" t="s">
        <v>35</v>
      </c>
      <c r="P1670" t="s">
        <v>26</v>
      </c>
      <c r="Q1670">
        <v>0</v>
      </c>
    </row>
    <row r="1671" spans="1:17" x14ac:dyDescent="0.25">
      <c r="A1671" t="s">
        <v>17</v>
      </c>
      <c r="B1671" t="s">
        <v>18</v>
      </c>
      <c r="C1671">
        <v>157500</v>
      </c>
      <c r="D1671" t="s">
        <v>19</v>
      </c>
      <c r="E1671" t="s">
        <v>20</v>
      </c>
      <c r="F1671" t="s">
        <v>32</v>
      </c>
      <c r="G1671" t="s">
        <v>62</v>
      </c>
      <c r="H1671" t="s">
        <v>23</v>
      </c>
      <c r="I1671" t="s">
        <v>24</v>
      </c>
      <c r="J1671">
        <v>34569</v>
      </c>
      <c r="K1671">
        <v>9000</v>
      </c>
      <c r="L1671" t="s">
        <v>25</v>
      </c>
      <c r="M1671" t="s">
        <v>26</v>
      </c>
      <c r="N1671" t="s">
        <v>27</v>
      </c>
      <c r="O1671" t="s">
        <v>35</v>
      </c>
      <c r="P1671" t="s">
        <v>26</v>
      </c>
      <c r="Q1671">
        <v>0</v>
      </c>
    </row>
    <row r="1672" spans="1:17" x14ac:dyDescent="0.25">
      <c r="A1672" t="s">
        <v>17</v>
      </c>
      <c r="B1672" t="s">
        <v>18</v>
      </c>
      <c r="C1672">
        <v>157500</v>
      </c>
      <c r="D1672" t="s">
        <v>19</v>
      </c>
      <c r="E1672" t="s">
        <v>20</v>
      </c>
      <c r="F1672" t="s">
        <v>32</v>
      </c>
      <c r="G1672" t="s">
        <v>62</v>
      </c>
      <c r="H1672" t="s">
        <v>23</v>
      </c>
      <c r="I1672" t="s">
        <v>24</v>
      </c>
      <c r="J1672">
        <v>16398</v>
      </c>
      <c r="K1672">
        <v>1800</v>
      </c>
      <c r="L1672" t="s">
        <v>34</v>
      </c>
      <c r="M1672" t="s">
        <v>26</v>
      </c>
      <c r="N1672" t="s">
        <v>27</v>
      </c>
      <c r="O1672" t="s">
        <v>35</v>
      </c>
      <c r="P1672" t="s">
        <v>26</v>
      </c>
      <c r="Q1672">
        <v>0</v>
      </c>
    </row>
    <row r="1673" spans="1:17" x14ac:dyDescent="0.25">
      <c r="A1673" t="s">
        <v>17</v>
      </c>
      <c r="B1673" t="s">
        <v>18</v>
      </c>
      <c r="C1673">
        <v>157500</v>
      </c>
      <c r="D1673" t="s">
        <v>19</v>
      </c>
      <c r="E1673" t="s">
        <v>20</v>
      </c>
      <c r="F1673" t="s">
        <v>32</v>
      </c>
      <c r="G1673" t="s">
        <v>62</v>
      </c>
      <c r="H1673" t="s">
        <v>23</v>
      </c>
      <c r="I1673" t="s">
        <v>24</v>
      </c>
      <c r="J1673">
        <v>55890</v>
      </c>
      <c r="K1673">
        <v>0</v>
      </c>
      <c r="L1673" t="s">
        <v>42</v>
      </c>
      <c r="M1673" t="s">
        <v>26</v>
      </c>
      <c r="N1673" t="s">
        <v>27</v>
      </c>
      <c r="O1673" t="s">
        <v>35</v>
      </c>
      <c r="P1673" t="s">
        <v>26</v>
      </c>
      <c r="Q1673">
        <v>0</v>
      </c>
    </row>
    <row r="1674" spans="1:17" x14ac:dyDescent="0.25">
      <c r="A1674" t="s">
        <v>17</v>
      </c>
      <c r="B1674" t="s">
        <v>18</v>
      </c>
      <c r="C1674">
        <v>157500</v>
      </c>
      <c r="D1674" t="s">
        <v>19</v>
      </c>
      <c r="E1674" t="s">
        <v>20</v>
      </c>
      <c r="F1674" t="s">
        <v>32</v>
      </c>
      <c r="G1674" t="s">
        <v>62</v>
      </c>
      <c r="H1674" t="s">
        <v>23</v>
      </c>
      <c r="I1674" t="s">
        <v>24</v>
      </c>
      <c r="J1674">
        <v>25110</v>
      </c>
      <c r="K1674">
        <v>0</v>
      </c>
      <c r="L1674" t="s">
        <v>38</v>
      </c>
      <c r="M1674" t="s">
        <v>26</v>
      </c>
      <c r="N1674" t="s">
        <v>27</v>
      </c>
      <c r="O1674" t="s">
        <v>35</v>
      </c>
      <c r="P1674" t="s">
        <v>26</v>
      </c>
      <c r="Q1674">
        <v>0</v>
      </c>
    </row>
    <row r="1675" spans="1:17" x14ac:dyDescent="0.25">
      <c r="A1675" t="s">
        <v>17</v>
      </c>
      <c r="B1675" t="s">
        <v>36</v>
      </c>
      <c r="C1675">
        <v>130500</v>
      </c>
      <c r="D1675" t="s">
        <v>46</v>
      </c>
      <c r="E1675" t="s">
        <v>20</v>
      </c>
      <c r="F1675" t="s">
        <v>32</v>
      </c>
      <c r="G1675" t="s">
        <v>22</v>
      </c>
      <c r="H1675" t="s">
        <v>28</v>
      </c>
      <c r="I1675" t="s">
        <v>66</v>
      </c>
      <c r="J1675">
        <v>135000</v>
      </c>
      <c r="K1675">
        <v>0</v>
      </c>
      <c r="L1675" t="s">
        <v>25</v>
      </c>
      <c r="M1675" t="s">
        <v>28</v>
      </c>
      <c r="N1675" t="s">
        <v>27</v>
      </c>
      <c r="O1675" t="s">
        <v>35</v>
      </c>
      <c r="P1675" t="s">
        <v>26</v>
      </c>
      <c r="Q1675">
        <v>0</v>
      </c>
    </row>
    <row r="1676" spans="1:17" x14ac:dyDescent="0.25">
      <c r="A1676" t="s">
        <v>17</v>
      </c>
      <c r="B1676" t="s">
        <v>36</v>
      </c>
      <c r="C1676">
        <v>130500</v>
      </c>
      <c r="D1676" t="s">
        <v>46</v>
      </c>
      <c r="E1676" t="s">
        <v>20</v>
      </c>
      <c r="F1676" t="s">
        <v>32</v>
      </c>
      <c r="G1676" t="s">
        <v>22</v>
      </c>
      <c r="H1676" t="s">
        <v>28</v>
      </c>
      <c r="I1676" t="s">
        <v>24</v>
      </c>
      <c r="J1676">
        <v>25425</v>
      </c>
      <c r="K1676">
        <v>2565</v>
      </c>
      <c r="L1676" t="s">
        <v>34</v>
      </c>
      <c r="M1676" t="s">
        <v>26</v>
      </c>
      <c r="N1676" t="s">
        <v>27</v>
      </c>
      <c r="O1676" t="s">
        <v>35</v>
      </c>
      <c r="P1676" t="s">
        <v>26</v>
      </c>
      <c r="Q1676">
        <v>0</v>
      </c>
    </row>
    <row r="1677" spans="1:17" x14ac:dyDescent="0.25">
      <c r="A1677" t="s">
        <v>17</v>
      </c>
      <c r="B1677" t="s">
        <v>36</v>
      </c>
      <c r="C1677">
        <v>270000</v>
      </c>
      <c r="D1677" t="s">
        <v>44</v>
      </c>
      <c r="E1677" t="s">
        <v>20</v>
      </c>
      <c r="F1677" t="s">
        <v>32</v>
      </c>
      <c r="G1677" t="s">
        <v>73</v>
      </c>
      <c r="H1677" t="s">
        <v>49</v>
      </c>
      <c r="I1677" t="s">
        <v>24</v>
      </c>
      <c r="J1677">
        <v>41575.5</v>
      </c>
      <c r="K1677">
        <v>4500</v>
      </c>
      <c r="L1677" t="s">
        <v>43</v>
      </c>
      <c r="M1677" t="s">
        <v>26</v>
      </c>
      <c r="N1677" t="s">
        <v>27</v>
      </c>
      <c r="O1677" t="s">
        <v>35</v>
      </c>
      <c r="P1677" t="s">
        <v>26</v>
      </c>
      <c r="Q1677">
        <v>0</v>
      </c>
    </row>
    <row r="1678" spans="1:17" x14ac:dyDescent="0.25">
      <c r="A1678" t="s">
        <v>29</v>
      </c>
      <c r="B1678" t="s">
        <v>18</v>
      </c>
      <c r="C1678">
        <v>135000</v>
      </c>
      <c r="D1678" t="s">
        <v>30</v>
      </c>
      <c r="E1678" t="s">
        <v>31</v>
      </c>
      <c r="F1678" t="s">
        <v>32</v>
      </c>
      <c r="G1678" t="s">
        <v>22</v>
      </c>
      <c r="H1678" t="s">
        <v>99</v>
      </c>
      <c r="I1678" t="s">
        <v>24</v>
      </c>
      <c r="J1678">
        <v>40009.5</v>
      </c>
      <c r="K1678">
        <v>7159.5</v>
      </c>
      <c r="L1678" t="s">
        <v>38</v>
      </c>
      <c r="M1678" t="s">
        <v>26</v>
      </c>
      <c r="N1678" t="s">
        <v>27</v>
      </c>
      <c r="O1678" t="s">
        <v>35</v>
      </c>
      <c r="P1678" t="s">
        <v>26</v>
      </c>
      <c r="Q1678">
        <v>0</v>
      </c>
    </row>
    <row r="1679" spans="1:17" x14ac:dyDescent="0.25">
      <c r="A1679" t="s">
        <v>29</v>
      </c>
      <c r="B1679" t="s">
        <v>36</v>
      </c>
      <c r="C1679">
        <v>81000</v>
      </c>
      <c r="D1679" t="s">
        <v>19</v>
      </c>
      <c r="E1679" t="s">
        <v>31</v>
      </c>
      <c r="F1679" t="s">
        <v>39</v>
      </c>
      <c r="G1679" t="s">
        <v>22</v>
      </c>
      <c r="H1679" t="s">
        <v>23</v>
      </c>
      <c r="I1679" t="s">
        <v>24</v>
      </c>
      <c r="J1679">
        <v>59850</v>
      </c>
      <c r="K1679">
        <v>0</v>
      </c>
      <c r="L1679" t="s">
        <v>34</v>
      </c>
      <c r="M1679" t="s">
        <v>26</v>
      </c>
      <c r="N1679" t="s">
        <v>27</v>
      </c>
      <c r="O1679" t="s">
        <v>28</v>
      </c>
      <c r="P1679" t="s">
        <v>26</v>
      </c>
      <c r="Q1679">
        <v>0</v>
      </c>
    </row>
    <row r="1680" spans="1:17" x14ac:dyDescent="0.25">
      <c r="A1680" t="s">
        <v>29</v>
      </c>
      <c r="B1680" t="s">
        <v>36</v>
      </c>
      <c r="C1680">
        <v>81000</v>
      </c>
      <c r="D1680" t="s">
        <v>19</v>
      </c>
      <c r="E1680" t="s">
        <v>31</v>
      </c>
      <c r="F1680" t="s">
        <v>39</v>
      </c>
      <c r="G1680" t="s">
        <v>22</v>
      </c>
      <c r="H1680" t="s">
        <v>23</v>
      </c>
      <c r="I1680" t="s">
        <v>24</v>
      </c>
      <c r="J1680">
        <v>100170</v>
      </c>
      <c r="K1680">
        <v>0</v>
      </c>
      <c r="L1680" t="s">
        <v>34</v>
      </c>
      <c r="M1680" t="s">
        <v>26</v>
      </c>
      <c r="N1680" t="s">
        <v>27</v>
      </c>
      <c r="O1680" t="s">
        <v>35</v>
      </c>
      <c r="P1680" t="s">
        <v>26</v>
      </c>
      <c r="Q1680">
        <v>0</v>
      </c>
    </row>
    <row r="1681" spans="1:17" x14ac:dyDescent="0.25">
      <c r="A1681" t="s">
        <v>29</v>
      </c>
      <c r="B1681" t="s">
        <v>36</v>
      </c>
      <c r="C1681">
        <v>81000</v>
      </c>
      <c r="D1681" t="s">
        <v>19</v>
      </c>
      <c r="E1681" t="s">
        <v>31</v>
      </c>
      <c r="F1681" t="s">
        <v>39</v>
      </c>
      <c r="G1681" t="s">
        <v>22</v>
      </c>
      <c r="H1681" t="s">
        <v>23</v>
      </c>
      <c r="I1681" t="s">
        <v>24</v>
      </c>
      <c r="J1681">
        <v>141300</v>
      </c>
      <c r="K1681">
        <v>14130</v>
      </c>
      <c r="L1681" t="s">
        <v>34</v>
      </c>
      <c r="M1681" t="s">
        <v>26</v>
      </c>
      <c r="N1681" t="s">
        <v>27</v>
      </c>
      <c r="O1681" t="s">
        <v>28</v>
      </c>
      <c r="P1681" t="s">
        <v>26</v>
      </c>
      <c r="Q1681">
        <v>0</v>
      </c>
    </row>
    <row r="1682" spans="1:17" x14ac:dyDescent="0.25">
      <c r="A1682" t="s">
        <v>17</v>
      </c>
      <c r="B1682" t="s">
        <v>36</v>
      </c>
      <c r="C1682">
        <v>247500</v>
      </c>
      <c r="D1682" t="s">
        <v>19</v>
      </c>
      <c r="E1682" t="s">
        <v>20</v>
      </c>
      <c r="F1682" t="s">
        <v>32</v>
      </c>
      <c r="G1682" t="s">
        <v>22</v>
      </c>
      <c r="H1682" t="s">
        <v>41</v>
      </c>
      <c r="I1682" t="s">
        <v>24</v>
      </c>
      <c r="J1682">
        <v>43506</v>
      </c>
      <c r="K1682">
        <v>4351.5</v>
      </c>
      <c r="L1682" t="s">
        <v>43</v>
      </c>
      <c r="M1682" t="s">
        <v>26</v>
      </c>
      <c r="N1682" t="s">
        <v>27</v>
      </c>
      <c r="O1682" t="s">
        <v>35</v>
      </c>
      <c r="P1682" t="s">
        <v>26</v>
      </c>
      <c r="Q1682">
        <v>0</v>
      </c>
    </row>
    <row r="1683" spans="1:17" x14ac:dyDescent="0.25">
      <c r="A1683" t="s">
        <v>17</v>
      </c>
      <c r="B1683" t="s">
        <v>36</v>
      </c>
      <c r="C1683">
        <v>247500</v>
      </c>
      <c r="D1683" t="s">
        <v>19</v>
      </c>
      <c r="E1683" t="s">
        <v>20</v>
      </c>
      <c r="F1683" t="s">
        <v>32</v>
      </c>
      <c r="G1683" t="s">
        <v>22</v>
      </c>
      <c r="H1683" t="s">
        <v>41</v>
      </c>
      <c r="I1683" t="s">
        <v>24</v>
      </c>
      <c r="J1683">
        <v>72261</v>
      </c>
      <c r="K1683">
        <v>7227</v>
      </c>
      <c r="L1683" t="s">
        <v>51</v>
      </c>
      <c r="M1683" t="s">
        <v>26</v>
      </c>
      <c r="N1683" t="s">
        <v>27</v>
      </c>
      <c r="O1683" t="s">
        <v>35</v>
      </c>
      <c r="P1683" t="s">
        <v>26</v>
      </c>
      <c r="Q1683">
        <v>0</v>
      </c>
    </row>
    <row r="1684" spans="1:17" x14ac:dyDescent="0.25">
      <c r="A1684" t="s">
        <v>17</v>
      </c>
      <c r="B1684" t="s">
        <v>36</v>
      </c>
      <c r="C1684">
        <v>112500</v>
      </c>
      <c r="D1684" t="s">
        <v>46</v>
      </c>
      <c r="E1684" t="s">
        <v>20</v>
      </c>
      <c r="F1684" t="s">
        <v>32</v>
      </c>
      <c r="G1684" t="s">
        <v>22</v>
      </c>
      <c r="H1684" t="s">
        <v>28</v>
      </c>
      <c r="I1684" t="s">
        <v>24</v>
      </c>
      <c r="J1684">
        <v>47317.5</v>
      </c>
      <c r="K1684">
        <v>4734</v>
      </c>
      <c r="L1684" t="s">
        <v>25</v>
      </c>
      <c r="M1684" t="s">
        <v>26</v>
      </c>
      <c r="N1684" t="s">
        <v>27</v>
      </c>
      <c r="O1684" t="s">
        <v>35</v>
      </c>
      <c r="P1684" t="s">
        <v>26</v>
      </c>
      <c r="Q1684">
        <v>0</v>
      </c>
    </row>
    <row r="1685" spans="1:17" x14ac:dyDescent="0.25">
      <c r="A1685" t="s">
        <v>17</v>
      </c>
      <c r="B1685" t="s">
        <v>36</v>
      </c>
      <c r="C1685">
        <v>112500</v>
      </c>
      <c r="D1685" t="s">
        <v>46</v>
      </c>
      <c r="E1685" t="s">
        <v>20</v>
      </c>
      <c r="F1685" t="s">
        <v>32</v>
      </c>
      <c r="G1685" t="s">
        <v>22</v>
      </c>
      <c r="H1685" t="s">
        <v>28</v>
      </c>
      <c r="I1685" t="s">
        <v>24</v>
      </c>
      <c r="J1685">
        <v>48555</v>
      </c>
      <c r="K1685">
        <v>9711</v>
      </c>
      <c r="L1685" t="s">
        <v>42</v>
      </c>
      <c r="M1685" t="s">
        <v>26</v>
      </c>
      <c r="N1685" t="s">
        <v>27</v>
      </c>
      <c r="O1685" t="s">
        <v>35</v>
      </c>
      <c r="P1685" t="s">
        <v>26</v>
      </c>
      <c r="Q1685">
        <v>0</v>
      </c>
    </row>
    <row r="1686" spans="1:17" x14ac:dyDescent="0.25">
      <c r="A1686" t="s">
        <v>17</v>
      </c>
      <c r="B1686" t="s">
        <v>36</v>
      </c>
      <c r="C1686">
        <v>112500</v>
      </c>
      <c r="D1686" t="s">
        <v>46</v>
      </c>
      <c r="E1686" t="s">
        <v>20</v>
      </c>
      <c r="F1686" t="s">
        <v>32</v>
      </c>
      <c r="G1686" t="s">
        <v>22</v>
      </c>
      <c r="H1686" t="s">
        <v>28</v>
      </c>
      <c r="I1686" t="s">
        <v>24</v>
      </c>
      <c r="J1686">
        <v>17464.05</v>
      </c>
      <c r="K1686">
        <v>1754.55</v>
      </c>
      <c r="L1686" t="s">
        <v>45</v>
      </c>
      <c r="M1686" t="s">
        <v>26</v>
      </c>
      <c r="N1686" t="s">
        <v>27</v>
      </c>
      <c r="O1686" t="s">
        <v>35</v>
      </c>
      <c r="P1686" t="s">
        <v>26</v>
      </c>
      <c r="Q1686">
        <v>0</v>
      </c>
    </row>
    <row r="1687" spans="1:17" x14ac:dyDescent="0.25">
      <c r="A1687" t="s">
        <v>29</v>
      </c>
      <c r="B1687" t="s">
        <v>18</v>
      </c>
      <c r="C1687">
        <v>135000</v>
      </c>
      <c r="D1687" t="s">
        <v>46</v>
      </c>
      <c r="E1687" t="s">
        <v>20</v>
      </c>
      <c r="F1687" t="s">
        <v>32</v>
      </c>
      <c r="G1687" t="s">
        <v>22</v>
      </c>
      <c r="H1687" t="s">
        <v>28</v>
      </c>
      <c r="I1687" t="s">
        <v>24</v>
      </c>
      <c r="J1687">
        <v>206991</v>
      </c>
      <c r="K1687">
        <v>67500</v>
      </c>
      <c r="L1687" t="s">
        <v>42</v>
      </c>
      <c r="M1687" t="s">
        <v>26</v>
      </c>
      <c r="N1687" t="s">
        <v>27</v>
      </c>
      <c r="O1687" t="s">
        <v>35</v>
      </c>
      <c r="P1687" t="s">
        <v>26</v>
      </c>
      <c r="Q1687">
        <v>0</v>
      </c>
    </row>
    <row r="1688" spans="1:17" x14ac:dyDescent="0.25">
      <c r="A1688" t="s">
        <v>29</v>
      </c>
      <c r="B1688" t="s">
        <v>18</v>
      </c>
      <c r="C1688">
        <v>135000</v>
      </c>
      <c r="D1688" t="s">
        <v>46</v>
      </c>
      <c r="E1688" t="s">
        <v>20</v>
      </c>
      <c r="F1688" t="s">
        <v>32</v>
      </c>
      <c r="G1688" t="s">
        <v>22</v>
      </c>
      <c r="H1688" t="s">
        <v>28</v>
      </c>
      <c r="I1688" t="s">
        <v>24</v>
      </c>
      <c r="J1688">
        <v>71757</v>
      </c>
      <c r="K1688">
        <v>7177.5</v>
      </c>
      <c r="L1688" t="s">
        <v>45</v>
      </c>
      <c r="M1688" t="s">
        <v>26</v>
      </c>
      <c r="N1688" t="s">
        <v>27</v>
      </c>
      <c r="O1688" t="s">
        <v>35</v>
      </c>
      <c r="P1688" t="s">
        <v>26</v>
      </c>
      <c r="Q1688">
        <v>0</v>
      </c>
    </row>
    <row r="1689" spans="1:17" x14ac:dyDescent="0.25">
      <c r="A1689" t="s">
        <v>29</v>
      </c>
      <c r="B1689" t="s">
        <v>18</v>
      </c>
      <c r="C1689">
        <v>135000</v>
      </c>
      <c r="D1689" t="s">
        <v>19</v>
      </c>
      <c r="E1689" t="s">
        <v>70</v>
      </c>
      <c r="F1689" t="s">
        <v>32</v>
      </c>
      <c r="G1689" t="s">
        <v>22</v>
      </c>
      <c r="H1689" t="s">
        <v>23</v>
      </c>
      <c r="I1689" t="s">
        <v>24</v>
      </c>
      <c r="J1689">
        <v>166720.5</v>
      </c>
      <c r="K1689">
        <v>0</v>
      </c>
      <c r="L1689" t="s">
        <v>25</v>
      </c>
      <c r="M1689" t="s">
        <v>26</v>
      </c>
      <c r="N1689" t="s">
        <v>27</v>
      </c>
      <c r="O1689" t="s">
        <v>35</v>
      </c>
      <c r="P1689" t="s">
        <v>26</v>
      </c>
      <c r="Q1689">
        <v>0</v>
      </c>
    </row>
    <row r="1690" spans="1:17" x14ac:dyDescent="0.25">
      <c r="A1690" t="s">
        <v>17</v>
      </c>
      <c r="B1690" t="s">
        <v>18</v>
      </c>
      <c r="C1690">
        <v>315000</v>
      </c>
      <c r="D1690" t="s">
        <v>44</v>
      </c>
      <c r="E1690" t="s">
        <v>20</v>
      </c>
      <c r="F1690" t="s">
        <v>32</v>
      </c>
      <c r="G1690" t="s">
        <v>22</v>
      </c>
      <c r="H1690" t="s">
        <v>50</v>
      </c>
      <c r="I1690" t="s">
        <v>24</v>
      </c>
      <c r="J1690">
        <v>90855</v>
      </c>
      <c r="K1690">
        <v>18171</v>
      </c>
      <c r="L1690" t="s">
        <v>45</v>
      </c>
      <c r="M1690" t="s">
        <v>26</v>
      </c>
      <c r="N1690" t="s">
        <v>27</v>
      </c>
      <c r="O1690" t="s">
        <v>35</v>
      </c>
      <c r="P1690" t="s">
        <v>26</v>
      </c>
      <c r="Q1690">
        <v>0</v>
      </c>
    </row>
    <row r="1691" spans="1:17" x14ac:dyDescent="0.25">
      <c r="A1691" t="s">
        <v>17</v>
      </c>
      <c r="B1691" t="s">
        <v>36</v>
      </c>
      <c r="C1691">
        <v>90000</v>
      </c>
      <c r="D1691" t="s">
        <v>19</v>
      </c>
      <c r="E1691" t="s">
        <v>20</v>
      </c>
      <c r="F1691" t="s">
        <v>32</v>
      </c>
      <c r="G1691" t="s">
        <v>22</v>
      </c>
      <c r="H1691" t="s">
        <v>49</v>
      </c>
      <c r="I1691" t="s">
        <v>24</v>
      </c>
      <c r="J1691">
        <v>95917.5</v>
      </c>
      <c r="K1691">
        <v>0</v>
      </c>
      <c r="L1691" t="s">
        <v>42</v>
      </c>
      <c r="M1691" t="s">
        <v>26</v>
      </c>
      <c r="N1691" t="s">
        <v>27</v>
      </c>
      <c r="O1691" t="s">
        <v>35</v>
      </c>
      <c r="P1691" t="s">
        <v>26</v>
      </c>
      <c r="Q1691">
        <v>0</v>
      </c>
    </row>
    <row r="1692" spans="1:17" x14ac:dyDescent="0.25">
      <c r="A1692" t="s">
        <v>17</v>
      </c>
      <c r="B1692" t="s">
        <v>36</v>
      </c>
      <c r="C1692">
        <v>180000</v>
      </c>
      <c r="D1692" t="s">
        <v>46</v>
      </c>
      <c r="E1692" t="s">
        <v>20</v>
      </c>
      <c r="F1692" t="s">
        <v>32</v>
      </c>
      <c r="G1692" t="s">
        <v>22</v>
      </c>
      <c r="H1692" t="s">
        <v>28</v>
      </c>
      <c r="I1692" t="s">
        <v>24</v>
      </c>
      <c r="J1692">
        <v>103941</v>
      </c>
      <c r="K1692">
        <v>18441</v>
      </c>
      <c r="L1692" t="s">
        <v>42</v>
      </c>
      <c r="M1692" t="s">
        <v>26</v>
      </c>
      <c r="N1692" t="s">
        <v>27</v>
      </c>
      <c r="O1692" t="s">
        <v>35</v>
      </c>
      <c r="P1692" t="s">
        <v>26</v>
      </c>
      <c r="Q1692">
        <v>0</v>
      </c>
    </row>
    <row r="1693" spans="1:17" x14ac:dyDescent="0.25">
      <c r="A1693" t="s">
        <v>17</v>
      </c>
      <c r="B1693" t="s">
        <v>36</v>
      </c>
      <c r="C1693">
        <v>180000</v>
      </c>
      <c r="D1693" t="s">
        <v>46</v>
      </c>
      <c r="E1693" t="s">
        <v>20</v>
      </c>
      <c r="F1693" t="s">
        <v>32</v>
      </c>
      <c r="G1693" t="s">
        <v>22</v>
      </c>
      <c r="H1693" t="s">
        <v>28</v>
      </c>
      <c r="I1693" t="s">
        <v>24</v>
      </c>
      <c r="J1693">
        <v>76459.274999999994</v>
      </c>
      <c r="K1693">
        <v>31504.275000000001</v>
      </c>
      <c r="L1693" t="s">
        <v>45</v>
      </c>
      <c r="M1693" t="s">
        <v>26</v>
      </c>
      <c r="N1693" t="s">
        <v>27</v>
      </c>
      <c r="O1693" t="s">
        <v>35</v>
      </c>
      <c r="P1693" t="s">
        <v>26</v>
      </c>
      <c r="Q1693">
        <v>0</v>
      </c>
    </row>
    <row r="1694" spans="1:17" x14ac:dyDescent="0.25">
      <c r="A1694" t="s">
        <v>17</v>
      </c>
      <c r="B1694" t="s">
        <v>36</v>
      </c>
      <c r="C1694">
        <v>112500</v>
      </c>
      <c r="D1694" t="s">
        <v>19</v>
      </c>
      <c r="E1694" t="s">
        <v>20</v>
      </c>
      <c r="F1694" t="s">
        <v>32</v>
      </c>
      <c r="G1694" t="s">
        <v>22</v>
      </c>
      <c r="H1694" t="s">
        <v>41</v>
      </c>
      <c r="I1694" t="s">
        <v>24</v>
      </c>
      <c r="J1694">
        <v>94873.5</v>
      </c>
      <c r="K1694">
        <v>4725</v>
      </c>
      <c r="L1694" t="s">
        <v>42</v>
      </c>
      <c r="M1694" t="s">
        <v>26</v>
      </c>
      <c r="N1694" t="s">
        <v>27</v>
      </c>
      <c r="O1694" t="s">
        <v>35</v>
      </c>
      <c r="P1694" t="s">
        <v>26</v>
      </c>
      <c r="Q1694">
        <v>0</v>
      </c>
    </row>
    <row r="1695" spans="1:17" x14ac:dyDescent="0.25">
      <c r="A1695" t="s">
        <v>17</v>
      </c>
      <c r="B1695" t="s">
        <v>36</v>
      </c>
      <c r="C1695">
        <v>112500</v>
      </c>
      <c r="D1695" t="s">
        <v>19</v>
      </c>
      <c r="E1695" t="s">
        <v>20</v>
      </c>
      <c r="F1695" t="s">
        <v>32</v>
      </c>
      <c r="G1695" t="s">
        <v>22</v>
      </c>
      <c r="H1695" t="s">
        <v>41</v>
      </c>
      <c r="I1695" t="s">
        <v>24</v>
      </c>
      <c r="J1695">
        <v>127138.5</v>
      </c>
      <c r="K1695">
        <v>0</v>
      </c>
      <c r="L1695" t="s">
        <v>43</v>
      </c>
      <c r="M1695" t="s">
        <v>26</v>
      </c>
      <c r="N1695" t="s">
        <v>27</v>
      </c>
      <c r="O1695" t="s">
        <v>35</v>
      </c>
      <c r="P1695" t="s">
        <v>26</v>
      </c>
      <c r="Q1695">
        <v>0</v>
      </c>
    </row>
    <row r="1696" spans="1:17" x14ac:dyDescent="0.25">
      <c r="A1696" t="s">
        <v>29</v>
      </c>
      <c r="B1696" t="s">
        <v>18</v>
      </c>
      <c r="C1696">
        <v>270000</v>
      </c>
      <c r="D1696" t="s">
        <v>19</v>
      </c>
      <c r="E1696" t="s">
        <v>31</v>
      </c>
      <c r="F1696" t="s">
        <v>32</v>
      </c>
      <c r="G1696" t="s">
        <v>62</v>
      </c>
      <c r="H1696" t="s">
        <v>23</v>
      </c>
      <c r="I1696" t="s">
        <v>24</v>
      </c>
      <c r="J1696">
        <v>37260</v>
      </c>
      <c r="K1696">
        <v>3726</v>
      </c>
      <c r="L1696" t="s">
        <v>38</v>
      </c>
      <c r="M1696" t="s">
        <v>26</v>
      </c>
      <c r="N1696" t="s">
        <v>27</v>
      </c>
      <c r="O1696" t="s">
        <v>35</v>
      </c>
      <c r="P1696" t="s">
        <v>26</v>
      </c>
      <c r="Q1696">
        <v>0</v>
      </c>
    </row>
    <row r="1697" spans="1:17" x14ac:dyDescent="0.25">
      <c r="A1697" t="s">
        <v>29</v>
      </c>
      <c r="B1697" t="s">
        <v>18</v>
      </c>
      <c r="C1697">
        <v>270000</v>
      </c>
      <c r="D1697" t="s">
        <v>19</v>
      </c>
      <c r="E1697" t="s">
        <v>31</v>
      </c>
      <c r="F1697" t="s">
        <v>32</v>
      </c>
      <c r="G1697" t="s">
        <v>62</v>
      </c>
      <c r="H1697" t="s">
        <v>23</v>
      </c>
      <c r="I1697" t="s">
        <v>66</v>
      </c>
      <c r="J1697">
        <v>72000</v>
      </c>
      <c r="K1697">
        <v>0</v>
      </c>
      <c r="L1697" t="s">
        <v>42</v>
      </c>
      <c r="M1697" t="s">
        <v>28</v>
      </c>
      <c r="N1697" t="s">
        <v>27</v>
      </c>
      <c r="O1697" t="s">
        <v>35</v>
      </c>
      <c r="P1697" t="s">
        <v>26</v>
      </c>
      <c r="Q1697">
        <v>0</v>
      </c>
    </row>
    <row r="1698" spans="1:17" x14ac:dyDescent="0.25">
      <c r="A1698" t="s">
        <v>29</v>
      </c>
      <c r="B1698" t="s">
        <v>18</v>
      </c>
      <c r="C1698">
        <v>270000</v>
      </c>
      <c r="D1698" t="s">
        <v>19</v>
      </c>
      <c r="E1698" t="s">
        <v>31</v>
      </c>
      <c r="F1698" t="s">
        <v>32</v>
      </c>
      <c r="G1698" t="s">
        <v>62</v>
      </c>
      <c r="H1698" t="s">
        <v>23</v>
      </c>
      <c r="I1698" t="s">
        <v>66</v>
      </c>
      <c r="J1698">
        <v>180000</v>
      </c>
      <c r="K1698">
        <v>0</v>
      </c>
      <c r="L1698" t="s">
        <v>45</v>
      </c>
      <c r="M1698" t="s">
        <v>28</v>
      </c>
      <c r="N1698" t="s">
        <v>27</v>
      </c>
      <c r="O1698" t="s">
        <v>35</v>
      </c>
      <c r="P1698" t="s">
        <v>26</v>
      </c>
      <c r="Q1698">
        <v>0</v>
      </c>
    </row>
    <row r="1699" spans="1:17" x14ac:dyDescent="0.25">
      <c r="A1699" t="s">
        <v>29</v>
      </c>
      <c r="B1699" t="s">
        <v>18</v>
      </c>
      <c r="C1699">
        <v>270000</v>
      </c>
      <c r="D1699" t="s">
        <v>19</v>
      </c>
      <c r="E1699" t="s">
        <v>31</v>
      </c>
      <c r="F1699" t="s">
        <v>32</v>
      </c>
      <c r="G1699" t="s">
        <v>62</v>
      </c>
      <c r="H1699" t="s">
        <v>23</v>
      </c>
      <c r="I1699" t="s">
        <v>66</v>
      </c>
      <c r="J1699">
        <v>58500</v>
      </c>
      <c r="K1699">
        <v>0</v>
      </c>
      <c r="L1699" t="s">
        <v>25</v>
      </c>
      <c r="M1699" t="s">
        <v>28</v>
      </c>
      <c r="N1699" t="s">
        <v>58</v>
      </c>
      <c r="O1699" t="s">
        <v>35</v>
      </c>
      <c r="P1699" t="s">
        <v>64</v>
      </c>
      <c r="Q1699">
        <v>1</v>
      </c>
    </row>
    <row r="1700" spans="1:17" x14ac:dyDescent="0.25">
      <c r="A1700" t="s">
        <v>29</v>
      </c>
      <c r="B1700" t="s">
        <v>18</v>
      </c>
      <c r="C1700">
        <v>270000</v>
      </c>
      <c r="D1700" t="s">
        <v>19</v>
      </c>
      <c r="E1700" t="s">
        <v>31</v>
      </c>
      <c r="F1700" t="s">
        <v>32</v>
      </c>
      <c r="G1700" t="s">
        <v>62</v>
      </c>
      <c r="H1700" t="s">
        <v>23</v>
      </c>
      <c r="I1700" t="s">
        <v>24</v>
      </c>
      <c r="J1700">
        <v>83655</v>
      </c>
      <c r="K1700">
        <v>8365.5</v>
      </c>
      <c r="L1700" t="s">
        <v>45</v>
      </c>
      <c r="M1700" t="s">
        <v>26</v>
      </c>
      <c r="N1700" t="s">
        <v>27</v>
      </c>
      <c r="O1700" t="s">
        <v>35</v>
      </c>
      <c r="P1700" t="s">
        <v>26</v>
      </c>
      <c r="Q1700">
        <v>0</v>
      </c>
    </row>
    <row r="1701" spans="1:17" x14ac:dyDescent="0.25">
      <c r="A1701" t="s">
        <v>29</v>
      </c>
      <c r="B1701" t="s">
        <v>18</v>
      </c>
      <c r="C1701">
        <v>87750</v>
      </c>
      <c r="D1701" t="s">
        <v>19</v>
      </c>
      <c r="E1701" t="s">
        <v>20</v>
      </c>
      <c r="F1701" t="s">
        <v>21</v>
      </c>
      <c r="G1701" t="s">
        <v>22</v>
      </c>
      <c r="H1701" t="s">
        <v>33</v>
      </c>
      <c r="I1701" t="s">
        <v>24</v>
      </c>
      <c r="J1701">
        <v>24403.5</v>
      </c>
      <c r="K1701">
        <v>2443.5</v>
      </c>
      <c r="L1701" t="s">
        <v>25</v>
      </c>
      <c r="M1701" t="s">
        <v>26</v>
      </c>
      <c r="N1701" t="s">
        <v>27</v>
      </c>
      <c r="O1701" t="s">
        <v>35</v>
      </c>
      <c r="P1701" t="s">
        <v>26</v>
      </c>
      <c r="Q1701">
        <v>0</v>
      </c>
    </row>
    <row r="1702" spans="1:17" x14ac:dyDescent="0.25">
      <c r="A1702" t="s">
        <v>29</v>
      </c>
      <c r="B1702" t="s">
        <v>18</v>
      </c>
      <c r="C1702">
        <v>135000</v>
      </c>
      <c r="D1702" t="s">
        <v>19</v>
      </c>
      <c r="E1702" t="s">
        <v>31</v>
      </c>
      <c r="F1702" t="s">
        <v>32</v>
      </c>
      <c r="G1702" t="s">
        <v>22</v>
      </c>
      <c r="H1702" t="s">
        <v>23</v>
      </c>
      <c r="I1702" t="s">
        <v>66</v>
      </c>
      <c r="J1702">
        <v>202500</v>
      </c>
      <c r="K1702">
        <v>0</v>
      </c>
      <c r="L1702" t="s">
        <v>25</v>
      </c>
      <c r="M1702" t="s">
        <v>28</v>
      </c>
      <c r="N1702" t="s">
        <v>27</v>
      </c>
      <c r="O1702" t="s">
        <v>35</v>
      </c>
      <c r="P1702" t="s">
        <v>26</v>
      </c>
      <c r="Q1702">
        <v>0</v>
      </c>
    </row>
    <row r="1703" spans="1:17" x14ac:dyDescent="0.25">
      <c r="A1703" t="s">
        <v>29</v>
      </c>
      <c r="B1703" t="s">
        <v>18</v>
      </c>
      <c r="C1703">
        <v>180000</v>
      </c>
      <c r="D1703" t="s">
        <v>19</v>
      </c>
      <c r="E1703" t="s">
        <v>20</v>
      </c>
      <c r="F1703" t="s">
        <v>32</v>
      </c>
      <c r="G1703" t="s">
        <v>22</v>
      </c>
      <c r="H1703" t="s">
        <v>53</v>
      </c>
      <c r="I1703" t="s">
        <v>24</v>
      </c>
      <c r="J1703">
        <v>46300.5</v>
      </c>
      <c r="K1703">
        <v>4630.5</v>
      </c>
      <c r="L1703" t="s">
        <v>43</v>
      </c>
      <c r="M1703" t="s">
        <v>26</v>
      </c>
      <c r="N1703" t="s">
        <v>27</v>
      </c>
      <c r="O1703" t="s">
        <v>35</v>
      </c>
      <c r="P1703" t="s">
        <v>26</v>
      </c>
      <c r="Q1703">
        <v>0</v>
      </c>
    </row>
    <row r="1704" spans="1:17" x14ac:dyDescent="0.25">
      <c r="A1704" t="s">
        <v>29</v>
      </c>
      <c r="B1704" t="s">
        <v>18</v>
      </c>
      <c r="C1704">
        <v>180000</v>
      </c>
      <c r="D1704" t="s">
        <v>19</v>
      </c>
      <c r="E1704" t="s">
        <v>20</v>
      </c>
      <c r="F1704" t="s">
        <v>32</v>
      </c>
      <c r="G1704" t="s">
        <v>22</v>
      </c>
      <c r="H1704" t="s">
        <v>53</v>
      </c>
      <c r="I1704" t="s">
        <v>24</v>
      </c>
      <c r="J1704">
        <v>150291</v>
      </c>
      <c r="K1704">
        <v>15030</v>
      </c>
      <c r="L1704" t="s">
        <v>38</v>
      </c>
      <c r="M1704" t="s">
        <v>26</v>
      </c>
      <c r="N1704" t="s">
        <v>27</v>
      </c>
      <c r="O1704" t="s">
        <v>35</v>
      </c>
      <c r="P1704" t="s">
        <v>26</v>
      </c>
      <c r="Q1704">
        <v>0</v>
      </c>
    </row>
    <row r="1705" spans="1:17" x14ac:dyDescent="0.25">
      <c r="A1705" t="s">
        <v>29</v>
      </c>
      <c r="B1705" t="s">
        <v>18</v>
      </c>
      <c r="C1705">
        <v>126000</v>
      </c>
      <c r="D1705" t="s">
        <v>44</v>
      </c>
      <c r="E1705" t="s">
        <v>20</v>
      </c>
      <c r="F1705" t="s">
        <v>32</v>
      </c>
      <c r="G1705" t="s">
        <v>22</v>
      </c>
      <c r="H1705" t="s">
        <v>49</v>
      </c>
      <c r="I1705" t="s">
        <v>24</v>
      </c>
      <c r="J1705">
        <v>50625</v>
      </c>
      <c r="K1705">
        <v>5062.5</v>
      </c>
      <c r="L1705" t="s">
        <v>43</v>
      </c>
      <c r="M1705" t="s">
        <v>26</v>
      </c>
      <c r="N1705" t="s">
        <v>27</v>
      </c>
      <c r="O1705" t="s">
        <v>28</v>
      </c>
      <c r="P1705" t="s">
        <v>26</v>
      </c>
      <c r="Q1705">
        <v>0</v>
      </c>
    </row>
    <row r="1706" spans="1:17" x14ac:dyDescent="0.25">
      <c r="A1706" t="s">
        <v>29</v>
      </c>
      <c r="B1706" t="s">
        <v>18</v>
      </c>
      <c r="C1706">
        <v>126000</v>
      </c>
      <c r="D1706" t="s">
        <v>44</v>
      </c>
      <c r="E1706" t="s">
        <v>20</v>
      </c>
      <c r="F1706" t="s">
        <v>32</v>
      </c>
      <c r="G1706" t="s">
        <v>22</v>
      </c>
      <c r="H1706" t="s">
        <v>49</v>
      </c>
      <c r="I1706" t="s">
        <v>24</v>
      </c>
      <c r="J1706">
        <v>43600.5</v>
      </c>
      <c r="K1706">
        <v>4360.5</v>
      </c>
      <c r="L1706" t="s">
        <v>43</v>
      </c>
      <c r="M1706" t="s">
        <v>26</v>
      </c>
      <c r="N1706" t="s">
        <v>27</v>
      </c>
      <c r="O1706" t="s">
        <v>28</v>
      </c>
      <c r="P1706" t="s">
        <v>26</v>
      </c>
      <c r="Q1706">
        <v>0</v>
      </c>
    </row>
    <row r="1707" spans="1:17" x14ac:dyDescent="0.25">
      <c r="A1707" t="s">
        <v>29</v>
      </c>
      <c r="B1707" t="s">
        <v>18</v>
      </c>
      <c r="C1707">
        <v>126000</v>
      </c>
      <c r="D1707" t="s">
        <v>44</v>
      </c>
      <c r="E1707" t="s">
        <v>20</v>
      </c>
      <c r="F1707" t="s">
        <v>32</v>
      </c>
      <c r="G1707" t="s">
        <v>22</v>
      </c>
      <c r="H1707" t="s">
        <v>49</v>
      </c>
      <c r="I1707" t="s">
        <v>24</v>
      </c>
      <c r="J1707">
        <v>49900.5</v>
      </c>
      <c r="K1707">
        <v>4990.5</v>
      </c>
      <c r="L1707" t="s">
        <v>51</v>
      </c>
      <c r="M1707" t="s">
        <v>26</v>
      </c>
      <c r="N1707" t="s">
        <v>27</v>
      </c>
      <c r="O1707" t="s">
        <v>28</v>
      </c>
      <c r="P1707" t="s">
        <v>26</v>
      </c>
      <c r="Q1707">
        <v>0</v>
      </c>
    </row>
    <row r="1708" spans="1:17" x14ac:dyDescent="0.25">
      <c r="A1708" t="s">
        <v>29</v>
      </c>
      <c r="B1708" t="s">
        <v>18</v>
      </c>
      <c r="C1708">
        <v>112500</v>
      </c>
      <c r="D1708" t="s">
        <v>46</v>
      </c>
      <c r="E1708" t="s">
        <v>20</v>
      </c>
      <c r="F1708" t="s">
        <v>32</v>
      </c>
      <c r="G1708" t="s">
        <v>22</v>
      </c>
      <c r="H1708" t="s">
        <v>28</v>
      </c>
      <c r="I1708" t="s">
        <v>24</v>
      </c>
      <c r="J1708">
        <v>62325.45</v>
      </c>
      <c r="K1708">
        <v>24930.45</v>
      </c>
      <c r="L1708" t="s">
        <v>25</v>
      </c>
      <c r="M1708" t="s">
        <v>26</v>
      </c>
      <c r="N1708" t="s">
        <v>27</v>
      </c>
      <c r="O1708" t="s">
        <v>35</v>
      </c>
      <c r="P1708" t="s">
        <v>26</v>
      </c>
      <c r="Q1708">
        <v>0</v>
      </c>
    </row>
    <row r="1709" spans="1:17" x14ac:dyDescent="0.25">
      <c r="A1709" t="s">
        <v>29</v>
      </c>
      <c r="B1709" t="s">
        <v>18</v>
      </c>
      <c r="C1709">
        <v>135000</v>
      </c>
      <c r="D1709" t="s">
        <v>46</v>
      </c>
      <c r="E1709" t="s">
        <v>20</v>
      </c>
      <c r="F1709" t="s">
        <v>54</v>
      </c>
      <c r="G1709" t="s">
        <v>22</v>
      </c>
      <c r="H1709" t="s">
        <v>28</v>
      </c>
      <c r="I1709" t="s">
        <v>24</v>
      </c>
      <c r="J1709">
        <v>72405</v>
      </c>
      <c r="K1709">
        <v>7240.5</v>
      </c>
      <c r="L1709" t="s">
        <v>25</v>
      </c>
      <c r="M1709" t="s">
        <v>26</v>
      </c>
      <c r="N1709" t="s">
        <v>27</v>
      </c>
      <c r="O1709" t="s">
        <v>35</v>
      </c>
      <c r="P1709" t="s">
        <v>26</v>
      </c>
      <c r="Q1709">
        <v>0</v>
      </c>
    </row>
    <row r="1710" spans="1:17" x14ac:dyDescent="0.25">
      <c r="A1710" t="s">
        <v>29</v>
      </c>
      <c r="B1710" t="s">
        <v>18</v>
      </c>
      <c r="C1710">
        <v>135000</v>
      </c>
      <c r="D1710" t="s">
        <v>46</v>
      </c>
      <c r="E1710" t="s">
        <v>20</v>
      </c>
      <c r="F1710" t="s">
        <v>54</v>
      </c>
      <c r="G1710" t="s">
        <v>22</v>
      </c>
      <c r="H1710" t="s">
        <v>28</v>
      </c>
      <c r="I1710" t="s">
        <v>66</v>
      </c>
      <c r="J1710">
        <v>162000</v>
      </c>
      <c r="K1710">
        <v>0</v>
      </c>
      <c r="L1710" t="s">
        <v>45</v>
      </c>
      <c r="M1710" t="s">
        <v>28</v>
      </c>
      <c r="N1710" t="s">
        <v>27</v>
      </c>
      <c r="O1710" t="s">
        <v>35</v>
      </c>
      <c r="P1710" t="s">
        <v>26</v>
      </c>
      <c r="Q1710">
        <v>0</v>
      </c>
    </row>
    <row r="1711" spans="1:17" x14ac:dyDescent="0.25">
      <c r="A1711" t="s">
        <v>29</v>
      </c>
      <c r="B1711" t="s">
        <v>18</v>
      </c>
      <c r="C1711">
        <v>67500</v>
      </c>
      <c r="D1711" t="s">
        <v>46</v>
      </c>
      <c r="E1711" t="s">
        <v>20</v>
      </c>
      <c r="F1711" t="s">
        <v>32</v>
      </c>
      <c r="G1711" t="s">
        <v>22</v>
      </c>
      <c r="H1711" t="s">
        <v>28</v>
      </c>
      <c r="I1711" t="s">
        <v>24</v>
      </c>
      <c r="J1711">
        <v>360000</v>
      </c>
      <c r="K1711">
        <v>0</v>
      </c>
      <c r="L1711" t="s">
        <v>25</v>
      </c>
      <c r="M1711" t="s">
        <v>26</v>
      </c>
      <c r="N1711" t="s">
        <v>27</v>
      </c>
      <c r="O1711" t="s">
        <v>35</v>
      </c>
      <c r="P1711" t="s">
        <v>26</v>
      </c>
      <c r="Q1711">
        <v>0</v>
      </c>
    </row>
    <row r="1712" spans="1:17" x14ac:dyDescent="0.25">
      <c r="A1712" t="s">
        <v>29</v>
      </c>
      <c r="B1712" t="s">
        <v>18</v>
      </c>
      <c r="C1712">
        <v>103500</v>
      </c>
      <c r="D1712" t="s">
        <v>19</v>
      </c>
      <c r="E1712" t="s">
        <v>20</v>
      </c>
      <c r="F1712" t="s">
        <v>21</v>
      </c>
      <c r="G1712" t="s">
        <v>22</v>
      </c>
      <c r="H1712" t="s">
        <v>23</v>
      </c>
      <c r="I1712" t="s">
        <v>24</v>
      </c>
      <c r="J1712">
        <v>84424.5</v>
      </c>
      <c r="K1712">
        <v>0</v>
      </c>
      <c r="L1712" t="s">
        <v>43</v>
      </c>
      <c r="M1712" t="s">
        <v>26</v>
      </c>
      <c r="N1712" t="s">
        <v>27</v>
      </c>
      <c r="O1712" t="s">
        <v>35</v>
      </c>
      <c r="P1712" t="s">
        <v>26</v>
      </c>
      <c r="Q1712">
        <v>0</v>
      </c>
    </row>
    <row r="1713" spans="1:17" x14ac:dyDescent="0.25">
      <c r="A1713" t="s">
        <v>17</v>
      </c>
      <c r="B1713" t="s">
        <v>36</v>
      </c>
      <c r="C1713">
        <v>156600</v>
      </c>
      <c r="D1713" t="s">
        <v>44</v>
      </c>
      <c r="E1713" t="s">
        <v>31</v>
      </c>
      <c r="F1713" t="s">
        <v>39</v>
      </c>
      <c r="G1713" t="s">
        <v>62</v>
      </c>
      <c r="H1713" t="s">
        <v>71</v>
      </c>
      <c r="I1713" t="s">
        <v>24</v>
      </c>
      <c r="J1713">
        <v>116086.5</v>
      </c>
      <c r="K1713">
        <v>0</v>
      </c>
      <c r="L1713" t="s">
        <v>43</v>
      </c>
      <c r="M1713" t="s">
        <v>26</v>
      </c>
      <c r="N1713" t="s">
        <v>27</v>
      </c>
      <c r="O1713" t="s">
        <v>35</v>
      </c>
      <c r="P1713" t="s">
        <v>26</v>
      </c>
      <c r="Q1713">
        <v>0</v>
      </c>
    </row>
    <row r="1714" spans="1:17" x14ac:dyDescent="0.25">
      <c r="A1714" t="s">
        <v>17</v>
      </c>
      <c r="B1714" t="s">
        <v>36</v>
      </c>
      <c r="C1714">
        <v>156600</v>
      </c>
      <c r="D1714" t="s">
        <v>44</v>
      </c>
      <c r="E1714" t="s">
        <v>31</v>
      </c>
      <c r="F1714" t="s">
        <v>39</v>
      </c>
      <c r="G1714" t="s">
        <v>62</v>
      </c>
      <c r="H1714" t="s">
        <v>71</v>
      </c>
      <c r="I1714" t="s">
        <v>24</v>
      </c>
      <c r="J1714">
        <v>110205</v>
      </c>
      <c r="K1714">
        <v>11020.5</v>
      </c>
      <c r="L1714" t="s">
        <v>25</v>
      </c>
      <c r="M1714" t="s">
        <v>26</v>
      </c>
      <c r="N1714" t="s">
        <v>27</v>
      </c>
      <c r="O1714" t="s">
        <v>35</v>
      </c>
      <c r="P1714" t="s">
        <v>26</v>
      </c>
      <c r="Q1714">
        <v>0</v>
      </c>
    </row>
    <row r="1715" spans="1:17" x14ac:dyDescent="0.25">
      <c r="A1715" t="s">
        <v>17</v>
      </c>
      <c r="B1715" t="s">
        <v>36</v>
      </c>
      <c r="C1715">
        <v>156600</v>
      </c>
      <c r="D1715" t="s">
        <v>44</v>
      </c>
      <c r="E1715" t="s">
        <v>31</v>
      </c>
      <c r="F1715" t="s">
        <v>39</v>
      </c>
      <c r="G1715" t="s">
        <v>62</v>
      </c>
      <c r="H1715" t="s">
        <v>71</v>
      </c>
      <c r="I1715" t="s">
        <v>24</v>
      </c>
      <c r="J1715">
        <v>189355.5</v>
      </c>
      <c r="K1715">
        <v>18936</v>
      </c>
      <c r="L1715" t="s">
        <v>42</v>
      </c>
      <c r="M1715" t="s">
        <v>26</v>
      </c>
      <c r="N1715" t="s">
        <v>27</v>
      </c>
      <c r="O1715" t="s">
        <v>35</v>
      </c>
      <c r="P1715" t="s">
        <v>26</v>
      </c>
      <c r="Q1715">
        <v>0</v>
      </c>
    </row>
    <row r="1716" spans="1:17" x14ac:dyDescent="0.25">
      <c r="A1716" t="s">
        <v>17</v>
      </c>
      <c r="B1716" t="s">
        <v>36</v>
      </c>
      <c r="C1716">
        <v>126000</v>
      </c>
      <c r="D1716" t="s">
        <v>46</v>
      </c>
      <c r="E1716" t="s">
        <v>20</v>
      </c>
      <c r="F1716" t="s">
        <v>32</v>
      </c>
      <c r="G1716" t="s">
        <v>22</v>
      </c>
      <c r="H1716" t="s">
        <v>28</v>
      </c>
      <c r="I1716" t="s">
        <v>24</v>
      </c>
      <c r="J1716">
        <v>40477.5</v>
      </c>
      <c r="K1716">
        <v>0</v>
      </c>
      <c r="L1716" t="s">
        <v>38</v>
      </c>
      <c r="M1716" t="s">
        <v>26</v>
      </c>
      <c r="N1716" t="s">
        <v>27</v>
      </c>
      <c r="O1716" t="s">
        <v>35</v>
      </c>
      <c r="P1716" t="s">
        <v>26</v>
      </c>
      <c r="Q1716">
        <v>0</v>
      </c>
    </row>
    <row r="1717" spans="1:17" x14ac:dyDescent="0.25">
      <c r="A1717" t="s">
        <v>17</v>
      </c>
      <c r="B1717" t="s">
        <v>36</v>
      </c>
      <c r="C1717">
        <v>180000</v>
      </c>
      <c r="D1717" t="s">
        <v>19</v>
      </c>
      <c r="E1717" t="s">
        <v>20</v>
      </c>
      <c r="F1717" t="s">
        <v>32</v>
      </c>
      <c r="G1717" t="s">
        <v>22</v>
      </c>
      <c r="H1717" t="s">
        <v>49</v>
      </c>
      <c r="I1717" t="s">
        <v>24</v>
      </c>
      <c r="J1717">
        <v>38925</v>
      </c>
      <c r="K1717">
        <v>0</v>
      </c>
      <c r="L1717" t="s">
        <v>25</v>
      </c>
      <c r="M1717" t="s">
        <v>26</v>
      </c>
      <c r="N1717" t="s">
        <v>27</v>
      </c>
      <c r="O1717" t="s">
        <v>35</v>
      </c>
      <c r="P1717" t="s">
        <v>26</v>
      </c>
      <c r="Q1717">
        <v>0</v>
      </c>
    </row>
    <row r="1718" spans="1:17" x14ac:dyDescent="0.25">
      <c r="A1718" t="s">
        <v>29</v>
      </c>
      <c r="B1718" t="s">
        <v>18</v>
      </c>
      <c r="C1718">
        <v>135000</v>
      </c>
      <c r="D1718" t="s">
        <v>19</v>
      </c>
      <c r="E1718" t="s">
        <v>20</v>
      </c>
      <c r="F1718" t="s">
        <v>39</v>
      </c>
      <c r="G1718" t="s">
        <v>22</v>
      </c>
      <c r="H1718" t="s">
        <v>57</v>
      </c>
      <c r="I1718" t="s">
        <v>24</v>
      </c>
      <c r="J1718">
        <v>17851.5</v>
      </c>
      <c r="K1718">
        <v>3573</v>
      </c>
      <c r="L1718" t="s">
        <v>45</v>
      </c>
      <c r="M1718" t="s">
        <v>26</v>
      </c>
      <c r="N1718" t="s">
        <v>27</v>
      </c>
      <c r="O1718" t="s">
        <v>28</v>
      </c>
      <c r="P1718" t="s">
        <v>26</v>
      </c>
      <c r="Q1718">
        <v>0</v>
      </c>
    </row>
    <row r="1719" spans="1:17" x14ac:dyDescent="0.25">
      <c r="A1719" t="s">
        <v>29</v>
      </c>
      <c r="B1719" t="s">
        <v>18</v>
      </c>
      <c r="C1719">
        <v>135000</v>
      </c>
      <c r="D1719" t="s">
        <v>19</v>
      </c>
      <c r="E1719" t="s">
        <v>20</v>
      </c>
      <c r="F1719" t="s">
        <v>39</v>
      </c>
      <c r="G1719" t="s">
        <v>22</v>
      </c>
      <c r="H1719" t="s">
        <v>57</v>
      </c>
      <c r="I1719" t="s">
        <v>24</v>
      </c>
      <c r="J1719">
        <v>108130.5</v>
      </c>
      <c r="K1719">
        <v>43254</v>
      </c>
      <c r="L1719" t="s">
        <v>42</v>
      </c>
      <c r="M1719" t="s">
        <v>26</v>
      </c>
      <c r="N1719" t="s">
        <v>27</v>
      </c>
      <c r="O1719" t="s">
        <v>28</v>
      </c>
      <c r="P1719" t="s">
        <v>26</v>
      </c>
      <c r="Q1719">
        <v>0</v>
      </c>
    </row>
    <row r="1720" spans="1:17" x14ac:dyDescent="0.25">
      <c r="A1720" t="s">
        <v>17</v>
      </c>
      <c r="B1720" t="s">
        <v>36</v>
      </c>
      <c r="C1720">
        <v>225000</v>
      </c>
      <c r="D1720" t="s">
        <v>19</v>
      </c>
      <c r="E1720" t="s">
        <v>20</v>
      </c>
      <c r="F1720" t="s">
        <v>32</v>
      </c>
      <c r="G1720" t="s">
        <v>22</v>
      </c>
      <c r="H1720" t="s">
        <v>85</v>
      </c>
      <c r="I1720" t="s">
        <v>24</v>
      </c>
      <c r="J1720">
        <v>83673</v>
      </c>
      <c r="K1720">
        <v>0</v>
      </c>
      <c r="L1720" t="s">
        <v>42</v>
      </c>
      <c r="M1720" t="s">
        <v>26</v>
      </c>
      <c r="N1720" t="s">
        <v>27</v>
      </c>
      <c r="O1720" t="s">
        <v>35</v>
      </c>
      <c r="P1720" t="s">
        <v>26</v>
      </c>
      <c r="Q1720">
        <v>0</v>
      </c>
    </row>
    <row r="1721" spans="1:17" x14ac:dyDescent="0.25">
      <c r="A1721" t="s">
        <v>17</v>
      </c>
      <c r="B1721" t="s">
        <v>18</v>
      </c>
      <c r="C1721">
        <v>112500</v>
      </c>
      <c r="D1721" t="s">
        <v>19</v>
      </c>
      <c r="E1721" t="s">
        <v>20</v>
      </c>
      <c r="F1721" t="s">
        <v>32</v>
      </c>
      <c r="G1721" t="s">
        <v>22</v>
      </c>
      <c r="H1721" t="s">
        <v>23</v>
      </c>
      <c r="I1721" t="s">
        <v>24</v>
      </c>
      <c r="J1721">
        <v>38700</v>
      </c>
      <c r="K1721">
        <v>3870</v>
      </c>
      <c r="L1721" t="s">
        <v>51</v>
      </c>
      <c r="M1721" t="s">
        <v>26</v>
      </c>
      <c r="N1721" t="s">
        <v>58</v>
      </c>
      <c r="O1721" t="s">
        <v>35</v>
      </c>
      <c r="P1721" t="s">
        <v>59</v>
      </c>
      <c r="Q1721">
        <v>1</v>
      </c>
    </row>
    <row r="1722" spans="1:17" x14ac:dyDescent="0.25">
      <c r="A1722" t="s">
        <v>17</v>
      </c>
      <c r="B1722" t="s">
        <v>18</v>
      </c>
      <c r="C1722">
        <v>112500</v>
      </c>
      <c r="D1722" t="s">
        <v>19</v>
      </c>
      <c r="E1722" t="s">
        <v>20</v>
      </c>
      <c r="F1722" t="s">
        <v>32</v>
      </c>
      <c r="G1722" t="s">
        <v>22</v>
      </c>
      <c r="H1722" t="s">
        <v>23</v>
      </c>
      <c r="I1722" t="s">
        <v>24</v>
      </c>
      <c r="J1722">
        <v>44996.4</v>
      </c>
      <c r="K1722">
        <v>4500.8999999999996</v>
      </c>
      <c r="L1722" t="s">
        <v>25</v>
      </c>
      <c r="M1722" t="s">
        <v>26</v>
      </c>
      <c r="N1722" t="s">
        <v>27</v>
      </c>
      <c r="O1722" t="s">
        <v>35</v>
      </c>
      <c r="P1722" t="s">
        <v>26</v>
      </c>
      <c r="Q1722">
        <v>0</v>
      </c>
    </row>
    <row r="1723" spans="1:17" x14ac:dyDescent="0.25">
      <c r="A1723" t="s">
        <v>17</v>
      </c>
      <c r="B1723" t="s">
        <v>18</v>
      </c>
      <c r="C1723">
        <v>112500</v>
      </c>
      <c r="D1723" t="s">
        <v>19</v>
      </c>
      <c r="E1723" t="s">
        <v>20</v>
      </c>
      <c r="F1723" t="s">
        <v>32</v>
      </c>
      <c r="G1723" t="s">
        <v>22</v>
      </c>
      <c r="H1723" t="s">
        <v>23</v>
      </c>
      <c r="I1723" t="s">
        <v>24</v>
      </c>
      <c r="J1723">
        <v>45126</v>
      </c>
      <c r="K1723">
        <v>4513.5</v>
      </c>
      <c r="L1723" t="s">
        <v>38</v>
      </c>
      <c r="M1723" t="s">
        <v>26</v>
      </c>
      <c r="N1723" t="s">
        <v>27</v>
      </c>
      <c r="O1723" t="s">
        <v>35</v>
      </c>
      <c r="P1723" t="s">
        <v>26</v>
      </c>
      <c r="Q1723">
        <v>0</v>
      </c>
    </row>
    <row r="1724" spans="1:17" x14ac:dyDescent="0.25">
      <c r="A1724" t="s">
        <v>17</v>
      </c>
      <c r="B1724" t="s">
        <v>36</v>
      </c>
      <c r="C1724">
        <v>157500</v>
      </c>
      <c r="D1724" t="s">
        <v>19</v>
      </c>
      <c r="E1724" t="s">
        <v>20</v>
      </c>
      <c r="F1724" t="s">
        <v>32</v>
      </c>
      <c r="G1724" t="s">
        <v>22</v>
      </c>
      <c r="H1724" t="s">
        <v>23</v>
      </c>
      <c r="I1724" t="s">
        <v>24</v>
      </c>
      <c r="J1724">
        <v>106195.5</v>
      </c>
      <c r="K1724">
        <v>10620</v>
      </c>
      <c r="L1724" t="s">
        <v>38</v>
      </c>
      <c r="M1724" t="s">
        <v>26</v>
      </c>
      <c r="N1724" t="s">
        <v>58</v>
      </c>
      <c r="O1724" t="s">
        <v>35</v>
      </c>
      <c r="P1724" t="s">
        <v>64</v>
      </c>
      <c r="Q1724">
        <v>1</v>
      </c>
    </row>
    <row r="1725" spans="1:17" x14ac:dyDescent="0.25">
      <c r="A1725" t="s">
        <v>17</v>
      </c>
      <c r="B1725" t="s">
        <v>36</v>
      </c>
      <c r="C1725">
        <v>157500</v>
      </c>
      <c r="D1725" t="s">
        <v>19</v>
      </c>
      <c r="E1725" t="s">
        <v>20</v>
      </c>
      <c r="F1725" t="s">
        <v>32</v>
      </c>
      <c r="G1725" t="s">
        <v>22</v>
      </c>
      <c r="H1725" t="s">
        <v>23</v>
      </c>
      <c r="I1725" t="s">
        <v>24</v>
      </c>
      <c r="J1725">
        <v>32490</v>
      </c>
      <c r="K1725">
        <v>3600</v>
      </c>
      <c r="L1725" t="s">
        <v>42</v>
      </c>
      <c r="M1725" t="s">
        <v>26</v>
      </c>
      <c r="N1725" t="s">
        <v>27</v>
      </c>
      <c r="O1725" t="s">
        <v>35</v>
      </c>
      <c r="P1725" t="s">
        <v>26</v>
      </c>
      <c r="Q1725">
        <v>0</v>
      </c>
    </row>
    <row r="1726" spans="1:17" x14ac:dyDescent="0.25">
      <c r="A1726" t="s">
        <v>17</v>
      </c>
      <c r="B1726" t="s">
        <v>36</v>
      </c>
      <c r="C1726">
        <v>157500</v>
      </c>
      <c r="D1726" t="s">
        <v>19</v>
      </c>
      <c r="E1726" t="s">
        <v>20</v>
      </c>
      <c r="F1726" t="s">
        <v>32</v>
      </c>
      <c r="G1726" t="s">
        <v>22</v>
      </c>
      <c r="H1726" t="s">
        <v>23</v>
      </c>
      <c r="I1726" t="s">
        <v>24</v>
      </c>
      <c r="J1726">
        <v>106195.5</v>
      </c>
      <c r="K1726">
        <v>10620</v>
      </c>
      <c r="L1726" t="s">
        <v>38</v>
      </c>
      <c r="M1726" t="s">
        <v>26</v>
      </c>
      <c r="N1726" t="s">
        <v>58</v>
      </c>
      <c r="O1726" t="s">
        <v>35</v>
      </c>
      <c r="P1726" t="s">
        <v>64</v>
      </c>
      <c r="Q1726">
        <v>1</v>
      </c>
    </row>
    <row r="1727" spans="1:17" x14ac:dyDescent="0.25">
      <c r="A1727" t="s">
        <v>29</v>
      </c>
      <c r="B1727" t="s">
        <v>18</v>
      </c>
      <c r="C1727">
        <v>247500</v>
      </c>
      <c r="D1727" t="s">
        <v>46</v>
      </c>
      <c r="E1727" t="s">
        <v>20</v>
      </c>
      <c r="F1727" t="s">
        <v>54</v>
      </c>
      <c r="G1727" t="s">
        <v>22</v>
      </c>
      <c r="H1727" t="s">
        <v>28</v>
      </c>
      <c r="I1727" t="s">
        <v>24</v>
      </c>
      <c r="J1727">
        <v>160798.5</v>
      </c>
      <c r="K1727">
        <v>64323</v>
      </c>
      <c r="L1727" t="s">
        <v>51</v>
      </c>
      <c r="M1727" t="s">
        <v>26</v>
      </c>
      <c r="N1727" t="s">
        <v>27</v>
      </c>
      <c r="O1727" t="s">
        <v>35</v>
      </c>
      <c r="P1727" t="s">
        <v>26</v>
      </c>
      <c r="Q1727">
        <v>0</v>
      </c>
    </row>
    <row r="1728" spans="1:17" x14ac:dyDescent="0.25">
      <c r="A1728" t="s">
        <v>29</v>
      </c>
      <c r="B1728" t="s">
        <v>18</v>
      </c>
      <c r="C1728">
        <v>247500</v>
      </c>
      <c r="D1728" t="s">
        <v>46</v>
      </c>
      <c r="E1728" t="s">
        <v>20</v>
      </c>
      <c r="F1728" t="s">
        <v>54</v>
      </c>
      <c r="G1728" t="s">
        <v>22</v>
      </c>
      <c r="H1728" t="s">
        <v>28</v>
      </c>
      <c r="I1728" t="s">
        <v>24</v>
      </c>
      <c r="J1728">
        <v>33435</v>
      </c>
      <c r="K1728">
        <v>3343.5</v>
      </c>
      <c r="L1728" t="s">
        <v>25</v>
      </c>
      <c r="M1728" t="s">
        <v>26</v>
      </c>
      <c r="N1728" t="s">
        <v>27</v>
      </c>
      <c r="O1728" t="s">
        <v>35</v>
      </c>
      <c r="P1728" t="s">
        <v>26</v>
      </c>
      <c r="Q1728">
        <v>0</v>
      </c>
    </row>
    <row r="1729" spans="1:17" x14ac:dyDescent="0.25">
      <c r="A1729" t="s">
        <v>29</v>
      </c>
      <c r="B1729" t="s">
        <v>36</v>
      </c>
      <c r="C1729">
        <v>157500</v>
      </c>
      <c r="D1729" t="s">
        <v>19</v>
      </c>
      <c r="E1729" t="s">
        <v>31</v>
      </c>
      <c r="F1729" t="s">
        <v>39</v>
      </c>
      <c r="G1729" t="s">
        <v>22</v>
      </c>
      <c r="H1729" t="s">
        <v>49</v>
      </c>
      <c r="I1729" t="s">
        <v>24</v>
      </c>
      <c r="J1729">
        <v>18382.5</v>
      </c>
      <c r="K1729">
        <v>2250</v>
      </c>
      <c r="L1729" t="s">
        <v>25</v>
      </c>
      <c r="M1729" t="s">
        <v>26</v>
      </c>
      <c r="N1729" t="s">
        <v>27</v>
      </c>
      <c r="O1729" t="s">
        <v>35</v>
      </c>
      <c r="P1729" t="s">
        <v>26</v>
      </c>
      <c r="Q1729">
        <v>0</v>
      </c>
    </row>
    <row r="1730" spans="1:17" x14ac:dyDescent="0.25">
      <c r="A1730" t="s">
        <v>29</v>
      </c>
      <c r="B1730" t="s">
        <v>18</v>
      </c>
      <c r="C1730">
        <v>315000</v>
      </c>
      <c r="D1730" t="s">
        <v>46</v>
      </c>
      <c r="E1730" t="s">
        <v>31</v>
      </c>
      <c r="F1730" t="s">
        <v>32</v>
      </c>
      <c r="G1730" t="s">
        <v>22</v>
      </c>
      <c r="H1730" t="s">
        <v>28</v>
      </c>
      <c r="I1730" t="s">
        <v>24</v>
      </c>
      <c r="J1730">
        <v>33075</v>
      </c>
      <c r="K1730">
        <v>0</v>
      </c>
      <c r="L1730" t="s">
        <v>38</v>
      </c>
      <c r="M1730" t="s">
        <v>26</v>
      </c>
      <c r="N1730" t="s">
        <v>27</v>
      </c>
      <c r="O1730" t="s">
        <v>35</v>
      </c>
      <c r="P1730" t="s">
        <v>26</v>
      </c>
      <c r="Q1730">
        <v>0</v>
      </c>
    </row>
    <row r="1731" spans="1:17" x14ac:dyDescent="0.25">
      <c r="A1731" t="s">
        <v>29</v>
      </c>
      <c r="B1731" t="s">
        <v>18</v>
      </c>
      <c r="C1731">
        <v>292500</v>
      </c>
      <c r="D1731" t="s">
        <v>46</v>
      </c>
      <c r="E1731" t="s">
        <v>20</v>
      </c>
      <c r="F1731" t="s">
        <v>32</v>
      </c>
      <c r="G1731" t="s">
        <v>22</v>
      </c>
      <c r="H1731" t="s">
        <v>28</v>
      </c>
      <c r="I1731" t="s">
        <v>24</v>
      </c>
      <c r="J1731">
        <v>352800</v>
      </c>
      <c r="K1731">
        <v>0</v>
      </c>
      <c r="L1731" t="s">
        <v>34</v>
      </c>
      <c r="M1731" t="s">
        <v>26</v>
      </c>
      <c r="N1731" t="s">
        <v>27</v>
      </c>
      <c r="O1731" t="s">
        <v>35</v>
      </c>
      <c r="P1731" t="s">
        <v>26</v>
      </c>
      <c r="Q1731">
        <v>0</v>
      </c>
    </row>
    <row r="1732" spans="1:17" x14ac:dyDescent="0.25">
      <c r="A1732" t="s">
        <v>29</v>
      </c>
      <c r="B1732" t="s">
        <v>36</v>
      </c>
      <c r="C1732">
        <v>112500</v>
      </c>
      <c r="D1732" t="s">
        <v>19</v>
      </c>
      <c r="E1732" t="s">
        <v>20</v>
      </c>
      <c r="F1732" t="s">
        <v>32</v>
      </c>
      <c r="G1732" t="s">
        <v>22</v>
      </c>
      <c r="H1732" t="s">
        <v>23</v>
      </c>
      <c r="I1732" t="s">
        <v>24</v>
      </c>
      <c r="J1732">
        <v>101574</v>
      </c>
      <c r="K1732">
        <v>0</v>
      </c>
      <c r="L1732" t="s">
        <v>34</v>
      </c>
      <c r="M1732" t="s">
        <v>26</v>
      </c>
      <c r="N1732" t="s">
        <v>27</v>
      </c>
      <c r="O1732" t="s">
        <v>35</v>
      </c>
      <c r="P1732" t="s">
        <v>26</v>
      </c>
      <c r="Q1732">
        <v>0</v>
      </c>
    </row>
    <row r="1733" spans="1:17" x14ac:dyDescent="0.25">
      <c r="A1733" t="s">
        <v>29</v>
      </c>
      <c r="B1733" t="s">
        <v>36</v>
      </c>
      <c r="C1733">
        <v>315000</v>
      </c>
      <c r="D1733" t="s">
        <v>44</v>
      </c>
      <c r="E1733" t="s">
        <v>31</v>
      </c>
      <c r="F1733" t="s">
        <v>69</v>
      </c>
      <c r="G1733" t="s">
        <v>22</v>
      </c>
      <c r="H1733" t="s">
        <v>91</v>
      </c>
      <c r="I1733" t="s">
        <v>24</v>
      </c>
      <c r="J1733">
        <v>44550</v>
      </c>
      <c r="K1733">
        <v>0</v>
      </c>
      <c r="L1733" t="s">
        <v>34</v>
      </c>
      <c r="M1733" t="s">
        <v>26</v>
      </c>
      <c r="N1733" t="s">
        <v>27</v>
      </c>
      <c r="O1733" t="s">
        <v>35</v>
      </c>
      <c r="P1733" t="s">
        <v>26</v>
      </c>
      <c r="Q1733">
        <v>0</v>
      </c>
    </row>
    <row r="1734" spans="1:17" x14ac:dyDescent="0.25">
      <c r="A1734" t="s">
        <v>29</v>
      </c>
      <c r="B1734" t="s">
        <v>18</v>
      </c>
      <c r="C1734">
        <v>112500</v>
      </c>
      <c r="D1734" t="s">
        <v>19</v>
      </c>
      <c r="E1734" t="s">
        <v>20</v>
      </c>
      <c r="F1734" t="s">
        <v>32</v>
      </c>
      <c r="G1734" t="s">
        <v>22</v>
      </c>
      <c r="H1734" t="s">
        <v>23</v>
      </c>
      <c r="I1734" t="s">
        <v>24</v>
      </c>
      <c r="J1734">
        <v>41571</v>
      </c>
      <c r="K1734">
        <v>0</v>
      </c>
      <c r="L1734" t="s">
        <v>51</v>
      </c>
      <c r="M1734" t="s">
        <v>26</v>
      </c>
      <c r="N1734" t="s">
        <v>27</v>
      </c>
      <c r="O1734" t="s">
        <v>35</v>
      </c>
      <c r="P1734" t="s">
        <v>26</v>
      </c>
      <c r="Q1734">
        <v>0</v>
      </c>
    </row>
    <row r="1735" spans="1:17" x14ac:dyDescent="0.25">
      <c r="A1735" t="s">
        <v>29</v>
      </c>
      <c r="B1735" t="s">
        <v>18</v>
      </c>
      <c r="C1735">
        <v>202500</v>
      </c>
      <c r="D1735" t="s">
        <v>19</v>
      </c>
      <c r="E1735" t="s">
        <v>20</v>
      </c>
      <c r="F1735" t="s">
        <v>54</v>
      </c>
      <c r="G1735" t="s">
        <v>22</v>
      </c>
      <c r="H1735" t="s">
        <v>56</v>
      </c>
      <c r="I1735" t="s">
        <v>24</v>
      </c>
      <c r="J1735">
        <v>49495.5</v>
      </c>
      <c r="K1735">
        <v>9900</v>
      </c>
      <c r="L1735" t="s">
        <v>45</v>
      </c>
      <c r="M1735" t="s">
        <v>26</v>
      </c>
      <c r="N1735" t="s">
        <v>27</v>
      </c>
      <c r="O1735" t="s">
        <v>35</v>
      </c>
      <c r="P1735" t="s">
        <v>26</v>
      </c>
      <c r="Q1735">
        <v>0</v>
      </c>
    </row>
    <row r="1736" spans="1:17" x14ac:dyDescent="0.25">
      <c r="A1736" t="s">
        <v>29</v>
      </c>
      <c r="B1736" t="s">
        <v>18</v>
      </c>
      <c r="C1736">
        <v>202500</v>
      </c>
      <c r="D1736" t="s">
        <v>19</v>
      </c>
      <c r="E1736" t="s">
        <v>20</v>
      </c>
      <c r="F1736" t="s">
        <v>54</v>
      </c>
      <c r="G1736" t="s">
        <v>22</v>
      </c>
      <c r="H1736" t="s">
        <v>56</v>
      </c>
      <c r="I1736" t="s">
        <v>24</v>
      </c>
      <c r="J1736">
        <v>28251</v>
      </c>
      <c r="K1736">
        <v>0</v>
      </c>
      <c r="L1736" t="s">
        <v>51</v>
      </c>
      <c r="M1736" t="s">
        <v>26</v>
      </c>
      <c r="N1736" t="s">
        <v>27</v>
      </c>
      <c r="O1736" t="s">
        <v>28</v>
      </c>
      <c r="P1736" t="s">
        <v>26</v>
      </c>
      <c r="Q1736">
        <v>0</v>
      </c>
    </row>
    <row r="1737" spans="1:17" x14ac:dyDescent="0.25">
      <c r="A1737" t="s">
        <v>29</v>
      </c>
      <c r="B1737" t="s">
        <v>18</v>
      </c>
      <c r="C1737">
        <v>180000</v>
      </c>
      <c r="D1737" t="s">
        <v>19</v>
      </c>
      <c r="E1737" t="s">
        <v>70</v>
      </c>
      <c r="F1737" t="s">
        <v>54</v>
      </c>
      <c r="G1737" t="s">
        <v>22</v>
      </c>
      <c r="H1737" t="s">
        <v>93</v>
      </c>
      <c r="I1737" t="s">
        <v>24</v>
      </c>
      <c r="J1737">
        <v>45171</v>
      </c>
      <c r="K1737">
        <v>9036</v>
      </c>
      <c r="L1737" t="s">
        <v>43</v>
      </c>
      <c r="M1737" t="s">
        <v>26</v>
      </c>
      <c r="N1737" t="s">
        <v>27</v>
      </c>
      <c r="O1737" t="s">
        <v>35</v>
      </c>
      <c r="P1737" t="s">
        <v>26</v>
      </c>
      <c r="Q1737">
        <v>0</v>
      </c>
    </row>
    <row r="1738" spans="1:17" x14ac:dyDescent="0.25">
      <c r="A1738" t="s">
        <v>29</v>
      </c>
      <c r="B1738" t="s">
        <v>18</v>
      </c>
      <c r="C1738">
        <v>180000</v>
      </c>
      <c r="D1738" t="s">
        <v>19</v>
      </c>
      <c r="E1738" t="s">
        <v>70</v>
      </c>
      <c r="F1738" t="s">
        <v>54</v>
      </c>
      <c r="G1738" t="s">
        <v>22</v>
      </c>
      <c r="H1738" t="s">
        <v>93</v>
      </c>
      <c r="I1738" t="s">
        <v>24</v>
      </c>
      <c r="J1738">
        <v>32805</v>
      </c>
      <c r="K1738">
        <v>3375</v>
      </c>
      <c r="L1738" t="s">
        <v>38</v>
      </c>
      <c r="M1738" t="s">
        <v>26</v>
      </c>
      <c r="N1738" t="s">
        <v>58</v>
      </c>
      <c r="O1738" t="s">
        <v>35</v>
      </c>
      <c r="P1738" t="s">
        <v>60</v>
      </c>
      <c r="Q1738">
        <v>1</v>
      </c>
    </row>
    <row r="1739" spans="1:17" x14ac:dyDescent="0.25">
      <c r="A1739" t="s">
        <v>29</v>
      </c>
      <c r="B1739" t="s">
        <v>18</v>
      </c>
      <c r="C1739">
        <v>36000</v>
      </c>
      <c r="D1739" t="s">
        <v>46</v>
      </c>
      <c r="E1739" t="s">
        <v>20</v>
      </c>
      <c r="F1739" t="s">
        <v>32</v>
      </c>
      <c r="G1739" t="s">
        <v>22</v>
      </c>
      <c r="H1739" t="s">
        <v>28</v>
      </c>
      <c r="I1739" t="s">
        <v>66</v>
      </c>
      <c r="J1739">
        <v>288000</v>
      </c>
      <c r="K1739">
        <v>0</v>
      </c>
      <c r="L1739" t="s">
        <v>42</v>
      </c>
      <c r="M1739" t="s">
        <v>28</v>
      </c>
      <c r="N1739" t="s">
        <v>27</v>
      </c>
      <c r="O1739" t="s">
        <v>35</v>
      </c>
      <c r="P1739" t="s">
        <v>26</v>
      </c>
      <c r="Q1739">
        <v>0</v>
      </c>
    </row>
    <row r="1740" spans="1:17" x14ac:dyDescent="0.25">
      <c r="A1740" t="s">
        <v>29</v>
      </c>
      <c r="B1740" t="s">
        <v>18</v>
      </c>
      <c r="C1740">
        <v>36000</v>
      </c>
      <c r="D1740" t="s">
        <v>46</v>
      </c>
      <c r="E1740" t="s">
        <v>20</v>
      </c>
      <c r="F1740" t="s">
        <v>32</v>
      </c>
      <c r="G1740" t="s">
        <v>22</v>
      </c>
      <c r="H1740" t="s">
        <v>28</v>
      </c>
      <c r="I1740" t="s">
        <v>66</v>
      </c>
      <c r="J1740">
        <v>270000</v>
      </c>
      <c r="K1740">
        <v>0</v>
      </c>
      <c r="L1740" t="s">
        <v>43</v>
      </c>
      <c r="M1740" t="s">
        <v>28</v>
      </c>
      <c r="N1740" t="s">
        <v>27</v>
      </c>
      <c r="O1740" t="s">
        <v>35</v>
      </c>
      <c r="P1740" t="s">
        <v>26</v>
      </c>
      <c r="Q1740">
        <v>0</v>
      </c>
    </row>
    <row r="1741" spans="1:17" x14ac:dyDescent="0.25">
      <c r="A1741" t="s">
        <v>17</v>
      </c>
      <c r="B1741" t="s">
        <v>36</v>
      </c>
      <c r="C1741">
        <v>90000</v>
      </c>
      <c r="D1741" t="s">
        <v>19</v>
      </c>
      <c r="E1741" t="s">
        <v>20</v>
      </c>
      <c r="F1741" t="s">
        <v>32</v>
      </c>
      <c r="G1741" t="s">
        <v>22</v>
      </c>
      <c r="H1741" t="s">
        <v>41</v>
      </c>
      <c r="I1741" t="s">
        <v>24</v>
      </c>
      <c r="J1741">
        <v>25155</v>
      </c>
      <c r="K1741">
        <v>2515.5</v>
      </c>
      <c r="L1741" t="s">
        <v>42</v>
      </c>
      <c r="M1741" t="s">
        <v>26</v>
      </c>
      <c r="N1741" t="s">
        <v>27</v>
      </c>
      <c r="O1741" t="s">
        <v>35</v>
      </c>
      <c r="P1741" t="s">
        <v>26</v>
      </c>
      <c r="Q1741">
        <v>0</v>
      </c>
    </row>
    <row r="1742" spans="1:17" x14ac:dyDescent="0.25">
      <c r="A1742" t="s">
        <v>17</v>
      </c>
      <c r="B1742" t="s">
        <v>18</v>
      </c>
      <c r="C1742">
        <v>180000</v>
      </c>
      <c r="D1742" t="s">
        <v>19</v>
      </c>
      <c r="E1742" t="s">
        <v>31</v>
      </c>
      <c r="F1742" t="s">
        <v>21</v>
      </c>
      <c r="G1742" t="s">
        <v>62</v>
      </c>
      <c r="H1742" t="s">
        <v>48</v>
      </c>
      <c r="I1742" t="s">
        <v>24</v>
      </c>
      <c r="J1742">
        <v>123759</v>
      </c>
      <c r="K1742">
        <v>0</v>
      </c>
      <c r="L1742" t="s">
        <v>51</v>
      </c>
      <c r="M1742" t="s">
        <v>26</v>
      </c>
      <c r="N1742" t="s">
        <v>27</v>
      </c>
      <c r="O1742" t="s">
        <v>35</v>
      </c>
      <c r="P1742" t="s">
        <v>26</v>
      </c>
      <c r="Q1742">
        <v>0</v>
      </c>
    </row>
    <row r="1743" spans="1:17" x14ac:dyDescent="0.25">
      <c r="A1743" t="s">
        <v>29</v>
      </c>
      <c r="B1743" t="s">
        <v>18</v>
      </c>
      <c r="C1743">
        <v>292500</v>
      </c>
      <c r="D1743" t="s">
        <v>44</v>
      </c>
      <c r="E1743" t="s">
        <v>20</v>
      </c>
      <c r="F1743" t="s">
        <v>32</v>
      </c>
      <c r="G1743" t="s">
        <v>22</v>
      </c>
      <c r="H1743" t="s">
        <v>49</v>
      </c>
      <c r="I1743" t="s">
        <v>24</v>
      </c>
      <c r="J1743">
        <v>51277.5</v>
      </c>
      <c r="K1743">
        <v>5400</v>
      </c>
      <c r="L1743" t="s">
        <v>45</v>
      </c>
      <c r="M1743" t="s">
        <v>26</v>
      </c>
      <c r="N1743" t="s">
        <v>27</v>
      </c>
      <c r="O1743" t="s">
        <v>35</v>
      </c>
      <c r="P1743" t="s">
        <v>26</v>
      </c>
      <c r="Q1743">
        <v>0</v>
      </c>
    </row>
    <row r="1744" spans="1:17" x14ac:dyDescent="0.25">
      <c r="A1744" t="s">
        <v>29</v>
      </c>
      <c r="B1744" t="s">
        <v>18</v>
      </c>
      <c r="C1744">
        <v>292500</v>
      </c>
      <c r="D1744" t="s">
        <v>44</v>
      </c>
      <c r="E1744" t="s">
        <v>20</v>
      </c>
      <c r="F1744" t="s">
        <v>32</v>
      </c>
      <c r="G1744" t="s">
        <v>22</v>
      </c>
      <c r="H1744" t="s">
        <v>49</v>
      </c>
      <c r="I1744" t="s">
        <v>66</v>
      </c>
      <c r="J1744">
        <v>45000</v>
      </c>
      <c r="K1744">
        <v>0</v>
      </c>
      <c r="L1744" t="s">
        <v>51</v>
      </c>
      <c r="M1744" t="s">
        <v>28</v>
      </c>
      <c r="N1744" t="s">
        <v>27</v>
      </c>
      <c r="O1744" t="s">
        <v>35</v>
      </c>
      <c r="P1744" t="s">
        <v>26</v>
      </c>
      <c r="Q1744">
        <v>0</v>
      </c>
    </row>
    <row r="1745" spans="1:17" x14ac:dyDescent="0.25">
      <c r="A1745" t="s">
        <v>29</v>
      </c>
      <c r="B1745" t="s">
        <v>18</v>
      </c>
      <c r="C1745">
        <v>292500</v>
      </c>
      <c r="D1745" t="s">
        <v>44</v>
      </c>
      <c r="E1745" t="s">
        <v>20</v>
      </c>
      <c r="F1745" t="s">
        <v>32</v>
      </c>
      <c r="G1745" t="s">
        <v>22</v>
      </c>
      <c r="H1745" t="s">
        <v>49</v>
      </c>
      <c r="I1745" t="s">
        <v>24</v>
      </c>
      <c r="J1745">
        <v>97650</v>
      </c>
      <c r="K1745">
        <v>0</v>
      </c>
      <c r="L1745" t="s">
        <v>25</v>
      </c>
      <c r="M1745" t="s">
        <v>26</v>
      </c>
      <c r="N1745" t="s">
        <v>27</v>
      </c>
      <c r="O1745" t="s">
        <v>35</v>
      </c>
      <c r="P1745" t="s">
        <v>26</v>
      </c>
      <c r="Q1745">
        <v>0</v>
      </c>
    </row>
    <row r="1746" spans="1:17" x14ac:dyDescent="0.25">
      <c r="A1746" t="s">
        <v>29</v>
      </c>
      <c r="B1746" t="s">
        <v>18</v>
      </c>
      <c r="C1746">
        <v>292500</v>
      </c>
      <c r="D1746" t="s">
        <v>44</v>
      </c>
      <c r="E1746" t="s">
        <v>20</v>
      </c>
      <c r="F1746" t="s">
        <v>32</v>
      </c>
      <c r="G1746" t="s">
        <v>22</v>
      </c>
      <c r="H1746" t="s">
        <v>49</v>
      </c>
      <c r="I1746" t="s">
        <v>24</v>
      </c>
      <c r="J1746">
        <v>134910</v>
      </c>
      <c r="K1746">
        <v>0</v>
      </c>
      <c r="L1746" t="s">
        <v>45</v>
      </c>
      <c r="M1746" t="s">
        <v>26</v>
      </c>
      <c r="N1746" t="s">
        <v>27</v>
      </c>
      <c r="O1746" t="s">
        <v>35</v>
      </c>
      <c r="P1746" t="s">
        <v>26</v>
      </c>
      <c r="Q1746">
        <v>0</v>
      </c>
    </row>
    <row r="1747" spans="1:17" x14ac:dyDescent="0.25">
      <c r="A1747" t="s">
        <v>17</v>
      </c>
      <c r="B1747" t="s">
        <v>36</v>
      </c>
      <c r="C1747">
        <v>135000</v>
      </c>
      <c r="D1747" t="s">
        <v>19</v>
      </c>
      <c r="E1747" t="s">
        <v>20</v>
      </c>
      <c r="F1747" t="s">
        <v>32</v>
      </c>
      <c r="G1747" t="s">
        <v>22</v>
      </c>
      <c r="H1747" t="s">
        <v>23</v>
      </c>
      <c r="I1747" t="s">
        <v>24</v>
      </c>
      <c r="J1747">
        <v>131238</v>
      </c>
      <c r="K1747">
        <v>0</v>
      </c>
      <c r="L1747" t="s">
        <v>34</v>
      </c>
      <c r="M1747" t="s">
        <v>26</v>
      </c>
      <c r="N1747" t="s">
        <v>27</v>
      </c>
      <c r="O1747" t="s">
        <v>35</v>
      </c>
      <c r="P1747" t="s">
        <v>26</v>
      </c>
      <c r="Q1747">
        <v>0</v>
      </c>
    </row>
    <row r="1748" spans="1:17" x14ac:dyDescent="0.25">
      <c r="A1748" t="s">
        <v>29</v>
      </c>
      <c r="B1748" t="s">
        <v>36</v>
      </c>
      <c r="C1748">
        <v>90000</v>
      </c>
      <c r="D1748" t="s">
        <v>19</v>
      </c>
      <c r="E1748" t="s">
        <v>20</v>
      </c>
      <c r="F1748" t="s">
        <v>32</v>
      </c>
      <c r="G1748" t="s">
        <v>22</v>
      </c>
      <c r="H1748" t="s">
        <v>56</v>
      </c>
      <c r="I1748" t="s">
        <v>24</v>
      </c>
      <c r="J1748">
        <v>25951.5</v>
      </c>
      <c r="K1748">
        <v>0</v>
      </c>
      <c r="L1748" t="s">
        <v>42</v>
      </c>
      <c r="M1748" t="s">
        <v>26</v>
      </c>
      <c r="N1748" t="s">
        <v>27</v>
      </c>
      <c r="O1748" t="s">
        <v>28</v>
      </c>
      <c r="P1748" t="s">
        <v>26</v>
      </c>
      <c r="Q1748">
        <v>0</v>
      </c>
    </row>
    <row r="1749" spans="1:17" x14ac:dyDescent="0.25">
      <c r="A1749" t="s">
        <v>29</v>
      </c>
      <c r="B1749" t="s">
        <v>36</v>
      </c>
      <c r="C1749">
        <v>90000</v>
      </c>
      <c r="D1749" t="s">
        <v>19</v>
      </c>
      <c r="E1749" t="s">
        <v>20</v>
      </c>
      <c r="F1749" t="s">
        <v>32</v>
      </c>
      <c r="G1749" t="s">
        <v>22</v>
      </c>
      <c r="H1749" t="s">
        <v>56</v>
      </c>
      <c r="I1749" t="s">
        <v>24</v>
      </c>
      <c r="J1749">
        <v>20677.5</v>
      </c>
      <c r="K1749">
        <v>2070</v>
      </c>
      <c r="L1749" t="s">
        <v>42</v>
      </c>
      <c r="M1749" t="s">
        <v>26</v>
      </c>
      <c r="N1749" t="s">
        <v>27</v>
      </c>
      <c r="O1749" t="s">
        <v>35</v>
      </c>
      <c r="P1749" t="s">
        <v>26</v>
      </c>
      <c r="Q1749">
        <v>0</v>
      </c>
    </row>
    <row r="1750" spans="1:17" x14ac:dyDescent="0.25">
      <c r="A1750" t="s">
        <v>17</v>
      </c>
      <c r="B1750" t="s">
        <v>36</v>
      </c>
      <c r="C1750">
        <v>270000</v>
      </c>
      <c r="D1750" t="s">
        <v>19</v>
      </c>
      <c r="E1750" t="s">
        <v>31</v>
      </c>
      <c r="F1750" t="s">
        <v>21</v>
      </c>
      <c r="G1750" t="s">
        <v>22</v>
      </c>
      <c r="H1750" t="s">
        <v>81</v>
      </c>
      <c r="I1750" t="s">
        <v>24</v>
      </c>
      <c r="J1750">
        <v>34690.5</v>
      </c>
      <c r="K1750">
        <v>3150</v>
      </c>
      <c r="L1750" t="s">
        <v>38</v>
      </c>
      <c r="M1750" t="s">
        <v>26</v>
      </c>
      <c r="N1750" t="s">
        <v>27</v>
      </c>
      <c r="O1750" t="s">
        <v>35</v>
      </c>
      <c r="P1750" t="s">
        <v>26</v>
      </c>
      <c r="Q1750">
        <v>0</v>
      </c>
    </row>
    <row r="1751" spans="1:17" x14ac:dyDescent="0.25">
      <c r="A1751" t="s">
        <v>17</v>
      </c>
      <c r="B1751" t="s">
        <v>36</v>
      </c>
      <c r="C1751">
        <v>270000</v>
      </c>
      <c r="D1751" t="s">
        <v>19</v>
      </c>
      <c r="E1751" t="s">
        <v>31</v>
      </c>
      <c r="F1751" t="s">
        <v>21</v>
      </c>
      <c r="G1751" t="s">
        <v>22</v>
      </c>
      <c r="H1751" t="s">
        <v>81</v>
      </c>
      <c r="I1751" t="s">
        <v>24</v>
      </c>
      <c r="J1751">
        <v>86850</v>
      </c>
      <c r="K1751">
        <v>0</v>
      </c>
      <c r="L1751" t="s">
        <v>25</v>
      </c>
      <c r="M1751" t="s">
        <v>26</v>
      </c>
      <c r="N1751" t="s">
        <v>27</v>
      </c>
      <c r="O1751" t="s">
        <v>35</v>
      </c>
      <c r="P1751" t="s">
        <v>26</v>
      </c>
      <c r="Q1751">
        <v>0</v>
      </c>
    </row>
    <row r="1752" spans="1:17" x14ac:dyDescent="0.25">
      <c r="A1752" t="s">
        <v>29</v>
      </c>
      <c r="B1752" t="s">
        <v>18</v>
      </c>
      <c r="C1752">
        <v>135000</v>
      </c>
      <c r="D1752" t="s">
        <v>46</v>
      </c>
      <c r="E1752" t="s">
        <v>20</v>
      </c>
      <c r="F1752" t="s">
        <v>39</v>
      </c>
      <c r="G1752" t="s">
        <v>22</v>
      </c>
      <c r="H1752" t="s">
        <v>28</v>
      </c>
      <c r="I1752" t="s">
        <v>24</v>
      </c>
      <c r="J1752">
        <v>56020.5</v>
      </c>
      <c r="K1752">
        <v>0</v>
      </c>
      <c r="L1752" t="s">
        <v>42</v>
      </c>
      <c r="M1752" t="s">
        <v>26</v>
      </c>
      <c r="N1752" t="s">
        <v>27</v>
      </c>
      <c r="O1752" t="s">
        <v>35</v>
      </c>
      <c r="P1752" t="s">
        <v>26</v>
      </c>
      <c r="Q1752">
        <v>0</v>
      </c>
    </row>
    <row r="1753" spans="1:17" x14ac:dyDescent="0.25">
      <c r="A1753" t="s">
        <v>29</v>
      </c>
      <c r="B1753" t="s">
        <v>18</v>
      </c>
      <c r="C1753">
        <v>135000</v>
      </c>
      <c r="D1753" t="s">
        <v>46</v>
      </c>
      <c r="E1753" t="s">
        <v>20</v>
      </c>
      <c r="F1753" t="s">
        <v>39</v>
      </c>
      <c r="G1753" t="s">
        <v>22</v>
      </c>
      <c r="H1753" t="s">
        <v>28</v>
      </c>
      <c r="I1753" t="s">
        <v>24</v>
      </c>
      <c r="J1753">
        <v>107958.96</v>
      </c>
      <c r="K1753">
        <v>10799.46</v>
      </c>
      <c r="L1753" t="s">
        <v>45</v>
      </c>
      <c r="M1753" t="s">
        <v>26</v>
      </c>
      <c r="N1753" t="s">
        <v>27</v>
      </c>
      <c r="O1753" t="s">
        <v>35</v>
      </c>
      <c r="P1753" t="s">
        <v>26</v>
      </c>
      <c r="Q1753">
        <v>0</v>
      </c>
    </row>
    <row r="1754" spans="1:17" x14ac:dyDescent="0.25">
      <c r="A1754" t="s">
        <v>29</v>
      </c>
      <c r="B1754" t="s">
        <v>36</v>
      </c>
      <c r="C1754">
        <v>157500</v>
      </c>
      <c r="D1754" t="s">
        <v>44</v>
      </c>
      <c r="E1754" t="s">
        <v>70</v>
      </c>
      <c r="F1754" t="s">
        <v>32</v>
      </c>
      <c r="G1754" t="s">
        <v>22</v>
      </c>
      <c r="H1754" t="s">
        <v>53</v>
      </c>
      <c r="I1754" t="s">
        <v>24</v>
      </c>
      <c r="J1754">
        <v>89910</v>
      </c>
      <c r="K1754">
        <v>0</v>
      </c>
      <c r="L1754" t="s">
        <v>51</v>
      </c>
      <c r="M1754" t="s">
        <v>26</v>
      </c>
      <c r="N1754" t="s">
        <v>27</v>
      </c>
      <c r="O1754" t="s">
        <v>35</v>
      </c>
      <c r="P1754" t="s">
        <v>26</v>
      </c>
      <c r="Q1754">
        <v>0</v>
      </c>
    </row>
    <row r="1755" spans="1:17" x14ac:dyDescent="0.25">
      <c r="A1755" t="s">
        <v>29</v>
      </c>
      <c r="B1755" t="s">
        <v>36</v>
      </c>
      <c r="C1755">
        <v>157500</v>
      </c>
      <c r="D1755" t="s">
        <v>44</v>
      </c>
      <c r="E1755" t="s">
        <v>70</v>
      </c>
      <c r="F1755" t="s">
        <v>32</v>
      </c>
      <c r="G1755" t="s">
        <v>22</v>
      </c>
      <c r="H1755" t="s">
        <v>53</v>
      </c>
      <c r="I1755" t="s">
        <v>24</v>
      </c>
      <c r="J1755">
        <v>101160</v>
      </c>
      <c r="K1755">
        <v>0</v>
      </c>
      <c r="L1755" t="s">
        <v>42</v>
      </c>
      <c r="M1755" t="s">
        <v>26</v>
      </c>
      <c r="N1755" t="s">
        <v>27</v>
      </c>
      <c r="O1755" t="s">
        <v>35</v>
      </c>
      <c r="P1755" t="s">
        <v>26</v>
      </c>
      <c r="Q1755">
        <v>0</v>
      </c>
    </row>
    <row r="1756" spans="1:17" x14ac:dyDescent="0.25">
      <c r="A1756" t="s">
        <v>29</v>
      </c>
      <c r="B1756" t="s">
        <v>36</v>
      </c>
      <c r="C1756">
        <v>157500</v>
      </c>
      <c r="D1756" t="s">
        <v>44</v>
      </c>
      <c r="E1756" t="s">
        <v>70</v>
      </c>
      <c r="F1756" t="s">
        <v>32</v>
      </c>
      <c r="G1756" t="s">
        <v>22</v>
      </c>
      <c r="H1756" t="s">
        <v>53</v>
      </c>
      <c r="I1756" t="s">
        <v>24</v>
      </c>
      <c r="J1756">
        <v>35950.5</v>
      </c>
      <c r="K1756">
        <v>3600</v>
      </c>
      <c r="L1756" t="s">
        <v>42</v>
      </c>
      <c r="M1756" t="s">
        <v>26</v>
      </c>
      <c r="N1756" t="s">
        <v>27</v>
      </c>
      <c r="O1756" t="s">
        <v>35</v>
      </c>
      <c r="P1756" t="s">
        <v>26</v>
      </c>
      <c r="Q1756">
        <v>0</v>
      </c>
    </row>
    <row r="1757" spans="1:17" x14ac:dyDescent="0.25">
      <c r="A1757" t="s">
        <v>29</v>
      </c>
      <c r="B1757" t="s">
        <v>36</v>
      </c>
      <c r="C1757">
        <v>157500</v>
      </c>
      <c r="D1757" t="s">
        <v>44</v>
      </c>
      <c r="E1757" t="s">
        <v>70</v>
      </c>
      <c r="F1757" t="s">
        <v>32</v>
      </c>
      <c r="G1757" t="s">
        <v>22</v>
      </c>
      <c r="H1757" t="s">
        <v>53</v>
      </c>
      <c r="I1757" t="s">
        <v>24</v>
      </c>
      <c r="J1757">
        <v>30055.5</v>
      </c>
      <c r="K1757">
        <v>3006</v>
      </c>
      <c r="L1757" t="s">
        <v>45</v>
      </c>
      <c r="M1757" t="s">
        <v>26</v>
      </c>
      <c r="N1757" t="s">
        <v>27</v>
      </c>
      <c r="O1757" t="s">
        <v>35</v>
      </c>
      <c r="P1757" t="s">
        <v>26</v>
      </c>
      <c r="Q1757">
        <v>0</v>
      </c>
    </row>
    <row r="1758" spans="1:17" x14ac:dyDescent="0.25">
      <c r="A1758" t="s">
        <v>17</v>
      </c>
      <c r="B1758" t="s">
        <v>18</v>
      </c>
      <c r="C1758">
        <v>202500</v>
      </c>
      <c r="D1758" t="s">
        <v>19</v>
      </c>
      <c r="E1758" t="s">
        <v>31</v>
      </c>
      <c r="F1758" t="s">
        <v>32</v>
      </c>
      <c r="G1758" t="s">
        <v>22</v>
      </c>
      <c r="H1758" t="s">
        <v>103</v>
      </c>
      <c r="I1758" t="s">
        <v>24</v>
      </c>
      <c r="J1758">
        <v>94455</v>
      </c>
      <c r="K1758">
        <v>0</v>
      </c>
      <c r="L1758" t="s">
        <v>45</v>
      </c>
      <c r="M1758" t="s">
        <v>26</v>
      </c>
      <c r="N1758" t="s">
        <v>27</v>
      </c>
      <c r="O1758" t="s">
        <v>35</v>
      </c>
      <c r="P1758" t="s">
        <v>26</v>
      </c>
      <c r="Q1758">
        <v>0</v>
      </c>
    </row>
    <row r="1759" spans="1:17" x14ac:dyDescent="0.25">
      <c r="A1759" t="s">
        <v>29</v>
      </c>
      <c r="B1759" t="s">
        <v>18</v>
      </c>
      <c r="C1759">
        <v>112500</v>
      </c>
      <c r="D1759" t="s">
        <v>19</v>
      </c>
      <c r="E1759" t="s">
        <v>20</v>
      </c>
      <c r="F1759" t="s">
        <v>32</v>
      </c>
      <c r="G1759" t="s">
        <v>22</v>
      </c>
      <c r="H1759" t="s">
        <v>112</v>
      </c>
      <c r="I1759" t="s">
        <v>24</v>
      </c>
      <c r="J1759">
        <v>184540.5</v>
      </c>
      <c r="K1759">
        <v>19566</v>
      </c>
      <c r="L1759" t="s">
        <v>25</v>
      </c>
      <c r="M1759" t="s">
        <v>26</v>
      </c>
      <c r="N1759" t="s">
        <v>27</v>
      </c>
      <c r="O1759" t="s">
        <v>35</v>
      </c>
      <c r="P1759" t="s">
        <v>26</v>
      </c>
      <c r="Q1759">
        <v>0</v>
      </c>
    </row>
    <row r="1760" spans="1:17" x14ac:dyDescent="0.25">
      <c r="A1760" t="s">
        <v>29</v>
      </c>
      <c r="B1760" t="s">
        <v>18</v>
      </c>
      <c r="C1760">
        <v>85500</v>
      </c>
      <c r="D1760" t="s">
        <v>19</v>
      </c>
      <c r="E1760" t="s">
        <v>20</v>
      </c>
      <c r="F1760" t="s">
        <v>32</v>
      </c>
      <c r="G1760" t="s">
        <v>22</v>
      </c>
      <c r="H1760" t="s">
        <v>23</v>
      </c>
      <c r="I1760" t="s">
        <v>24</v>
      </c>
      <c r="J1760">
        <v>19705.5</v>
      </c>
      <c r="K1760">
        <v>0</v>
      </c>
      <c r="L1760" t="s">
        <v>51</v>
      </c>
      <c r="M1760" t="s">
        <v>26</v>
      </c>
      <c r="N1760" t="s">
        <v>27</v>
      </c>
      <c r="O1760" t="s">
        <v>35</v>
      </c>
      <c r="P1760" t="s">
        <v>26</v>
      </c>
      <c r="Q1760">
        <v>0</v>
      </c>
    </row>
    <row r="1761" spans="1:17" x14ac:dyDescent="0.25">
      <c r="A1761" t="s">
        <v>17</v>
      </c>
      <c r="B1761" t="s">
        <v>36</v>
      </c>
      <c r="C1761">
        <v>810000</v>
      </c>
      <c r="D1761" t="s">
        <v>44</v>
      </c>
      <c r="E1761" t="s">
        <v>20</v>
      </c>
      <c r="F1761" t="s">
        <v>32</v>
      </c>
      <c r="G1761" t="s">
        <v>22</v>
      </c>
      <c r="H1761" t="s">
        <v>23</v>
      </c>
      <c r="I1761" t="s">
        <v>66</v>
      </c>
      <c r="J1761">
        <v>225000</v>
      </c>
      <c r="K1761">
        <v>0</v>
      </c>
      <c r="L1761" t="s">
        <v>25</v>
      </c>
      <c r="M1761" t="s">
        <v>28</v>
      </c>
      <c r="N1761" t="s">
        <v>27</v>
      </c>
      <c r="O1761" t="s">
        <v>35</v>
      </c>
      <c r="P1761" t="s">
        <v>26</v>
      </c>
      <c r="Q1761">
        <v>0</v>
      </c>
    </row>
    <row r="1762" spans="1:17" x14ac:dyDescent="0.25">
      <c r="A1762" t="s">
        <v>17</v>
      </c>
      <c r="B1762" t="s">
        <v>18</v>
      </c>
      <c r="C1762">
        <v>81000</v>
      </c>
      <c r="D1762" t="s">
        <v>19</v>
      </c>
      <c r="E1762" t="s">
        <v>20</v>
      </c>
      <c r="F1762" t="s">
        <v>32</v>
      </c>
      <c r="G1762" t="s">
        <v>22</v>
      </c>
      <c r="H1762" t="s">
        <v>37</v>
      </c>
      <c r="I1762" t="s">
        <v>24</v>
      </c>
      <c r="J1762">
        <v>66168</v>
      </c>
      <c r="K1762">
        <v>6619.5</v>
      </c>
      <c r="L1762" t="s">
        <v>38</v>
      </c>
      <c r="M1762" t="s">
        <v>26</v>
      </c>
      <c r="N1762" t="s">
        <v>27</v>
      </c>
      <c r="O1762" t="s">
        <v>35</v>
      </c>
      <c r="P1762" t="s">
        <v>26</v>
      </c>
      <c r="Q1762">
        <v>0</v>
      </c>
    </row>
    <row r="1763" spans="1:17" x14ac:dyDescent="0.25">
      <c r="A1763" t="s">
        <v>17</v>
      </c>
      <c r="B1763" t="s">
        <v>36</v>
      </c>
      <c r="C1763">
        <v>202500</v>
      </c>
      <c r="D1763" t="s">
        <v>19</v>
      </c>
      <c r="E1763" t="s">
        <v>20</v>
      </c>
      <c r="F1763" t="s">
        <v>32</v>
      </c>
      <c r="G1763" t="s">
        <v>22</v>
      </c>
      <c r="H1763" t="s">
        <v>23</v>
      </c>
      <c r="I1763" t="s">
        <v>24</v>
      </c>
      <c r="J1763">
        <v>124740</v>
      </c>
      <c r="K1763">
        <v>12474</v>
      </c>
      <c r="L1763" t="s">
        <v>43</v>
      </c>
      <c r="M1763" t="s">
        <v>26</v>
      </c>
      <c r="N1763" t="s">
        <v>27</v>
      </c>
      <c r="O1763" t="s">
        <v>35</v>
      </c>
      <c r="P1763" t="s">
        <v>26</v>
      </c>
      <c r="Q1763">
        <v>0</v>
      </c>
    </row>
    <row r="1764" spans="1:17" x14ac:dyDescent="0.25">
      <c r="A1764" t="s">
        <v>17</v>
      </c>
      <c r="B1764" t="s">
        <v>36</v>
      </c>
      <c r="C1764">
        <v>202500</v>
      </c>
      <c r="D1764" t="s">
        <v>19</v>
      </c>
      <c r="E1764" t="s">
        <v>20</v>
      </c>
      <c r="F1764" t="s">
        <v>32</v>
      </c>
      <c r="G1764" t="s">
        <v>22</v>
      </c>
      <c r="H1764" t="s">
        <v>23</v>
      </c>
      <c r="I1764" t="s">
        <v>24</v>
      </c>
      <c r="J1764">
        <v>111591</v>
      </c>
      <c r="K1764">
        <v>0</v>
      </c>
      <c r="L1764" t="s">
        <v>25</v>
      </c>
      <c r="M1764" t="s">
        <v>26</v>
      </c>
      <c r="N1764" t="s">
        <v>27</v>
      </c>
      <c r="O1764" t="s">
        <v>35</v>
      </c>
      <c r="P1764" t="s">
        <v>26</v>
      </c>
      <c r="Q1764">
        <v>0</v>
      </c>
    </row>
    <row r="1765" spans="1:17" x14ac:dyDescent="0.25">
      <c r="A1765" t="s">
        <v>29</v>
      </c>
      <c r="B1765" t="s">
        <v>36</v>
      </c>
      <c r="C1765">
        <v>90000</v>
      </c>
      <c r="D1765" t="s">
        <v>19</v>
      </c>
      <c r="E1765" t="s">
        <v>20</v>
      </c>
      <c r="F1765" t="s">
        <v>32</v>
      </c>
      <c r="G1765" t="s">
        <v>62</v>
      </c>
      <c r="H1765" t="s">
        <v>49</v>
      </c>
      <c r="I1765" t="s">
        <v>24</v>
      </c>
      <c r="J1765">
        <v>74200.5</v>
      </c>
      <c r="K1765">
        <v>0</v>
      </c>
      <c r="L1765" t="s">
        <v>51</v>
      </c>
      <c r="M1765" t="s">
        <v>26</v>
      </c>
      <c r="N1765" t="s">
        <v>76</v>
      </c>
      <c r="O1765" t="s">
        <v>35</v>
      </c>
      <c r="P1765" t="s">
        <v>77</v>
      </c>
      <c r="Q1765">
        <v>0</v>
      </c>
    </row>
    <row r="1766" spans="1:17" x14ac:dyDescent="0.25">
      <c r="A1766" t="s">
        <v>17</v>
      </c>
      <c r="B1766" t="s">
        <v>36</v>
      </c>
      <c r="C1766">
        <v>247891.5</v>
      </c>
      <c r="D1766" t="s">
        <v>19</v>
      </c>
      <c r="E1766" t="s">
        <v>31</v>
      </c>
      <c r="F1766" t="s">
        <v>32</v>
      </c>
      <c r="G1766" t="s">
        <v>22</v>
      </c>
      <c r="H1766" t="s">
        <v>57</v>
      </c>
      <c r="I1766" t="s">
        <v>24</v>
      </c>
      <c r="J1766">
        <v>23170.5</v>
      </c>
      <c r="K1766">
        <v>9000</v>
      </c>
      <c r="L1766" t="s">
        <v>34</v>
      </c>
      <c r="M1766" t="s">
        <v>26</v>
      </c>
      <c r="N1766" t="s">
        <v>27</v>
      </c>
      <c r="O1766" t="s">
        <v>35</v>
      </c>
      <c r="P1766" t="s">
        <v>26</v>
      </c>
      <c r="Q1766">
        <v>0</v>
      </c>
    </row>
    <row r="1767" spans="1:17" x14ac:dyDescent="0.25">
      <c r="A1767" t="s">
        <v>17</v>
      </c>
      <c r="B1767" t="s">
        <v>36</v>
      </c>
      <c r="C1767">
        <v>247891.5</v>
      </c>
      <c r="D1767" t="s">
        <v>19</v>
      </c>
      <c r="E1767" t="s">
        <v>31</v>
      </c>
      <c r="F1767" t="s">
        <v>32</v>
      </c>
      <c r="G1767" t="s">
        <v>22</v>
      </c>
      <c r="H1767" t="s">
        <v>57</v>
      </c>
      <c r="I1767" t="s">
        <v>24</v>
      </c>
      <c r="J1767">
        <v>121045.5</v>
      </c>
      <c r="K1767">
        <v>0</v>
      </c>
      <c r="L1767" t="s">
        <v>38</v>
      </c>
      <c r="M1767" t="s">
        <v>26</v>
      </c>
      <c r="N1767" t="s">
        <v>27</v>
      </c>
      <c r="O1767" t="s">
        <v>35</v>
      </c>
      <c r="P1767" t="s">
        <v>26</v>
      </c>
      <c r="Q1767">
        <v>0</v>
      </c>
    </row>
    <row r="1768" spans="1:17" x14ac:dyDescent="0.25">
      <c r="A1768" t="s">
        <v>29</v>
      </c>
      <c r="B1768" t="s">
        <v>18</v>
      </c>
      <c r="C1768">
        <v>225000</v>
      </c>
      <c r="D1768" t="s">
        <v>44</v>
      </c>
      <c r="E1768" t="s">
        <v>20</v>
      </c>
      <c r="F1768" t="s">
        <v>21</v>
      </c>
      <c r="G1768" t="s">
        <v>22</v>
      </c>
      <c r="H1768" t="s">
        <v>49</v>
      </c>
      <c r="I1768" t="s">
        <v>24</v>
      </c>
      <c r="J1768">
        <v>90279</v>
      </c>
      <c r="K1768">
        <v>0</v>
      </c>
      <c r="L1768" t="s">
        <v>51</v>
      </c>
      <c r="M1768" t="s">
        <v>26</v>
      </c>
      <c r="N1768" t="s">
        <v>27</v>
      </c>
      <c r="O1768" t="s">
        <v>35</v>
      </c>
      <c r="P1768" t="s">
        <v>26</v>
      </c>
      <c r="Q1768">
        <v>0</v>
      </c>
    </row>
    <row r="1769" spans="1:17" x14ac:dyDescent="0.25">
      <c r="A1769" t="s">
        <v>29</v>
      </c>
      <c r="B1769" t="s">
        <v>18</v>
      </c>
      <c r="C1769">
        <v>67500</v>
      </c>
      <c r="D1769" t="s">
        <v>46</v>
      </c>
      <c r="E1769" t="s">
        <v>20</v>
      </c>
      <c r="F1769" t="s">
        <v>54</v>
      </c>
      <c r="G1769" t="s">
        <v>22</v>
      </c>
      <c r="H1769" t="s">
        <v>28</v>
      </c>
      <c r="I1769" t="s">
        <v>24</v>
      </c>
      <c r="J1769">
        <v>19755</v>
      </c>
      <c r="K1769">
        <v>2250</v>
      </c>
      <c r="L1769" t="s">
        <v>45</v>
      </c>
      <c r="M1769" t="s">
        <v>26</v>
      </c>
      <c r="N1769" t="s">
        <v>27</v>
      </c>
      <c r="O1769" t="s">
        <v>28</v>
      </c>
      <c r="P1769" t="s">
        <v>26</v>
      </c>
      <c r="Q1769">
        <v>0</v>
      </c>
    </row>
    <row r="1770" spans="1:17" x14ac:dyDescent="0.25">
      <c r="A1770" t="s">
        <v>17</v>
      </c>
      <c r="B1770" t="s">
        <v>36</v>
      </c>
      <c r="C1770">
        <v>135000</v>
      </c>
      <c r="D1770" t="s">
        <v>19</v>
      </c>
      <c r="E1770" t="s">
        <v>104</v>
      </c>
      <c r="F1770" t="s">
        <v>32</v>
      </c>
      <c r="G1770" t="s">
        <v>22</v>
      </c>
      <c r="H1770" t="s">
        <v>23</v>
      </c>
      <c r="I1770" t="s">
        <v>24</v>
      </c>
      <c r="J1770">
        <v>68490</v>
      </c>
      <c r="K1770">
        <v>9000</v>
      </c>
      <c r="L1770" t="s">
        <v>51</v>
      </c>
      <c r="M1770" t="s">
        <v>26</v>
      </c>
      <c r="N1770" t="s">
        <v>27</v>
      </c>
      <c r="O1770" t="s">
        <v>35</v>
      </c>
      <c r="P1770" t="s">
        <v>26</v>
      </c>
      <c r="Q1770">
        <v>0</v>
      </c>
    </row>
    <row r="1771" spans="1:17" x14ac:dyDescent="0.25">
      <c r="A1771" t="s">
        <v>17</v>
      </c>
      <c r="B1771" t="s">
        <v>36</v>
      </c>
      <c r="C1771">
        <v>135000</v>
      </c>
      <c r="D1771" t="s">
        <v>19</v>
      </c>
      <c r="E1771" t="s">
        <v>104</v>
      </c>
      <c r="F1771" t="s">
        <v>32</v>
      </c>
      <c r="G1771" t="s">
        <v>22</v>
      </c>
      <c r="H1771" t="s">
        <v>23</v>
      </c>
      <c r="I1771" t="s">
        <v>24</v>
      </c>
      <c r="J1771">
        <v>177997.5</v>
      </c>
      <c r="K1771">
        <v>0</v>
      </c>
      <c r="L1771" t="s">
        <v>34</v>
      </c>
      <c r="M1771" t="s">
        <v>26</v>
      </c>
      <c r="N1771" t="s">
        <v>27</v>
      </c>
      <c r="O1771" t="s">
        <v>28</v>
      </c>
      <c r="P1771" t="s">
        <v>26</v>
      </c>
      <c r="Q1771">
        <v>0</v>
      </c>
    </row>
    <row r="1772" spans="1:17" x14ac:dyDescent="0.25">
      <c r="A1772" t="s">
        <v>17</v>
      </c>
      <c r="B1772" t="s">
        <v>36</v>
      </c>
      <c r="C1772">
        <v>135000</v>
      </c>
      <c r="D1772" t="s">
        <v>19</v>
      </c>
      <c r="E1772" t="s">
        <v>104</v>
      </c>
      <c r="F1772" t="s">
        <v>32</v>
      </c>
      <c r="G1772" t="s">
        <v>22</v>
      </c>
      <c r="H1772" t="s">
        <v>23</v>
      </c>
      <c r="I1772" t="s">
        <v>24</v>
      </c>
      <c r="J1772">
        <v>179550</v>
      </c>
      <c r="K1772">
        <v>17955</v>
      </c>
      <c r="L1772" t="s">
        <v>34</v>
      </c>
      <c r="M1772" t="s">
        <v>26</v>
      </c>
      <c r="N1772" t="s">
        <v>27</v>
      </c>
      <c r="O1772" t="s">
        <v>35</v>
      </c>
      <c r="P1772" t="s">
        <v>26</v>
      </c>
      <c r="Q1772">
        <v>0</v>
      </c>
    </row>
    <row r="1773" spans="1:17" x14ac:dyDescent="0.25">
      <c r="A1773" t="s">
        <v>17</v>
      </c>
      <c r="B1773" t="s">
        <v>36</v>
      </c>
      <c r="C1773">
        <v>89100</v>
      </c>
      <c r="D1773" t="s">
        <v>19</v>
      </c>
      <c r="E1773" t="s">
        <v>20</v>
      </c>
      <c r="F1773" t="s">
        <v>39</v>
      </c>
      <c r="G1773" t="s">
        <v>22</v>
      </c>
      <c r="H1773" t="s">
        <v>49</v>
      </c>
      <c r="I1773" t="s">
        <v>24</v>
      </c>
      <c r="J1773">
        <v>101619</v>
      </c>
      <c r="K1773">
        <v>10165.5</v>
      </c>
      <c r="L1773" t="s">
        <v>38</v>
      </c>
      <c r="M1773" t="s">
        <v>26</v>
      </c>
      <c r="N1773" t="s">
        <v>27</v>
      </c>
      <c r="O1773" t="s">
        <v>35</v>
      </c>
      <c r="P1773" t="s">
        <v>26</v>
      </c>
      <c r="Q1773">
        <v>0</v>
      </c>
    </row>
    <row r="1774" spans="1:17" x14ac:dyDescent="0.25">
      <c r="A1774" t="s">
        <v>17</v>
      </c>
      <c r="B1774" t="s">
        <v>36</v>
      </c>
      <c r="C1774">
        <v>89100</v>
      </c>
      <c r="D1774" t="s">
        <v>19</v>
      </c>
      <c r="E1774" t="s">
        <v>20</v>
      </c>
      <c r="F1774" t="s">
        <v>39</v>
      </c>
      <c r="G1774" t="s">
        <v>22</v>
      </c>
      <c r="H1774" t="s">
        <v>49</v>
      </c>
      <c r="I1774" t="s">
        <v>24</v>
      </c>
      <c r="J1774">
        <v>34195.5</v>
      </c>
      <c r="K1774">
        <v>3420</v>
      </c>
      <c r="L1774" t="s">
        <v>42</v>
      </c>
      <c r="M1774" t="s">
        <v>26</v>
      </c>
      <c r="N1774" t="s">
        <v>27</v>
      </c>
      <c r="O1774" t="s">
        <v>35</v>
      </c>
      <c r="P1774" t="s">
        <v>26</v>
      </c>
      <c r="Q1774">
        <v>0</v>
      </c>
    </row>
    <row r="1775" spans="1:17" x14ac:dyDescent="0.25">
      <c r="A1775" t="s">
        <v>17</v>
      </c>
      <c r="B1775" t="s">
        <v>36</v>
      </c>
      <c r="C1775">
        <v>270000</v>
      </c>
      <c r="D1775" t="s">
        <v>44</v>
      </c>
      <c r="E1775" t="s">
        <v>20</v>
      </c>
      <c r="F1775" t="s">
        <v>32</v>
      </c>
      <c r="G1775" t="s">
        <v>52</v>
      </c>
      <c r="H1775" t="s">
        <v>23</v>
      </c>
      <c r="I1775" t="s">
        <v>24</v>
      </c>
      <c r="J1775">
        <v>175784.08499999999</v>
      </c>
      <c r="K1775">
        <v>17582.084999999999</v>
      </c>
      <c r="L1775" t="s">
        <v>51</v>
      </c>
      <c r="M1775" t="s">
        <v>26</v>
      </c>
      <c r="N1775" t="s">
        <v>58</v>
      </c>
      <c r="O1775" t="s">
        <v>28</v>
      </c>
      <c r="P1775" t="s">
        <v>64</v>
      </c>
      <c r="Q1775">
        <v>1</v>
      </c>
    </row>
    <row r="1776" spans="1:17" x14ac:dyDescent="0.25">
      <c r="A1776" t="s">
        <v>17</v>
      </c>
      <c r="B1776" t="s">
        <v>36</v>
      </c>
      <c r="C1776">
        <v>270000</v>
      </c>
      <c r="D1776" t="s">
        <v>44</v>
      </c>
      <c r="E1776" t="s">
        <v>20</v>
      </c>
      <c r="F1776" t="s">
        <v>32</v>
      </c>
      <c r="G1776" t="s">
        <v>52</v>
      </c>
      <c r="H1776" t="s">
        <v>23</v>
      </c>
      <c r="I1776" t="s">
        <v>24</v>
      </c>
      <c r="J1776">
        <v>175784.08499999999</v>
      </c>
      <c r="K1776">
        <v>17582.084999999999</v>
      </c>
      <c r="L1776" t="s">
        <v>25</v>
      </c>
      <c r="M1776" t="s">
        <v>26</v>
      </c>
      <c r="N1776" t="s">
        <v>58</v>
      </c>
      <c r="O1776" t="s">
        <v>28</v>
      </c>
      <c r="P1776" t="s">
        <v>64</v>
      </c>
      <c r="Q1776">
        <v>1</v>
      </c>
    </row>
    <row r="1777" spans="1:17" x14ac:dyDescent="0.25">
      <c r="A1777" t="s">
        <v>29</v>
      </c>
      <c r="B1777" t="s">
        <v>18</v>
      </c>
      <c r="C1777">
        <v>135000</v>
      </c>
      <c r="D1777" t="s">
        <v>44</v>
      </c>
      <c r="E1777" t="s">
        <v>31</v>
      </c>
      <c r="F1777" t="s">
        <v>32</v>
      </c>
      <c r="G1777" t="s">
        <v>22</v>
      </c>
      <c r="H1777" t="s">
        <v>49</v>
      </c>
      <c r="I1777" t="s">
        <v>24</v>
      </c>
      <c r="J1777">
        <v>118224.9</v>
      </c>
      <c r="K1777">
        <v>23648.400000000001</v>
      </c>
      <c r="L1777" t="s">
        <v>43</v>
      </c>
      <c r="M1777" t="s">
        <v>26</v>
      </c>
      <c r="N1777" t="s">
        <v>27</v>
      </c>
      <c r="O1777" t="s">
        <v>35</v>
      </c>
      <c r="P1777" t="s">
        <v>26</v>
      </c>
      <c r="Q1777">
        <v>0</v>
      </c>
    </row>
    <row r="1778" spans="1:17" x14ac:dyDescent="0.25">
      <c r="A1778" t="s">
        <v>29</v>
      </c>
      <c r="B1778" t="s">
        <v>18</v>
      </c>
      <c r="C1778">
        <v>135000</v>
      </c>
      <c r="D1778" t="s">
        <v>44</v>
      </c>
      <c r="E1778" t="s">
        <v>31</v>
      </c>
      <c r="F1778" t="s">
        <v>32</v>
      </c>
      <c r="G1778" t="s">
        <v>22</v>
      </c>
      <c r="H1778" t="s">
        <v>49</v>
      </c>
      <c r="I1778" t="s">
        <v>24</v>
      </c>
      <c r="J1778">
        <v>206770.5</v>
      </c>
      <c r="K1778">
        <v>0</v>
      </c>
      <c r="L1778" t="s">
        <v>43</v>
      </c>
      <c r="M1778" t="s">
        <v>26</v>
      </c>
      <c r="N1778" t="s">
        <v>58</v>
      </c>
      <c r="O1778" t="s">
        <v>35</v>
      </c>
      <c r="P1778" t="s">
        <v>64</v>
      </c>
      <c r="Q1778">
        <v>1</v>
      </c>
    </row>
    <row r="1779" spans="1:17" x14ac:dyDescent="0.25">
      <c r="A1779" t="s">
        <v>29</v>
      </c>
      <c r="B1779" t="s">
        <v>18</v>
      </c>
      <c r="C1779">
        <v>135000</v>
      </c>
      <c r="D1779" t="s">
        <v>44</v>
      </c>
      <c r="E1779" t="s">
        <v>31</v>
      </c>
      <c r="F1779" t="s">
        <v>32</v>
      </c>
      <c r="G1779" t="s">
        <v>22</v>
      </c>
      <c r="H1779" t="s">
        <v>49</v>
      </c>
      <c r="I1779" t="s">
        <v>24</v>
      </c>
      <c r="J1779">
        <v>78903</v>
      </c>
      <c r="K1779">
        <v>20250</v>
      </c>
      <c r="L1779" t="s">
        <v>25</v>
      </c>
      <c r="M1779" t="s">
        <v>26</v>
      </c>
      <c r="N1779" t="s">
        <v>58</v>
      </c>
      <c r="O1779" t="s">
        <v>35</v>
      </c>
      <c r="P1779" t="s">
        <v>64</v>
      </c>
      <c r="Q1779">
        <v>1</v>
      </c>
    </row>
    <row r="1780" spans="1:17" x14ac:dyDescent="0.25">
      <c r="A1780" t="s">
        <v>29</v>
      </c>
      <c r="B1780" t="s">
        <v>36</v>
      </c>
      <c r="C1780">
        <v>180000</v>
      </c>
      <c r="D1780" t="s">
        <v>19</v>
      </c>
      <c r="E1780" t="s">
        <v>20</v>
      </c>
      <c r="F1780" t="s">
        <v>32</v>
      </c>
      <c r="G1780" t="s">
        <v>22</v>
      </c>
      <c r="H1780" t="s">
        <v>49</v>
      </c>
      <c r="I1780" t="s">
        <v>24</v>
      </c>
      <c r="J1780">
        <v>19030.5</v>
      </c>
      <c r="K1780">
        <v>1903.5</v>
      </c>
      <c r="L1780" t="s">
        <v>38</v>
      </c>
      <c r="M1780" t="s">
        <v>26</v>
      </c>
      <c r="N1780" t="s">
        <v>58</v>
      </c>
      <c r="O1780" t="s">
        <v>35</v>
      </c>
      <c r="P1780" t="s">
        <v>60</v>
      </c>
      <c r="Q1780">
        <v>1</v>
      </c>
    </row>
    <row r="1781" spans="1:17" x14ac:dyDescent="0.25">
      <c r="A1781" t="s">
        <v>29</v>
      </c>
      <c r="B1781" t="s">
        <v>36</v>
      </c>
      <c r="C1781">
        <v>180000</v>
      </c>
      <c r="D1781" t="s">
        <v>19</v>
      </c>
      <c r="E1781" t="s">
        <v>20</v>
      </c>
      <c r="F1781" t="s">
        <v>32</v>
      </c>
      <c r="G1781" t="s">
        <v>22</v>
      </c>
      <c r="H1781" t="s">
        <v>49</v>
      </c>
      <c r="I1781" t="s">
        <v>24</v>
      </c>
      <c r="J1781">
        <v>112855.5</v>
      </c>
      <c r="K1781">
        <v>0</v>
      </c>
      <c r="L1781" t="s">
        <v>43</v>
      </c>
      <c r="M1781" t="s">
        <v>26</v>
      </c>
      <c r="N1781" t="s">
        <v>27</v>
      </c>
      <c r="O1781" t="s">
        <v>35</v>
      </c>
      <c r="P1781" t="s">
        <v>26</v>
      </c>
      <c r="Q1781">
        <v>0</v>
      </c>
    </row>
    <row r="1782" spans="1:17" x14ac:dyDescent="0.25">
      <c r="A1782" t="s">
        <v>29</v>
      </c>
      <c r="B1782" t="s">
        <v>36</v>
      </c>
      <c r="C1782">
        <v>180000</v>
      </c>
      <c r="D1782" t="s">
        <v>19</v>
      </c>
      <c r="E1782" t="s">
        <v>20</v>
      </c>
      <c r="F1782" t="s">
        <v>32</v>
      </c>
      <c r="G1782" t="s">
        <v>22</v>
      </c>
      <c r="H1782" t="s">
        <v>49</v>
      </c>
      <c r="I1782" t="s">
        <v>24</v>
      </c>
      <c r="J1782">
        <v>71226</v>
      </c>
      <c r="K1782">
        <v>0</v>
      </c>
      <c r="L1782" t="s">
        <v>51</v>
      </c>
      <c r="M1782" t="s">
        <v>26</v>
      </c>
      <c r="N1782" t="s">
        <v>76</v>
      </c>
      <c r="O1782" t="s">
        <v>35</v>
      </c>
      <c r="P1782" t="s">
        <v>77</v>
      </c>
      <c r="Q1782">
        <v>0</v>
      </c>
    </row>
    <row r="1783" spans="1:17" x14ac:dyDescent="0.25">
      <c r="A1783" t="s">
        <v>29</v>
      </c>
      <c r="B1783" t="s">
        <v>36</v>
      </c>
      <c r="C1783">
        <v>180000</v>
      </c>
      <c r="D1783" t="s">
        <v>19</v>
      </c>
      <c r="E1783" t="s">
        <v>20</v>
      </c>
      <c r="F1783" t="s">
        <v>32</v>
      </c>
      <c r="G1783" t="s">
        <v>22</v>
      </c>
      <c r="H1783" t="s">
        <v>49</v>
      </c>
      <c r="I1783" t="s">
        <v>24</v>
      </c>
      <c r="J1783">
        <v>19030.5</v>
      </c>
      <c r="K1783">
        <v>1903.5</v>
      </c>
      <c r="L1783" t="s">
        <v>38</v>
      </c>
      <c r="M1783" t="s">
        <v>26</v>
      </c>
      <c r="N1783" t="s">
        <v>58</v>
      </c>
      <c r="O1783" t="s">
        <v>35</v>
      </c>
      <c r="P1783" t="s">
        <v>60</v>
      </c>
      <c r="Q1783">
        <v>1</v>
      </c>
    </row>
    <row r="1784" spans="1:17" x14ac:dyDescent="0.25">
      <c r="A1784" t="s">
        <v>29</v>
      </c>
      <c r="B1784" t="s">
        <v>36</v>
      </c>
      <c r="C1784">
        <v>180000</v>
      </c>
      <c r="D1784" t="s">
        <v>19</v>
      </c>
      <c r="E1784" t="s">
        <v>20</v>
      </c>
      <c r="F1784" t="s">
        <v>32</v>
      </c>
      <c r="G1784" t="s">
        <v>22</v>
      </c>
      <c r="H1784" t="s">
        <v>49</v>
      </c>
      <c r="I1784" t="s">
        <v>24</v>
      </c>
      <c r="J1784">
        <v>88605</v>
      </c>
      <c r="K1784">
        <v>8860.5</v>
      </c>
      <c r="L1784" t="s">
        <v>25</v>
      </c>
      <c r="M1784" t="s">
        <v>26</v>
      </c>
      <c r="N1784" t="s">
        <v>27</v>
      </c>
      <c r="O1784" t="s">
        <v>35</v>
      </c>
      <c r="P1784" t="s">
        <v>26</v>
      </c>
      <c r="Q1784">
        <v>0</v>
      </c>
    </row>
    <row r="1785" spans="1:17" x14ac:dyDescent="0.25">
      <c r="A1785" t="s">
        <v>17</v>
      </c>
      <c r="B1785" t="s">
        <v>36</v>
      </c>
      <c r="C1785">
        <v>157500</v>
      </c>
      <c r="D1785" t="s">
        <v>19</v>
      </c>
      <c r="E1785" t="s">
        <v>20</v>
      </c>
      <c r="F1785" t="s">
        <v>32</v>
      </c>
      <c r="G1785" t="s">
        <v>22</v>
      </c>
      <c r="H1785" t="s">
        <v>23</v>
      </c>
      <c r="I1785" t="s">
        <v>24</v>
      </c>
      <c r="J1785">
        <v>22950</v>
      </c>
      <c r="K1785">
        <v>4950</v>
      </c>
      <c r="L1785" t="s">
        <v>38</v>
      </c>
      <c r="M1785" t="s">
        <v>26</v>
      </c>
      <c r="N1785" t="s">
        <v>27</v>
      </c>
      <c r="O1785" t="s">
        <v>35</v>
      </c>
      <c r="P1785" t="s">
        <v>26</v>
      </c>
      <c r="Q1785">
        <v>0</v>
      </c>
    </row>
    <row r="1786" spans="1:17" x14ac:dyDescent="0.25">
      <c r="A1786" t="s">
        <v>29</v>
      </c>
      <c r="B1786" t="s">
        <v>18</v>
      </c>
      <c r="C1786">
        <v>247500</v>
      </c>
      <c r="D1786" t="s">
        <v>19</v>
      </c>
      <c r="E1786" t="s">
        <v>20</v>
      </c>
      <c r="F1786" t="s">
        <v>39</v>
      </c>
      <c r="G1786" t="s">
        <v>22</v>
      </c>
      <c r="H1786" t="s">
        <v>41</v>
      </c>
      <c r="I1786" t="s">
        <v>24</v>
      </c>
      <c r="J1786">
        <v>151110</v>
      </c>
      <c r="K1786">
        <v>0</v>
      </c>
      <c r="L1786" t="s">
        <v>43</v>
      </c>
      <c r="M1786" t="s">
        <v>26</v>
      </c>
      <c r="N1786" t="s">
        <v>58</v>
      </c>
      <c r="O1786" t="s">
        <v>83</v>
      </c>
      <c r="P1786" t="s">
        <v>60</v>
      </c>
      <c r="Q1786">
        <v>1</v>
      </c>
    </row>
    <row r="1787" spans="1:17" x14ac:dyDescent="0.25">
      <c r="A1787" t="s">
        <v>29</v>
      </c>
      <c r="B1787" t="s">
        <v>18</v>
      </c>
      <c r="C1787">
        <v>247500</v>
      </c>
      <c r="D1787" t="s">
        <v>19</v>
      </c>
      <c r="E1787" t="s">
        <v>20</v>
      </c>
      <c r="F1787" t="s">
        <v>39</v>
      </c>
      <c r="G1787" t="s">
        <v>22</v>
      </c>
      <c r="H1787" t="s">
        <v>41</v>
      </c>
      <c r="I1787" t="s">
        <v>24</v>
      </c>
      <c r="J1787">
        <v>141727.5</v>
      </c>
      <c r="K1787">
        <v>0</v>
      </c>
      <c r="L1787" t="s">
        <v>45</v>
      </c>
      <c r="M1787" t="s">
        <v>26</v>
      </c>
      <c r="N1787" t="s">
        <v>27</v>
      </c>
      <c r="O1787" t="s">
        <v>35</v>
      </c>
      <c r="P1787" t="s">
        <v>26</v>
      </c>
      <c r="Q1787">
        <v>0</v>
      </c>
    </row>
    <row r="1788" spans="1:17" x14ac:dyDescent="0.25">
      <c r="A1788" t="s">
        <v>17</v>
      </c>
      <c r="B1788" t="s">
        <v>18</v>
      </c>
      <c r="C1788">
        <v>180000</v>
      </c>
      <c r="D1788" t="s">
        <v>30</v>
      </c>
      <c r="E1788" t="s">
        <v>20</v>
      </c>
      <c r="F1788" t="s">
        <v>32</v>
      </c>
      <c r="G1788" t="s">
        <v>22</v>
      </c>
      <c r="H1788" t="s">
        <v>55</v>
      </c>
      <c r="I1788" t="s">
        <v>90</v>
      </c>
      <c r="J1788">
        <v>45000</v>
      </c>
      <c r="K1788">
        <v>0</v>
      </c>
      <c r="L1788" t="s">
        <v>42</v>
      </c>
      <c r="M1788" t="s">
        <v>26</v>
      </c>
      <c r="N1788" t="s">
        <v>27</v>
      </c>
      <c r="O1788" t="s">
        <v>28</v>
      </c>
      <c r="P1788" t="s">
        <v>26</v>
      </c>
      <c r="Q1788">
        <v>0</v>
      </c>
    </row>
    <row r="1789" spans="1:17" x14ac:dyDescent="0.25">
      <c r="A1789" t="s">
        <v>29</v>
      </c>
      <c r="B1789" t="s">
        <v>18</v>
      </c>
      <c r="C1789">
        <v>58500</v>
      </c>
      <c r="D1789" t="s">
        <v>46</v>
      </c>
      <c r="E1789" t="s">
        <v>20</v>
      </c>
      <c r="F1789" t="s">
        <v>32</v>
      </c>
      <c r="G1789" t="s">
        <v>22</v>
      </c>
      <c r="H1789" t="s">
        <v>28</v>
      </c>
      <c r="I1789" t="s">
        <v>24</v>
      </c>
      <c r="J1789">
        <v>45450</v>
      </c>
      <c r="K1789">
        <v>0</v>
      </c>
      <c r="L1789" t="s">
        <v>38</v>
      </c>
      <c r="M1789" t="s">
        <v>26</v>
      </c>
      <c r="N1789" t="s">
        <v>27</v>
      </c>
      <c r="O1789" t="s">
        <v>28</v>
      </c>
      <c r="P1789" t="s">
        <v>26</v>
      </c>
      <c r="Q1789">
        <v>0</v>
      </c>
    </row>
    <row r="1790" spans="1:17" x14ac:dyDescent="0.25">
      <c r="A1790" t="s">
        <v>17</v>
      </c>
      <c r="B1790" t="s">
        <v>36</v>
      </c>
      <c r="C1790">
        <v>315000</v>
      </c>
      <c r="D1790" t="s">
        <v>19</v>
      </c>
      <c r="E1790" t="s">
        <v>20</v>
      </c>
      <c r="F1790" t="s">
        <v>32</v>
      </c>
      <c r="G1790" t="s">
        <v>22</v>
      </c>
      <c r="H1790" t="s">
        <v>23</v>
      </c>
      <c r="I1790" t="s">
        <v>24</v>
      </c>
      <c r="J1790">
        <v>85657.5</v>
      </c>
      <c r="K1790">
        <v>0</v>
      </c>
      <c r="L1790" t="s">
        <v>25</v>
      </c>
      <c r="M1790" t="s">
        <v>26</v>
      </c>
      <c r="N1790" t="s">
        <v>27</v>
      </c>
      <c r="O1790" t="s">
        <v>35</v>
      </c>
      <c r="P1790" t="s">
        <v>26</v>
      </c>
      <c r="Q1790">
        <v>0</v>
      </c>
    </row>
    <row r="1791" spans="1:17" x14ac:dyDescent="0.25">
      <c r="A1791" t="s">
        <v>17</v>
      </c>
      <c r="B1791" t="s">
        <v>36</v>
      </c>
      <c r="C1791">
        <v>315000</v>
      </c>
      <c r="D1791" t="s">
        <v>19</v>
      </c>
      <c r="E1791" t="s">
        <v>20</v>
      </c>
      <c r="F1791" t="s">
        <v>32</v>
      </c>
      <c r="G1791" t="s">
        <v>22</v>
      </c>
      <c r="H1791" t="s">
        <v>23</v>
      </c>
      <c r="I1791" t="s">
        <v>24</v>
      </c>
      <c r="J1791">
        <v>223789.5</v>
      </c>
      <c r="K1791">
        <v>0</v>
      </c>
      <c r="L1791" t="s">
        <v>34</v>
      </c>
      <c r="M1791" t="s">
        <v>26</v>
      </c>
      <c r="N1791" t="s">
        <v>27</v>
      </c>
      <c r="O1791" t="s">
        <v>35</v>
      </c>
      <c r="P1791" t="s">
        <v>26</v>
      </c>
      <c r="Q1791">
        <v>0</v>
      </c>
    </row>
    <row r="1792" spans="1:17" x14ac:dyDescent="0.25">
      <c r="A1792" t="s">
        <v>29</v>
      </c>
      <c r="B1792" t="s">
        <v>18</v>
      </c>
      <c r="C1792">
        <v>67500</v>
      </c>
      <c r="D1792" t="s">
        <v>44</v>
      </c>
      <c r="E1792" t="s">
        <v>20</v>
      </c>
      <c r="F1792" t="s">
        <v>32</v>
      </c>
      <c r="G1792" t="s">
        <v>22</v>
      </c>
      <c r="H1792" t="s">
        <v>49</v>
      </c>
      <c r="I1792" t="s">
        <v>66</v>
      </c>
      <c r="J1792">
        <v>180000</v>
      </c>
      <c r="K1792">
        <v>0</v>
      </c>
      <c r="L1792" t="s">
        <v>43</v>
      </c>
      <c r="M1792" t="s">
        <v>28</v>
      </c>
      <c r="N1792" t="s">
        <v>27</v>
      </c>
      <c r="O1792" t="s">
        <v>28</v>
      </c>
      <c r="P1792" t="s">
        <v>26</v>
      </c>
      <c r="Q1792">
        <v>0</v>
      </c>
    </row>
    <row r="1793" spans="1:17" x14ac:dyDescent="0.25">
      <c r="A1793" t="s">
        <v>29</v>
      </c>
      <c r="B1793" t="s">
        <v>18</v>
      </c>
      <c r="C1793">
        <v>81000</v>
      </c>
      <c r="D1793" t="s">
        <v>19</v>
      </c>
      <c r="E1793" t="s">
        <v>20</v>
      </c>
      <c r="F1793" t="s">
        <v>32</v>
      </c>
      <c r="G1793" t="s">
        <v>22</v>
      </c>
      <c r="H1793" t="s">
        <v>56</v>
      </c>
      <c r="I1793" t="s">
        <v>24</v>
      </c>
      <c r="J1793">
        <v>42241.5</v>
      </c>
      <c r="K1793">
        <v>0</v>
      </c>
      <c r="L1793" t="s">
        <v>25</v>
      </c>
      <c r="M1793" t="s">
        <v>26</v>
      </c>
      <c r="N1793" t="s">
        <v>27</v>
      </c>
      <c r="O1793" t="s">
        <v>35</v>
      </c>
      <c r="P1793" t="s">
        <v>26</v>
      </c>
      <c r="Q1793">
        <v>0</v>
      </c>
    </row>
    <row r="1794" spans="1:17" x14ac:dyDescent="0.25">
      <c r="A1794" t="s">
        <v>29</v>
      </c>
      <c r="B1794" t="s">
        <v>18</v>
      </c>
      <c r="C1794">
        <v>81000</v>
      </c>
      <c r="D1794" t="s">
        <v>19</v>
      </c>
      <c r="E1794" t="s">
        <v>20</v>
      </c>
      <c r="F1794" t="s">
        <v>32</v>
      </c>
      <c r="G1794" t="s">
        <v>22</v>
      </c>
      <c r="H1794" t="s">
        <v>56</v>
      </c>
      <c r="I1794" t="s">
        <v>24</v>
      </c>
      <c r="J1794">
        <v>37327.5</v>
      </c>
      <c r="K1794">
        <v>0</v>
      </c>
      <c r="L1794" t="s">
        <v>34</v>
      </c>
      <c r="M1794" t="s">
        <v>26</v>
      </c>
      <c r="N1794" t="s">
        <v>27</v>
      </c>
      <c r="O1794" t="s">
        <v>35</v>
      </c>
      <c r="P1794" t="s">
        <v>26</v>
      </c>
      <c r="Q1794">
        <v>0</v>
      </c>
    </row>
    <row r="1795" spans="1:17" x14ac:dyDescent="0.25">
      <c r="A1795" t="s">
        <v>29</v>
      </c>
      <c r="B1795" t="s">
        <v>18</v>
      </c>
      <c r="C1795">
        <v>135000</v>
      </c>
      <c r="D1795" t="s">
        <v>46</v>
      </c>
      <c r="E1795" t="s">
        <v>20</v>
      </c>
      <c r="F1795" t="s">
        <v>54</v>
      </c>
      <c r="G1795" t="s">
        <v>22</v>
      </c>
      <c r="H1795" t="s">
        <v>28</v>
      </c>
      <c r="I1795" t="s">
        <v>24</v>
      </c>
      <c r="J1795">
        <v>62446.5</v>
      </c>
      <c r="K1795">
        <v>0</v>
      </c>
      <c r="L1795" t="s">
        <v>38</v>
      </c>
      <c r="M1795" t="s">
        <v>26</v>
      </c>
      <c r="N1795" t="s">
        <v>27</v>
      </c>
      <c r="O1795" t="s">
        <v>35</v>
      </c>
      <c r="P1795" t="s">
        <v>26</v>
      </c>
      <c r="Q1795">
        <v>0</v>
      </c>
    </row>
    <row r="1796" spans="1:17" x14ac:dyDescent="0.25">
      <c r="A1796" t="s">
        <v>29</v>
      </c>
      <c r="B1796" t="s">
        <v>18</v>
      </c>
      <c r="C1796">
        <v>76500</v>
      </c>
      <c r="D1796" t="s">
        <v>19</v>
      </c>
      <c r="E1796" t="s">
        <v>20</v>
      </c>
      <c r="F1796" t="s">
        <v>32</v>
      </c>
      <c r="G1796" t="s">
        <v>73</v>
      </c>
      <c r="H1796" t="s">
        <v>49</v>
      </c>
      <c r="I1796" t="s">
        <v>24</v>
      </c>
      <c r="J1796">
        <v>51114.239999999998</v>
      </c>
      <c r="K1796">
        <v>5115.24</v>
      </c>
      <c r="L1796" t="s">
        <v>51</v>
      </c>
      <c r="M1796" t="s">
        <v>26</v>
      </c>
      <c r="N1796" t="s">
        <v>27</v>
      </c>
      <c r="O1796" t="s">
        <v>35</v>
      </c>
      <c r="P1796" t="s">
        <v>26</v>
      </c>
      <c r="Q1796">
        <v>0</v>
      </c>
    </row>
    <row r="1797" spans="1:17" x14ac:dyDescent="0.25">
      <c r="A1797" t="s">
        <v>29</v>
      </c>
      <c r="B1797" t="s">
        <v>18</v>
      </c>
      <c r="C1797">
        <v>76500</v>
      </c>
      <c r="D1797" t="s">
        <v>19</v>
      </c>
      <c r="E1797" t="s">
        <v>20</v>
      </c>
      <c r="F1797" t="s">
        <v>32</v>
      </c>
      <c r="G1797" t="s">
        <v>73</v>
      </c>
      <c r="H1797" t="s">
        <v>49</v>
      </c>
      <c r="I1797" t="s">
        <v>66</v>
      </c>
      <c r="J1797">
        <v>45000</v>
      </c>
      <c r="K1797">
        <v>0</v>
      </c>
      <c r="L1797" t="s">
        <v>43</v>
      </c>
      <c r="M1797" t="s">
        <v>28</v>
      </c>
      <c r="N1797" t="s">
        <v>27</v>
      </c>
      <c r="O1797" t="s">
        <v>35</v>
      </c>
      <c r="P1797" t="s">
        <v>26</v>
      </c>
      <c r="Q1797">
        <v>0</v>
      </c>
    </row>
    <row r="1798" spans="1:17" x14ac:dyDescent="0.25">
      <c r="A1798" t="s">
        <v>29</v>
      </c>
      <c r="B1798" t="s">
        <v>18</v>
      </c>
      <c r="C1798">
        <v>76500</v>
      </c>
      <c r="D1798" t="s">
        <v>19</v>
      </c>
      <c r="E1798" t="s">
        <v>20</v>
      </c>
      <c r="F1798" t="s">
        <v>32</v>
      </c>
      <c r="G1798" t="s">
        <v>73</v>
      </c>
      <c r="H1798" t="s">
        <v>49</v>
      </c>
      <c r="I1798" t="s">
        <v>66</v>
      </c>
      <c r="J1798">
        <v>63000</v>
      </c>
      <c r="K1798">
        <v>0</v>
      </c>
      <c r="L1798" t="s">
        <v>45</v>
      </c>
      <c r="M1798" t="s">
        <v>28</v>
      </c>
      <c r="N1798" t="s">
        <v>27</v>
      </c>
      <c r="O1798" t="s">
        <v>35</v>
      </c>
      <c r="P1798" t="s">
        <v>26</v>
      </c>
      <c r="Q1798">
        <v>0</v>
      </c>
    </row>
    <row r="1799" spans="1:17" x14ac:dyDescent="0.25">
      <c r="A1799" t="s">
        <v>29</v>
      </c>
      <c r="B1799" t="s">
        <v>18</v>
      </c>
      <c r="C1799">
        <v>180000</v>
      </c>
      <c r="D1799" t="s">
        <v>44</v>
      </c>
      <c r="E1799" t="s">
        <v>20</v>
      </c>
      <c r="F1799" t="s">
        <v>32</v>
      </c>
      <c r="G1799" t="s">
        <v>52</v>
      </c>
      <c r="H1799" t="s">
        <v>23</v>
      </c>
      <c r="I1799" t="s">
        <v>24</v>
      </c>
      <c r="J1799">
        <v>106560</v>
      </c>
      <c r="K1799">
        <v>10656</v>
      </c>
      <c r="L1799" t="s">
        <v>34</v>
      </c>
      <c r="M1799" t="s">
        <v>26</v>
      </c>
      <c r="N1799" t="s">
        <v>27</v>
      </c>
      <c r="O1799" t="s">
        <v>35</v>
      </c>
      <c r="P1799" t="s">
        <v>26</v>
      </c>
      <c r="Q1799">
        <v>0</v>
      </c>
    </row>
    <row r="1800" spans="1:17" x14ac:dyDescent="0.25">
      <c r="A1800" t="s">
        <v>29</v>
      </c>
      <c r="B1800" t="s">
        <v>18</v>
      </c>
      <c r="C1800">
        <v>112500</v>
      </c>
      <c r="D1800" t="s">
        <v>19</v>
      </c>
      <c r="E1800" t="s">
        <v>20</v>
      </c>
      <c r="F1800" t="s">
        <v>32</v>
      </c>
      <c r="G1800" t="s">
        <v>22</v>
      </c>
      <c r="H1800" t="s">
        <v>68</v>
      </c>
      <c r="I1800" t="s">
        <v>24</v>
      </c>
      <c r="J1800">
        <v>66456</v>
      </c>
      <c r="K1800">
        <v>9000</v>
      </c>
      <c r="L1800" t="s">
        <v>25</v>
      </c>
      <c r="M1800" t="s">
        <v>26</v>
      </c>
      <c r="N1800" t="s">
        <v>27</v>
      </c>
      <c r="O1800" t="s">
        <v>35</v>
      </c>
      <c r="P1800" t="s">
        <v>26</v>
      </c>
      <c r="Q1800">
        <v>0</v>
      </c>
    </row>
    <row r="1801" spans="1:17" x14ac:dyDescent="0.25">
      <c r="A1801" t="s">
        <v>29</v>
      </c>
      <c r="B1801" t="s">
        <v>18</v>
      </c>
      <c r="C1801">
        <v>112500</v>
      </c>
      <c r="D1801" t="s">
        <v>19</v>
      </c>
      <c r="E1801" t="s">
        <v>20</v>
      </c>
      <c r="F1801" t="s">
        <v>32</v>
      </c>
      <c r="G1801" t="s">
        <v>22</v>
      </c>
      <c r="H1801" t="s">
        <v>68</v>
      </c>
      <c r="I1801" t="s">
        <v>24</v>
      </c>
      <c r="J1801">
        <v>25636.5</v>
      </c>
      <c r="K1801">
        <v>6750</v>
      </c>
      <c r="L1801" t="s">
        <v>51</v>
      </c>
      <c r="M1801" t="s">
        <v>26</v>
      </c>
      <c r="N1801" t="s">
        <v>27</v>
      </c>
      <c r="O1801" t="s">
        <v>35</v>
      </c>
      <c r="P1801" t="s">
        <v>26</v>
      </c>
      <c r="Q1801">
        <v>0</v>
      </c>
    </row>
    <row r="1802" spans="1:17" x14ac:dyDescent="0.25">
      <c r="A1802" t="s">
        <v>29</v>
      </c>
      <c r="B1802" t="s">
        <v>36</v>
      </c>
      <c r="C1802">
        <v>225000</v>
      </c>
      <c r="D1802" t="s">
        <v>46</v>
      </c>
      <c r="E1802" t="s">
        <v>20</v>
      </c>
      <c r="F1802" t="s">
        <v>32</v>
      </c>
      <c r="G1802" t="s">
        <v>22</v>
      </c>
      <c r="H1802" t="s">
        <v>28</v>
      </c>
      <c r="I1802" t="s">
        <v>24</v>
      </c>
      <c r="J1802">
        <v>48348</v>
      </c>
      <c r="K1802">
        <v>0</v>
      </c>
      <c r="L1802" t="s">
        <v>45</v>
      </c>
      <c r="M1802" t="s">
        <v>26</v>
      </c>
      <c r="N1802" t="s">
        <v>58</v>
      </c>
      <c r="O1802" t="s">
        <v>35</v>
      </c>
      <c r="P1802" t="s">
        <v>64</v>
      </c>
      <c r="Q1802">
        <v>1</v>
      </c>
    </row>
    <row r="1803" spans="1:17" x14ac:dyDescent="0.25">
      <c r="A1803" t="s">
        <v>29</v>
      </c>
      <c r="B1803" t="s">
        <v>36</v>
      </c>
      <c r="C1803">
        <v>225000</v>
      </c>
      <c r="D1803" t="s">
        <v>46</v>
      </c>
      <c r="E1803" t="s">
        <v>20</v>
      </c>
      <c r="F1803" t="s">
        <v>32</v>
      </c>
      <c r="G1803" t="s">
        <v>22</v>
      </c>
      <c r="H1803" t="s">
        <v>28</v>
      </c>
      <c r="I1803" t="s">
        <v>24</v>
      </c>
      <c r="J1803">
        <v>122850</v>
      </c>
      <c r="K1803">
        <v>12285</v>
      </c>
      <c r="L1803" t="s">
        <v>45</v>
      </c>
      <c r="M1803" t="s">
        <v>26</v>
      </c>
      <c r="N1803" t="s">
        <v>27</v>
      </c>
      <c r="O1803" t="s">
        <v>35</v>
      </c>
      <c r="P1803" t="s">
        <v>26</v>
      </c>
      <c r="Q1803">
        <v>0</v>
      </c>
    </row>
    <row r="1804" spans="1:17" x14ac:dyDescent="0.25">
      <c r="A1804" t="s">
        <v>29</v>
      </c>
      <c r="B1804" t="s">
        <v>36</v>
      </c>
      <c r="C1804">
        <v>225000</v>
      </c>
      <c r="D1804" t="s">
        <v>46</v>
      </c>
      <c r="E1804" t="s">
        <v>20</v>
      </c>
      <c r="F1804" t="s">
        <v>32</v>
      </c>
      <c r="G1804" t="s">
        <v>22</v>
      </c>
      <c r="H1804" t="s">
        <v>28</v>
      </c>
      <c r="I1804" t="s">
        <v>24</v>
      </c>
      <c r="J1804">
        <v>30874.5</v>
      </c>
      <c r="K1804">
        <v>0</v>
      </c>
      <c r="L1804" t="s">
        <v>51</v>
      </c>
      <c r="M1804" t="s">
        <v>26</v>
      </c>
      <c r="N1804" t="s">
        <v>27</v>
      </c>
      <c r="O1804" t="s">
        <v>35</v>
      </c>
      <c r="P1804" t="s">
        <v>26</v>
      </c>
      <c r="Q1804">
        <v>0</v>
      </c>
    </row>
    <row r="1805" spans="1:17" x14ac:dyDescent="0.25">
      <c r="A1805" t="s">
        <v>29</v>
      </c>
      <c r="B1805" t="s">
        <v>18</v>
      </c>
      <c r="C1805">
        <v>67500</v>
      </c>
      <c r="D1805" t="s">
        <v>19</v>
      </c>
      <c r="E1805" t="s">
        <v>20</v>
      </c>
      <c r="F1805" t="s">
        <v>54</v>
      </c>
      <c r="G1805" t="s">
        <v>22</v>
      </c>
      <c r="H1805" t="s">
        <v>68</v>
      </c>
      <c r="I1805" t="s">
        <v>24</v>
      </c>
      <c r="J1805">
        <v>43281</v>
      </c>
      <c r="K1805">
        <v>4500</v>
      </c>
      <c r="L1805" t="s">
        <v>43</v>
      </c>
      <c r="M1805" t="s">
        <v>26</v>
      </c>
      <c r="N1805" t="s">
        <v>27</v>
      </c>
      <c r="O1805" t="s">
        <v>35</v>
      </c>
      <c r="P1805" t="s">
        <v>26</v>
      </c>
      <c r="Q1805">
        <v>0</v>
      </c>
    </row>
    <row r="1806" spans="1:17" x14ac:dyDescent="0.25">
      <c r="A1806" t="s">
        <v>29</v>
      </c>
      <c r="B1806" t="s">
        <v>18</v>
      </c>
      <c r="C1806">
        <v>180000</v>
      </c>
      <c r="D1806" t="s">
        <v>44</v>
      </c>
      <c r="E1806" t="s">
        <v>20</v>
      </c>
      <c r="F1806" t="s">
        <v>39</v>
      </c>
      <c r="G1806" t="s">
        <v>22</v>
      </c>
      <c r="H1806" t="s">
        <v>23</v>
      </c>
      <c r="I1806" t="s">
        <v>24</v>
      </c>
      <c r="J1806">
        <v>151888.5</v>
      </c>
      <c r="K1806">
        <v>0</v>
      </c>
      <c r="L1806" t="s">
        <v>34</v>
      </c>
      <c r="M1806" t="s">
        <v>26</v>
      </c>
      <c r="N1806" t="s">
        <v>27</v>
      </c>
      <c r="O1806" t="s">
        <v>35</v>
      </c>
      <c r="P1806" t="s">
        <v>26</v>
      </c>
      <c r="Q1806">
        <v>0</v>
      </c>
    </row>
    <row r="1807" spans="1:17" x14ac:dyDescent="0.25">
      <c r="A1807" t="s">
        <v>17</v>
      </c>
      <c r="B1807" t="s">
        <v>18</v>
      </c>
      <c r="C1807">
        <v>121500</v>
      </c>
      <c r="D1807" t="s">
        <v>19</v>
      </c>
      <c r="E1807" t="s">
        <v>20</v>
      </c>
      <c r="F1807" t="s">
        <v>21</v>
      </c>
      <c r="G1807" t="s">
        <v>22</v>
      </c>
      <c r="H1807" t="s">
        <v>96</v>
      </c>
      <c r="I1807" t="s">
        <v>24</v>
      </c>
      <c r="J1807">
        <v>77368.5</v>
      </c>
      <c r="K1807">
        <v>0</v>
      </c>
      <c r="L1807" t="s">
        <v>34</v>
      </c>
      <c r="M1807" t="s">
        <v>26</v>
      </c>
      <c r="N1807" t="s">
        <v>27</v>
      </c>
      <c r="O1807" t="s">
        <v>35</v>
      </c>
      <c r="P1807" t="s">
        <v>26</v>
      </c>
      <c r="Q1807">
        <v>0</v>
      </c>
    </row>
    <row r="1808" spans="1:17" x14ac:dyDescent="0.25">
      <c r="A1808" t="s">
        <v>29</v>
      </c>
      <c r="B1808" t="s">
        <v>18</v>
      </c>
      <c r="C1808">
        <v>112500</v>
      </c>
      <c r="D1808" t="s">
        <v>19</v>
      </c>
      <c r="E1808" t="s">
        <v>20</v>
      </c>
      <c r="F1808" t="s">
        <v>32</v>
      </c>
      <c r="G1808" t="s">
        <v>22</v>
      </c>
      <c r="H1808" t="s">
        <v>41</v>
      </c>
      <c r="I1808" t="s">
        <v>24</v>
      </c>
      <c r="J1808">
        <v>214983</v>
      </c>
      <c r="K1808">
        <v>0</v>
      </c>
      <c r="L1808" t="s">
        <v>45</v>
      </c>
      <c r="M1808" t="s">
        <v>26</v>
      </c>
      <c r="N1808" t="s">
        <v>27</v>
      </c>
      <c r="O1808" t="s">
        <v>35</v>
      </c>
      <c r="P1808" t="s">
        <v>26</v>
      </c>
      <c r="Q1808">
        <v>0</v>
      </c>
    </row>
    <row r="1809" spans="1:17" x14ac:dyDescent="0.25">
      <c r="A1809" t="s">
        <v>17</v>
      </c>
      <c r="B1809" t="s">
        <v>36</v>
      </c>
      <c r="C1809">
        <v>157500</v>
      </c>
      <c r="D1809" t="s">
        <v>46</v>
      </c>
      <c r="E1809" t="s">
        <v>20</v>
      </c>
      <c r="F1809" t="s">
        <v>32</v>
      </c>
      <c r="G1809" t="s">
        <v>22</v>
      </c>
      <c r="H1809" t="s">
        <v>28</v>
      </c>
      <c r="I1809" t="s">
        <v>24</v>
      </c>
      <c r="J1809">
        <v>198000</v>
      </c>
      <c r="K1809">
        <v>0</v>
      </c>
      <c r="L1809" t="s">
        <v>34</v>
      </c>
      <c r="M1809" t="s">
        <v>26</v>
      </c>
      <c r="N1809" t="s">
        <v>27</v>
      </c>
      <c r="O1809" t="s">
        <v>35</v>
      </c>
      <c r="P1809" t="s">
        <v>26</v>
      </c>
      <c r="Q1809">
        <v>0</v>
      </c>
    </row>
    <row r="1810" spans="1:17" x14ac:dyDescent="0.25">
      <c r="A1810" t="s">
        <v>17</v>
      </c>
      <c r="B1810" t="s">
        <v>36</v>
      </c>
      <c r="C1810">
        <v>157500</v>
      </c>
      <c r="D1810" t="s">
        <v>46</v>
      </c>
      <c r="E1810" t="s">
        <v>20</v>
      </c>
      <c r="F1810" t="s">
        <v>32</v>
      </c>
      <c r="G1810" t="s">
        <v>22</v>
      </c>
      <c r="H1810" t="s">
        <v>28</v>
      </c>
      <c r="I1810" t="s">
        <v>24</v>
      </c>
      <c r="J1810">
        <v>72022.5</v>
      </c>
      <c r="K1810">
        <v>0</v>
      </c>
      <c r="L1810" t="s">
        <v>25</v>
      </c>
      <c r="M1810" t="s">
        <v>26</v>
      </c>
      <c r="N1810" t="s">
        <v>27</v>
      </c>
      <c r="O1810" t="s">
        <v>35</v>
      </c>
      <c r="P1810" t="s">
        <v>26</v>
      </c>
      <c r="Q1810">
        <v>0</v>
      </c>
    </row>
    <row r="1811" spans="1:17" x14ac:dyDescent="0.25">
      <c r="A1811" t="s">
        <v>29</v>
      </c>
      <c r="B1811" t="s">
        <v>18</v>
      </c>
      <c r="C1811">
        <v>90000</v>
      </c>
      <c r="D1811" t="s">
        <v>46</v>
      </c>
      <c r="E1811" t="s">
        <v>31</v>
      </c>
      <c r="F1811" t="s">
        <v>54</v>
      </c>
      <c r="G1811" t="s">
        <v>22</v>
      </c>
      <c r="H1811" t="s">
        <v>28</v>
      </c>
      <c r="I1811" t="s">
        <v>24</v>
      </c>
      <c r="J1811">
        <v>178965</v>
      </c>
      <c r="K1811">
        <v>17896.5</v>
      </c>
      <c r="L1811" t="s">
        <v>34</v>
      </c>
      <c r="M1811" t="s">
        <v>26</v>
      </c>
      <c r="N1811" t="s">
        <v>27</v>
      </c>
      <c r="O1811" t="s">
        <v>35</v>
      </c>
      <c r="P1811" t="s">
        <v>26</v>
      </c>
      <c r="Q1811">
        <v>0</v>
      </c>
    </row>
    <row r="1812" spans="1:17" x14ac:dyDescent="0.25">
      <c r="A1812" t="s">
        <v>17</v>
      </c>
      <c r="B1812" t="s">
        <v>18</v>
      </c>
      <c r="C1812">
        <v>202500</v>
      </c>
      <c r="D1812" t="s">
        <v>44</v>
      </c>
      <c r="E1812" t="s">
        <v>31</v>
      </c>
      <c r="F1812" t="s">
        <v>32</v>
      </c>
      <c r="G1812" t="s">
        <v>22</v>
      </c>
      <c r="H1812" t="s">
        <v>49</v>
      </c>
      <c r="I1812" t="s">
        <v>24</v>
      </c>
      <c r="J1812">
        <v>45004.5</v>
      </c>
      <c r="K1812">
        <v>0</v>
      </c>
      <c r="L1812" t="s">
        <v>43</v>
      </c>
      <c r="M1812" t="s">
        <v>26</v>
      </c>
      <c r="N1812" t="s">
        <v>27</v>
      </c>
      <c r="O1812" t="s">
        <v>35</v>
      </c>
      <c r="P1812" t="s">
        <v>26</v>
      </c>
      <c r="Q1812">
        <v>0</v>
      </c>
    </row>
    <row r="1813" spans="1:17" x14ac:dyDescent="0.25">
      <c r="A1813" t="s">
        <v>17</v>
      </c>
      <c r="B1813" t="s">
        <v>36</v>
      </c>
      <c r="C1813">
        <v>135000</v>
      </c>
      <c r="D1813" t="s">
        <v>19</v>
      </c>
      <c r="E1813" t="s">
        <v>20</v>
      </c>
      <c r="F1813" t="s">
        <v>32</v>
      </c>
      <c r="G1813" t="s">
        <v>22</v>
      </c>
      <c r="H1813" t="s">
        <v>37</v>
      </c>
      <c r="I1813" t="s">
        <v>24</v>
      </c>
      <c r="J1813">
        <v>27855</v>
      </c>
      <c r="K1813">
        <v>0</v>
      </c>
      <c r="L1813" t="s">
        <v>45</v>
      </c>
      <c r="M1813" t="s">
        <v>26</v>
      </c>
      <c r="N1813" t="s">
        <v>27</v>
      </c>
      <c r="O1813" t="s">
        <v>35</v>
      </c>
      <c r="P1813" t="s">
        <v>26</v>
      </c>
      <c r="Q1813">
        <v>0</v>
      </c>
    </row>
    <row r="1814" spans="1:17" x14ac:dyDescent="0.25">
      <c r="A1814" t="s">
        <v>17</v>
      </c>
      <c r="B1814" t="s">
        <v>36</v>
      </c>
      <c r="C1814">
        <v>135000</v>
      </c>
      <c r="D1814" t="s">
        <v>19</v>
      </c>
      <c r="E1814" t="s">
        <v>20</v>
      </c>
      <c r="F1814" t="s">
        <v>32</v>
      </c>
      <c r="G1814" t="s">
        <v>22</v>
      </c>
      <c r="H1814" t="s">
        <v>37</v>
      </c>
      <c r="I1814" t="s">
        <v>24</v>
      </c>
      <c r="J1814">
        <v>121500</v>
      </c>
      <c r="K1814">
        <v>12150</v>
      </c>
      <c r="L1814" t="s">
        <v>25</v>
      </c>
      <c r="M1814" t="s">
        <v>26</v>
      </c>
      <c r="N1814" t="s">
        <v>27</v>
      </c>
      <c r="O1814" t="s">
        <v>35</v>
      </c>
      <c r="P1814" t="s">
        <v>26</v>
      </c>
      <c r="Q1814">
        <v>0</v>
      </c>
    </row>
    <row r="1815" spans="1:17" x14ac:dyDescent="0.25">
      <c r="A1815" t="s">
        <v>17</v>
      </c>
      <c r="B1815" t="s">
        <v>36</v>
      </c>
      <c r="C1815">
        <v>135000</v>
      </c>
      <c r="D1815" t="s">
        <v>19</v>
      </c>
      <c r="E1815" t="s">
        <v>20</v>
      </c>
      <c r="F1815" t="s">
        <v>32</v>
      </c>
      <c r="G1815" t="s">
        <v>22</v>
      </c>
      <c r="H1815" t="s">
        <v>37</v>
      </c>
      <c r="I1815" t="s">
        <v>24</v>
      </c>
      <c r="J1815">
        <v>54333</v>
      </c>
      <c r="K1815">
        <v>5436</v>
      </c>
      <c r="L1815" t="s">
        <v>38</v>
      </c>
      <c r="M1815" t="s">
        <v>26</v>
      </c>
      <c r="N1815" t="s">
        <v>27</v>
      </c>
      <c r="O1815" t="s">
        <v>35</v>
      </c>
      <c r="P1815" t="s">
        <v>26</v>
      </c>
      <c r="Q1815">
        <v>0</v>
      </c>
    </row>
    <row r="1816" spans="1:17" x14ac:dyDescent="0.25">
      <c r="A1816" t="s">
        <v>29</v>
      </c>
      <c r="B1816" t="s">
        <v>36</v>
      </c>
      <c r="C1816">
        <v>135000</v>
      </c>
      <c r="D1816" t="s">
        <v>19</v>
      </c>
      <c r="E1816" t="s">
        <v>20</v>
      </c>
      <c r="F1816" t="s">
        <v>32</v>
      </c>
      <c r="G1816" t="s">
        <v>22</v>
      </c>
      <c r="H1816" t="s">
        <v>23</v>
      </c>
      <c r="I1816" t="s">
        <v>24</v>
      </c>
      <c r="J1816">
        <v>137943</v>
      </c>
      <c r="K1816">
        <v>0</v>
      </c>
      <c r="L1816" t="s">
        <v>42</v>
      </c>
      <c r="M1816" t="s">
        <v>26</v>
      </c>
      <c r="N1816" t="s">
        <v>27</v>
      </c>
      <c r="O1816" t="s">
        <v>35</v>
      </c>
      <c r="P1816" t="s">
        <v>26</v>
      </c>
      <c r="Q1816">
        <v>0</v>
      </c>
    </row>
    <row r="1817" spans="1:17" x14ac:dyDescent="0.25">
      <c r="A1817" t="s">
        <v>29</v>
      </c>
      <c r="B1817" t="s">
        <v>36</v>
      </c>
      <c r="C1817">
        <v>135000</v>
      </c>
      <c r="D1817" t="s">
        <v>19</v>
      </c>
      <c r="E1817" t="s">
        <v>20</v>
      </c>
      <c r="F1817" t="s">
        <v>32</v>
      </c>
      <c r="G1817" t="s">
        <v>22</v>
      </c>
      <c r="H1817" t="s">
        <v>23</v>
      </c>
      <c r="I1817" t="s">
        <v>24</v>
      </c>
      <c r="J1817">
        <v>17865</v>
      </c>
      <c r="K1817">
        <v>1800</v>
      </c>
      <c r="L1817" t="s">
        <v>25</v>
      </c>
      <c r="M1817" t="s">
        <v>26</v>
      </c>
      <c r="N1817" t="s">
        <v>27</v>
      </c>
      <c r="O1817" t="s">
        <v>35</v>
      </c>
      <c r="P1817" t="s">
        <v>26</v>
      </c>
      <c r="Q1817">
        <v>0</v>
      </c>
    </row>
    <row r="1818" spans="1:17" x14ac:dyDescent="0.25">
      <c r="A1818" t="s">
        <v>29</v>
      </c>
      <c r="B1818" t="s">
        <v>36</v>
      </c>
      <c r="C1818">
        <v>135000</v>
      </c>
      <c r="D1818" t="s">
        <v>19</v>
      </c>
      <c r="E1818" t="s">
        <v>20</v>
      </c>
      <c r="F1818" t="s">
        <v>32</v>
      </c>
      <c r="G1818" t="s">
        <v>22</v>
      </c>
      <c r="H1818" t="s">
        <v>23</v>
      </c>
      <c r="I1818" t="s">
        <v>24</v>
      </c>
      <c r="J1818">
        <v>27855</v>
      </c>
      <c r="K1818">
        <v>2790</v>
      </c>
      <c r="L1818" t="s">
        <v>34</v>
      </c>
      <c r="M1818" t="s">
        <v>26</v>
      </c>
      <c r="N1818" t="s">
        <v>27</v>
      </c>
      <c r="O1818" t="s">
        <v>28</v>
      </c>
      <c r="P1818" t="s">
        <v>26</v>
      </c>
      <c r="Q1818">
        <v>0</v>
      </c>
    </row>
    <row r="1819" spans="1:17" x14ac:dyDescent="0.25">
      <c r="A1819" t="s">
        <v>29</v>
      </c>
      <c r="B1819" t="s">
        <v>18</v>
      </c>
      <c r="C1819">
        <v>126000</v>
      </c>
      <c r="D1819" t="s">
        <v>30</v>
      </c>
      <c r="E1819" t="s">
        <v>31</v>
      </c>
      <c r="F1819" t="s">
        <v>54</v>
      </c>
      <c r="G1819" t="s">
        <v>22</v>
      </c>
      <c r="H1819" t="s">
        <v>33</v>
      </c>
      <c r="I1819" t="s">
        <v>24</v>
      </c>
      <c r="J1819">
        <v>45760.5</v>
      </c>
      <c r="K1819">
        <v>9180</v>
      </c>
      <c r="L1819" t="s">
        <v>25</v>
      </c>
      <c r="M1819" t="s">
        <v>26</v>
      </c>
      <c r="N1819" t="s">
        <v>27</v>
      </c>
      <c r="O1819" t="s">
        <v>35</v>
      </c>
      <c r="P1819" t="s">
        <v>26</v>
      </c>
      <c r="Q1819">
        <v>0</v>
      </c>
    </row>
    <row r="1820" spans="1:17" x14ac:dyDescent="0.25">
      <c r="A1820" t="s">
        <v>29</v>
      </c>
      <c r="B1820" t="s">
        <v>18</v>
      </c>
      <c r="C1820">
        <v>112500</v>
      </c>
      <c r="D1820" t="s">
        <v>19</v>
      </c>
      <c r="E1820" t="s">
        <v>31</v>
      </c>
      <c r="F1820" t="s">
        <v>32</v>
      </c>
      <c r="G1820" t="s">
        <v>22</v>
      </c>
      <c r="H1820" t="s">
        <v>33</v>
      </c>
      <c r="I1820" t="s">
        <v>24</v>
      </c>
      <c r="J1820">
        <v>270000</v>
      </c>
      <c r="K1820">
        <v>27000</v>
      </c>
      <c r="L1820" t="s">
        <v>51</v>
      </c>
      <c r="M1820" t="s">
        <v>26</v>
      </c>
      <c r="N1820" t="s">
        <v>27</v>
      </c>
      <c r="O1820" t="s">
        <v>28</v>
      </c>
      <c r="P1820" t="s">
        <v>26</v>
      </c>
      <c r="Q1820">
        <v>0</v>
      </c>
    </row>
    <row r="1821" spans="1:17" x14ac:dyDescent="0.25">
      <c r="A1821" t="s">
        <v>29</v>
      </c>
      <c r="B1821" t="s">
        <v>18</v>
      </c>
      <c r="C1821">
        <v>90000</v>
      </c>
      <c r="D1821" t="s">
        <v>19</v>
      </c>
      <c r="E1821" t="s">
        <v>20</v>
      </c>
      <c r="F1821" t="s">
        <v>21</v>
      </c>
      <c r="G1821" t="s">
        <v>22</v>
      </c>
      <c r="H1821" t="s">
        <v>41</v>
      </c>
      <c r="I1821" t="s">
        <v>24</v>
      </c>
      <c r="J1821">
        <v>105331.5</v>
      </c>
      <c r="K1821">
        <v>0</v>
      </c>
      <c r="L1821" t="s">
        <v>38</v>
      </c>
      <c r="M1821" t="s">
        <v>26</v>
      </c>
      <c r="N1821" t="s">
        <v>58</v>
      </c>
      <c r="O1821" t="s">
        <v>28</v>
      </c>
      <c r="P1821" t="s">
        <v>59</v>
      </c>
      <c r="Q1821">
        <v>1</v>
      </c>
    </row>
    <row r="1822" spans="1:17" x14ac:dyDescent="0.25">
      <c r="A1822" t="s">
        <v>29</v>
      </c>
      <c r="B1822" t="s">
        <v>18</v>
      </c>
      <c r="C1822">
        <v>90000</v>
      </c>
      <c r="D1822" t="s">
        <v>19</v>
      </c>
      <c r="E1822" t="s">
        <v>20</v>
      </c>
      <c r="F1822" t="s">
        <v>21</v>
      </c>
      <c r="G1822" t="s">
        <v>22</v>
      </c>
      <c r="H1822" t="s">
        <v>41</v>
      </c>
      <c r="I1822" t="s">
        <v>24</v>
      </c>
      <c r="J1822">
        <v>131994</v>
      </c>
      <c r="K1822">
        <v>13203</v>
      </c>
      <c r="L1822" t="s">
        <v>38</v>
      </c>
      <c r="M1822" t="s">
        <v>26</v>
      </c>
      <c r="N1822" t="s">
        <v>27</v>
      </c>
      <c r="O1822" t="s">
        <v>28</v>
      </c>
      <c r="P1822" t="s">
        <v>26</v>
      </c>
      <c r="Q1822">
        <v>0</v>
      </c>
    </row>
    <row r="1823" spans="1:17" x14ac:dyDescent="0.25">
      <c r="A1823" t="s">
        <v>29</v>
      </c>
      <c r="B1823" t="s">
        <v>36</v>
      </c>
      <c r="C1823">
        <v>126000</v>
      </c>
      <c r="D1823" t="s">
        <v>30</v>
      </c>
      <c r="E1823" t="s">
        <v>20</v>
      </c>
      <c r="F1823" t="s">
        <v>32</v>
      </c>
      <c r="G1823" t="s">
        <v>22</v>
      </c>
      <c r="H1823" t="s">
        <v>56</v>
      </c>
      <c r="I1823" t="s">
        <v>24</v>
      </c>
      <c r="J1823">
        <v>156554.54999999999</v>
      </c>
      <c r="K1823">
        <v>15659.55</v>
      </c>
      <c r="L1823" t="s">
        <v>45</v>
      </c>
      <c r="M1823" t="s">
        <v>26</v>
      </c>
      <c r="N1823" t="s">
        <v>58</v>
      </c>
      <c r="O1823" t="s">
        <v>35</v>
      </c>
      <c r="P1823" t="s">
        <v>64</v>
      </c>
      <c r="Q1823">
        <v>1</v>
      </c>
    </row>
    <row r="1824" spans="1:17" x14ac:dyDescent="0.25">
      <c r="A1824" t="s">
        <v>17</v>
      </c>
      <c r="B1824" t="s">
        <v>18</v>
      </c>
      <c r="C1824">
        <v>157500</v>
      </c>
      <c r="D1824" t="s">
        <v>19</v>
      </c>
      <c r="E1824" t="s">
        <v>20</v>
      </c>
      <c r="F1824" t="s">
        <v>32</v>
      </c>
      <c r="G1824" t="s">
        <v>22</v>
      </c>
      <c r="H1824" t="s">
        <v>49</v>
      </c>
      <c r="I1824" t="s">
        <v>24</v>
      </c>
      <c r="J1824">
        <v>158989.5</v>
      </c>
      <c r="K1824">
        <v>0</v>
      </c>
      <c r="L1824" t="s">
        <v>25</v>
      </c>
      <c r="M1824" t="s">
        <v>26</v>
      </c>
      <c r="N1824" t="s">
        <v>27</v>
      </c>
      <c r="O1824" t="s">
        <v>35</v>
      </c>
      <c r="P1824" t="s">
        <v>26</v>
      </c>
      <c r="Q1824">
        <v>0</v>
      </c>
    </row>
    <row r="1825" spans="1:17" x14ac:dyDescent="0.25">
      <c r="A1825" t="s">
        <v>17</v>
      </c>
      <c r="B1825" t="s">
        <v>18</v>
      </c>
      <c r="C1825">
        <v>157500</v>
      </c>
      <c r="D1825" t="s">
        <v>19</v>
      </c>
      <c r="E1825" t="s">
        <v>20</v>
      </c>
      <c r="F1825" t="s">
        <v>32</v>
      </c>
      <c r="G1825" t="s">
        <v>22</v>
      </c>
      <c r="H1825" t="s">
        <v>49</v>
      </c>
      <c r="I1825" t="s">
        <v>24</v>
      </c>
      <c r="J1825">
        <v>112410</v>
      </c>
      <c r="K1825">
        <v>0</v>
      </c>
      <c r="L1825" t="s">
        <v>45</v>
      </c>
      <c r="M1825" t="s">
        <v>26</v>
      </c>
      <c r="N1825" t="s">
        <v>27</v>
      </c>
      <c r="O1825" t="s">
        <v>35</v>
      </c>
      <c r="P1825" t="s">
        <v>26</v>
      </c>
      <c r="Q1825">
        <v>0</v>
      </c>
    </row>
    <row r="1826" spans="1:17" x14ac:dyDescent="0.25">
      <c r="A1826" t="s">
        <v>17</v>
      </c>
      <c r="B1826" t="s">
        <v>18</v>
      </c>
      <c r="C1826">
        <v>157500</v>
      </c>
      <c r="D1826" t="s">
        <v>19</v>
      </c>
      <c r="E1826" t="s">
        <v>20</v>
      </c>
      <c r="F1826" t="s">
        <v>32</v>
      </c>
      <c r="G1826" t="s">
        <v>22</v>
      </c>
      <c r="H1826" t="s">
        <v>49</v>
      </c>
      <c r="I1826" t="s">
        <v>24</v>
      </c>
      <c r="J1826">
        <v>45855</v>
      </c>
      <c r="K1826">
        <v>4585.5</v>
      </c>
      <c r="L1826" t="s">
        <v>25</v>
      </c>
      <c r="M1826" t="s">
        <v>26</v>
      </c>
      <c r="N1826" t="s">
        <v>27</v>
      </c>
      <c r="O1826" t="s">
        <v>35</v>
      </c>
      <c r="P1826" t="s">
        <v>26</v>
      </c>
      <c r="Q1826">
        <v>0</v>
      </c>
    </row>
    <row r="1827" spans="1:17" x14ac:dyDescent="0.25">
      <c r="A1827" t="s">
        <v>17</v>
      </c>
      <c r="B1827" t="s">
        <v>18</v>
      </c>
      <c r="C1827">
        <v>157500</v>
      </c>
      <c r="D1827" t="s">
        <v>19</v>
      </c>
      <c r="E1827" t="s">
        <v>20</v>
      </c>
      <c r="F1827" t="s">
        <v>21</v>
      </c>
      <c r="G1827" t="s">
        <v>22</v>
      </c>
      <c r="H1827" t="s">
        <v>85</v>
      </c>
      <c r="I1827" t="s">
        <v>24</v>
      </c>
      <c r="J1827">
        <v>365107.5</v>
      </c>
      <c r="K1827">
        <v>0</v>
      </c>
      <c r="L1827" t="s">
        <v>43</v>
      </c>
      <c r="M1827" t="s">
        <v>26</v>
      </c>
      <c r="N1827" t="s">
        <v>27</v>
      </c>
      <c r="O1827" t="s">
        <v>35</v>
      </c>
      <c r="P1827" t="s">
        <v>26</v>
      </c>
      <c r="Q1827">
        <v>0</v>
      </c>
    </row>
    <row r="1828" spans="1:17" x14ac:dyDescent="0.25">
      <c r="A1828" t="s">
        <v>17</v>
      </c>
      <c r="B1828" t="s">
        <v>18</v>
      </c>
      <c r="C1828">
        <v>157500</v>
      </c>
      <c r="D1828" t="s">
        <v>19</v>
      </c>
      <c r="E1828" t="s">
        <v>20</v>
      </c>
      <c r="F1828" t="s">
        <v>21</v>
      </c>
      <c r="G1828" t="s">
        <v>22</v>
      </c>
      <c r="H1828" t="s">
        <v>85</v>
      </c>
      <c r="I1828" t="s">
        <v>24</v>
      </c>
      <c r="J1828">
        <v>650106</v>
      </c>
      <c r="K1828">
        <v>0</v>
      </c>
      <c r="L1828" t="s">
        <v>34</v>
      </c>
      <c r="M1828" t="s">
        <v>26</v>
      </c>
      <c r="N1828" t="s">
        <v>27</v>
      </c>
      <c r="O1828" t="s">
        <v>35</v>
      </c>
      <c r="P1828" t="s">
        <v>26</v>
      </c>
      <c r="Q1828">
        <v>0</v>
      </c>
    </row>
    <row r="1829" spans="1:17" x14ac:dyDescent="0.25">
      <c r="A1829" t="s">
        <v>29</v>
      </c>
      <c r="B1829" t="s">
        <v>18</v>
      </c>
      <c r="C1829">
        <v>135000</v>
      </c>
      <c r="D1829" t="s">
        <v>19</v>
      </c>
      <c r="E1829" t="s">
        <v>20</v>
      </c>
      <c r="F1829" t="s">
        <v>32</v>
      </c>
      <c r="G1829" t="s">
        <v>22</v>
      </c>
      <c r="H1829" t="s">
        <v>110</v>
      </c>
      <c r="I1829" t="s">
        <v>24</v>
      </c>
      <c r="J1829">
        <v>57919.5</v>
      </c>
      <c r="K1829">
        <v>0</v>
      </c>
      <c r="L1829" t="s">
        <v>38</v>
      </c>
      <c r="M1829" t="s">
        <v>26</v>
      </c>
      <c r="N1829" t="s">
        <v>27</v>
      </c>
      <c r="O1829" t="s">
        <v>35</v>
      </c>
      <c r="P1829" t="s">
        <v>26</v>
      </c>
      <c r="Q1829">
        <v>0</v>
      </c>
    </row>
    <row r="1830" spans="1:17" x14ac:dyDescent="0.25">
      <c r="A1830" t="s">
        <v>29</v>
      </c>
      <c r="B1830" t="s">
        <v>18</v>
      </c>
      <c r="C1830">
        <v>135000</v>
      </c>
      <c r="D1830" t="s">
        <v>46</v>
      </c>
      <c r="E1830" t="s">
        <v>20</v>
      </c>
      <c r="F1830" t="s">
        <v>21</v>
      </c>
      <c r="G1830" t="s">
        <v>22</v>
      </c>
      <c r="H1830" t="s">
        <v>28</v>
      </c>
      <c r="I1830" t="s">
        <v>66</v>
      </c>
      <c r="J1830">
        <v>45000</v>
      </c>
      <c r="K1830">
        <v>0</v>
      </c>
      <c r="L1830" t="s">
        <v>51</v>
      </c>
      <c r="M1830" t="s">
        <v>28</v>
      </c>
      <c r="N1830" t="s">
        <v>27</v>
      </c>
      <c r="O1830" t="s">
        <v>35</v>
      </c>
      <c r="P1830" t="s">
        <v>26</v>
      </c>
      <c r="Q1830">
        <v>0</v>
      </c>
    </row>
    <row r="1831" spans="1:17" x14ac:dyDescent="0.25">
      <c r="A1831" t="s">
        <v>29</v>
      </c>
      <c r="B1831" t="s">
        <v>18</v>
      </c>
      <c r="C1831">
        <v>135000</v>
      </c>
      <c r="D1831" t="s">
        <v>46</v>
      </c>
      <c r="E1831" t="s">
        <v>20</v>
      </c>
      <c r="F1831" t="s">
        <v>21</v>
      </c>
      <c r="G1831" t="s">
        <v>22</v>
      </c>
      <c r="H1831" t="s">
        <v>28</v>
      </c>
      <c r="I1831" t="s">
        <v>24</v>
      </c>
      <c r="J1831">
        <v>48600</v>
      </c>
      <c r="K1831">
        <v>4860</v>
      </c>
      <c r="L1831" t="s">
        <v>38</v>
      </c>
      <c r="M1831" t="s">
        <v>26</v>
      </c>
      <c r="N1831" t="s">
        <v>27</v>
      </c>
      <c r="O1831" t="s">
        <v>35</v>
      </c>
      <c r="P1831" t="s">
        <v>26</v>
      </c>
      <c r="Q1831">
        <v>0</v>
      </c>
    </row>
    <row r="1832" spans="1:17" x14ac:dyDescent="0.25">
      <c r="A1832" t="s">
        <v>29</v>
      </c>
      <c r="B1832" t="s">
        <v>18</v>
      </c>
      <c r="C1832">
        <v>135000</v>
      </c>
      <c r="D1832" t="s">
        <v>46</v>
      </c>
      <c r="E1832" t="s">
        <v>20</v>
      </c>
      <c r="F1832" t="s">
        <v>21</v>
      </c>
      <c r="G1832" t="s">
        <v>22</v>
      </c>
      <c r="H1832" t="s">
        <v>28</v>
      </c>
      <c r="I1832" t="s">
        <v>24</v>
      </c>
      <c r="J1832">
        <v>35145</v>
      </c>
      <c r="K1832">
        <v>3514.5</v>
      </c>
      <c r="L1832" t="s">
        <v>43</v>
      </c>
      <c r="M1832" t="s">
        <v>26</v>
      </c>
      <c r="N1832" t="s">
        <v>27</v>
      </c>
      <c r="O1832" t="s">
        <v>35</v>
      </c>
      <c r="P1832" t="s">
        <v>26</v>
      </c>
      <c r="Q1832">
        <v>0</v>
      </c>
    </row>
    <row r="1833" spans="1:17" x14ac:dyDescent="0.25">
      <c r="A1833" t="s">
        <v>29</v>
      </c>
      <c r="B1833" t="s">
        <v>18</v>
      </c>
      <c r="C1833">
        <v>76500</v>
      </c>
      <c r="D1833" t="s">
        <v>19</v>
      </c>
      <c r="E1833" t="s">
        <v>20</v>
      </c>
      <c r="F1833" t="s">
        <v>32</v>
      </c>
      <c r="G1833" t="s">
        <v>22</v>
      </c>
      <c r="H1833" t="s">
        <v>23</v>
      </c>
      <c r="I1833" t="s">
        <v>24</v>
      </c>
      <c r="J1833">
        <v>46966.5</v>
      </c>
      <c r="K1833">
        <v>4698</v>
      </c>
      <c r="L1833" t="s">
        <v>38</v>
      </c>
      <c r="M1833" t="s">
        <v>26</v>
      </c>
      <c r="N1833" t="s">
        <v>27</v>
      </c>
      <c r="O1833" t="s">
        <v>35</v>
      </c>
      <c r="P1833" t="s">
        <v>26</v>
      </c>
      <c r="Q1833">
        <v>0</v>
      </c>
    </row>
    <row r="1834" spans="1:17" x14ac:dyDescent="0.25">
      <c r="A1834" t="s">
        <v>29</v>
      </c>
      <c r="B1834" t="s">
        <v>18</v>
      </c>
      <c r="C1834">
        <v>67500</v>
      </c>
      <c r="D1834" t="s">
        <v>46</v>
      </c>
      <c r="E1834" t="s">
        <v>20</v>
      </c>
      <c r="F1834" t="s">
        <v>54</v>
      </c>
      <c r="G1834" t="s">
        <v>22</v>
      </c>
      <c r="H1834" t="s">
        <v>28</v>
      </c>
      <c r="I1834" t="s">
        <v>24</v>
      </c>
      <c r="J1834">
        <v>22905</v>
      </c>
      <c r="K1834">
        <v>9000</v>
      </c>
      <c r="L1834" t="s">
        <v>38</v>
      </c>
      <c r="M1834" t="s">
        <v>26</v>
      </c>
      <c r="N1834" t="s">
        <v>27</v>
      </c>
      <c r="O1834" t="s">
        <v>35</v>
      </c>
      <c r="P1834" t="s">
        <v>26</v>
      </c>
      <c r="Q1834">
        <v>0</v>
      </c>
    </row>
    <row r="1835" spans="1:17" x14ac:dyDescent="0.25">
      <c r="A1835" t="s">
        <v>17</v>
      </c>
      <c r="B1835" t="s">
        <v>18</v>
      </c>
      <c r="C1835">
        <v>157500</v>
      </c>
      <c r="D1835" t="s">
        <v>19</v>
      </c>
      <c r="E1835" t="s">
        <v>20</v>
      </c>
      <c r="F1835" t="s">
        <v>21</v>
      </c>
      <c r="G1835" t="s">
        <v>22</v>
      </c>
      <c r="H1835" t="s">
        <v>41</v>
      </c>
      <c r="I1835" t="s">
        <v>24</v>
      </c>
      <c r="J1835">
        <v>35095.5</v>
      </c>
      <c r="K1835">
        <v>0</v>
      </c>
      <c r="L1835" t="s">
        <v>38</v>
      </c>
      <c r="M1835" t="s">
        <v>26</v>
      </c>
      <c r="N1835" t="s">
        <v>27</v>
      </c>
      <c r="O1835" t="s">
        <v>35</v>
      </c>
      <c r="P1835" t="s">
        <v>26</v>
      </c>
      <c r="Q1835">
        <v>0</v>
      </c>
    </row>
    <row r="1836" spans="1:17" x14ac:dyDescent="0.25">
      <c r="A1836" t="s">
        <v>17</v>
      </c>
      <c r="B1836" t="s">
        <v>36</v>
      </c>
      <c r="C1836">
        <v>225000</v>
      </c>
      <c r="D1836" t="s">
        <v>19</v>
      </c>
      <c r="E1836" t="s">
        <v>31</v>
      </c>
      <c r="F1836" t="s">
        <v>32</v>
      </c>
      <c r="G1836" t="s">
        <v>22</v>
      </c>
      <c r="H1836" t="s">
        <v>49</v>
      </c>
      <c r="I1836" t="s">
        <v>24</v>
      </c>
      <c r="J1836">
        <v>29745</v>
      </c>
      <c r="K1836">
        <v>5949</v>
      </c>
      <c r="L1836" t="s">
        <v>45</v>
      </c>
      <c r="M1836" t="s">
        <v>26</v>
      </c>
      <c r="N1836" t="s">
        <v>27</v>
      </c>
      <c r="O1836" t="s">
        <v>35</v>
      </c>
      <c r="P1836" t="s">
        <v>26</v>
      </c>
      <c r="Q1836">
        <v>0</v>
      </c>
    </row>
    <row r="1837" spans="1:17" x14ac:dyDescent="0.25">
      <c r="A1837" t="s">
        <v>29</v>
      </c>
      <c r="B1837" t="s">
        <v>18</v>
      </c>
      <c r="C1837">
        <v>157500</v>
      </c>
      <c r="D1837" t="s">
        <v>44</v>
      </c>
      <c r="E1837" t="s">
        <v>20</v>
      </c>
      <c r="F1837" t="s">
        <v>39</v>
      </c>
      <c r="G1837" t="s">
        <v>22</v>
      </c>
      <c r="H1837" t="s">
        <v>23</v>
      </c>
      <c r="I1837" t="s">
        <v>24</v>
      </c>
      <c r="J1837">
        <v>224995.5</v>
      </c>
      <c r="K1837">
        <v>22500</v>
      </c>
      <c r="L1837" t="s">
        <v>42</v>
      </c>
      <c r="M1837" t="s">
        <v>26</v>
      </c>
      <c r="N1837" t="s">
        <v>27</v>
      </c>
      <c r="O1837" t="s">
        <v>35</v>
      </c>
      <c r="P1837" t="s">
        <v>26</v>
      </c>
      <c r="Q1837">
        <v>0</v>
      </c>
    </row>
    <row r="1838" spans="1:17" x14ac:dyDescent="0.25">
      <c r="A1838" t="s">
        <v>29</v>
      </c>
      <c r="B1838" t="s">
        <v>18</v>
      </c>
      <c r="C1838">
        <v>108000</v>
      </c>
      <c r="D1838" t="s">
        <v>19</v>
      </c>
      <c r="E1838" t="s">
        <v>20</v>
      </c>
      <c r="F1838" t="s">
        <v>54</v>
      </c>
      <c r="G1838" t="s">
        <v>22</v>
      </c>
      <c r="H1838" t="s">
        <v>41</v>
      </c>
      <c r="I1838" t="s">
        <v>24</v>
      </c>
      <c r="J1838">
        <v>44973.9</v>
      </c>
      <c r="K1838">
        <v>3600.9</v>
      </c>
      <c r="L1838" t="s">
        <v>25</v>
      </c>
      <c r="M1838" t="s">
        <v>26</v>
      </c>
      <c r="N1838" t="s">
        <v>58</v>
      </c>
      <c r="O1838" t="s">
        <v>35</v>
      </c>
      <c r="P1838" t="s">
        <v>64</v>
      </c>
      <c r="Q1838">
        <v>1</v>
      </c>
    </row>
    <row r="1839" spans="1:17" x14ac:dyDescent="0.25">
      <c r="A1839" t="s">
        <v>29</v>
      </c>
      <c r="B1839" t="s">
        <v>36</v>
      </c>
      <c r="C1839">
        <v>198000</v>
      </c>
      <c r="D1839" t="s">
        <v>19</v>
      </c>
      <c r="E1839" t="s">
        <v>20</v>
      </c>
      <c r="F1839" t="s">
        <v>32</v>
      </c>
      <c r="G1839" t="s">
        <v>22</v>
      </c>
      <c r="H1839" t="s">
        <v>48</v>
      </c>
      <c r="I1839" t="s">
        <v>24</v>
      </c>
      <c r="J1839">
        <v>50125.5</v>
      </c>
      <c r="K1839">
        <v>5400</v>
      </c>
      <c r="L1839" t="s">
        <v>42</v>
      </c>
      <c r="M1839" t="s">
        <v>26</v>
      </c>
      <c r="N1839" t="s">
        <v>27</v>
      </c>
      <c r="O1839" t="s">
        <v>35</v>
      </c>
      <c r="P1839" t="s">
        <v>26</v>
      </c>
      <c r="Q1839">
        <v>0</v>
      </c>
    </row>
    <row r="1840" spans="1:17" x14ac:dyDescent="0.25">
      <c r="A1840" t="s">
        <v>17</v>
      </c>
      <c r="B1840" t="s">
        <v>18</v>
      </c>
      <c r="C1840">
        <v>112500</v>
      </c>
      <c r="D1840" t="s">
        <v>19</v>
      </c>
      <c r="E1840" t="s">
        <v>20</v>
      </c>
      <c r="F1840" t="s">
        <v>32</v>
      </c>
      <c r="G1840" t="s">
        <v>22</v>
      </c>
      <c r="H1840" t="s">
        <v>49</v>
      </c>
      <c r="I1840" t="s">
        <v>24</v>
      </c>
      <c r="J1840">
        <v>315000</v>
      </c>
      <c r="K1840">
        <v>99000</v>
      </c>
      <c r="L1840" t="s">
        <v>43</v>
      </c>
      <c r="M1840" t="s">
        <v>26</v>
      </c>
      <c r="N1840" t="s">
        <v>27</v>
      </c>
      <c r="O1840" t="s">
        <v>35</v>
      </c>
      <c r="P1840" t="s">
        <v>26</v>
      </c>
      <c r="Q1840">
        <v>0</v>
      </c>
    </row>
    <row r="1841" spans="1:17" x14ac:dyDescent="0.25">
      <c r="A1841" t="s">
        <v>17</v>
      </c>
      <c r="B1841" t="s">
        <v>18</v>
      </c>
      <c r="C1841">
        <v>112500</v>
      </c>
      <c r="D1841" t="s">
        <v>19</v>
      </c>
      <c r="E1841" t="s">
        <v>20</v>
      </c>
      <c r="F1841" t="s">
        <v>32</v>
      </c>
      <c r="G1841" t="s">
        <v>22</v>
      </c>
      <c r="H1841" t="s">
        <v>49</v>
      </c>
      <c r="I1841" t="s">
        <v>24</v>
      </c>
      <c r="J1841">
        <v>21105</v>
      </c>
      <c r="K1841">
        <v>2110.5</v>
      </c>
      <c r="L1841" t="s">
        <v>42</v>
      </c>
      <c r="M1841" t="s">
        <v>26</v>
      </c>
      <c r="N1841" t="s">
        <v>27</v>
      </c>
      <c r="O1841" t="s">
        <v>35</v>
      </c>
      <c r="P1841" t="s">
        <v>26</v>
      </c>
      <c r="Q1841">
        <v>0</v>
      </c>
    </row>
    <row r="1842" spans="1:17" x14ac:dyDescent="0.25">
      <c r="A1842" t="s">
        <v>17</v>
      </c>
      <c r="B1842" t="s">
        <v>18</v>
      </c>
      <c r="C1842">
        <v>112500</v>
      </c>
      <c r="D1842" t="s">
        <v>19</v>
      </c>
      <c r="E1842" t="s">
        <v>20</v>
      </c>
      <c r="F1842" t="s">
        <v>32</v>
      </c>
      <c r="G1842" t="s">
        <v>22</v>
      </c>
      <c r="H1842" t="s">
        <v>49</v>
      </c>
      <c r="I1842" t="s">
        <v>24</v>
      </c>
      <c r="J1842">
        <v>315000</v>
      </c>
      <c r="K1842">
        <v>90000</v>
      </c>
      <c r="L1842" t="s">
        <v>43</v>
      </c>
      <c r="M1842" t="s">
        <v>26</v>
      </c>
      <c r="N1842" t="s">
        <v>58</v>
      </c>
      <c r="O1842" t="s">
        <v>35</v>
      </c>
      <c r="P1842" t="s">
        <v>59</v>
      </c>
      <c r="Q1842">
        <v>1</v>
      </c>
    </row>
    <row r="1843" spans="1:17" x14ac:dyDescent="0.25">
      <c r="A1843" t="s">
        <v>17</v>
      </c>
      <c r="B1843" t="s">
        <v>18</v>
      </c>
      <c r="C1843">
        <v>112500</v>
      </c>
      <c r="D1843" t="s">
        <v>19</v>
      </c>
      <c r="E1843" t="s">
        <v>20</v>
      </c>
      <c r="F1843" t="s">
        <v>32</v>
      </c>
      <c r="G1843" t="s">
        <v>22</v>
      </c>
      <c r="H1843" t="s">
        <v>49</v>
      </c>
      <c r="I1843" t="s">
        <v>24</v>
      </c>
      <c r="J1843">
        <v>86355</v>
      </c>
      <c r="K1843">
        <v>6750</v>
      </c>
      <c r="L1843" t="s">
        <v>51</v>
      </c>
      <c r="M1843" t="s">
        <v>26</v>
      </c>
      <c r="N1843" t="s">
        <v>27</v>
      </c>
      <c r="O1843" t="s">
        <v>35</v>
      </c>
      <c r="P1843" t="s">
        <v>26</v>
      </c>
      <c r="Q1843">
        <v>0</v>
      </c>
    </row>
    <row r="1844" spans="1:17" x14ac:dyDescent="0.25">
      <c r="A1844" t="s">
        <v>17</v>
      </c>
      <c r="B1844" t="s">
        <v>18</v>
      </c>
      <c r="C1844">
        <v>112500</v>
      </c>
      <c r="D1844" t="s">
        <v>19</v>
      </c>
      <c r="E1844" t="s">
        <v>20</v>
      </c>
      <c r="F1844" t="s">
        <v>32</v>
      </c>
      <c r="G1844" t="s">
        <v>22</v>
      </c>
      <c r="H1844" t="s">
        <v>49</v>
      </c>
      <c r="I1844" t="s">
        <v>24</v>
      </c>
      <c r="J1844">
        <v>45000</v>
      </c>
      <c r="K1844">
        <v>4500</v>
      </c>
      <c r="L1844" t="s">
        <v>25</v>
      </c>
      <c r="M1844" t="s">
        <v>26</v>
      </c>
      <c r="N1844" t="s">
        <v>27</v>
      </c>
      <c r="O1844" t="s">
        <v>28</v>
      </c>
      <c r="P1844" t="s">
        <v>26</v>
      </c>
      <c r="Q1844">
        <v>0</v>
      </c>
    </row>
    <row r="1845" spans="1:17" x14ac:dyDescent="0.25">
      <c r="A1845" t="s">
        <v>17</v>
      </c>
      <c r="B1845" t="s">
        <v>18</v>
      </c>
      <c r="C1845">
        <v>112500</v>
      </c>
      <c r="D1845" t="s">
        <v>19</v>
      </c>
      <c r="E1845" t="s">
        <v>20</v>
      </c>
      <c r="F1845" t="s">
        <v>32</v>
      </c>
      <c r="G1845" t="s">
        <v>22</v>
      </c>
      <c r="H1845" t="s">
        <v>49</v>
      </c>
      <c r="I1845" t="s">
        <v>24</v>
      </c>
      <c r="J1845">
        <v>145800</v>
      </c>
      <c r="K1845">
        <v>0</v>
      </c>
      <c r="L1845" t="s">
        <v>43</v>
      </c>
      <c r="M1845" t="s">
        <v>26</v>
      </c>
      <c r="N1845" t="s">
        <v>27</v>
      </c>
      <c r="O1845" t="s">
        <v>28</v>
      </c>
      <c r="P1845" t="s">
        <v>26</v>
      </c>
      <c r="Q1845">
        <v>0</v>
      </c>
    </row>
    <row r="1846" spans="1:17" x14ac:dyDescent="0.25">
      <c r="A1846" t="s">
        <v>29</v>
      </c>
      <c r="B1846" t="s">
        <v>18</v>
      </c>
      <c r="C1846">
        <v>180000</v>
      </c>
      <c r="D1846" t="s">
        <v>30</v>
      </c>
      <c r="E1846" t="s">
        <v>20</v>
      </c>
      <c r="F1846" t="s">
        <v>32</v>
      </c>
      <c r="G1846" t="s">
        <v>22</v>
      </c>
      <c r="H1846" t="s">
        <v>56</v>
      </c>
      <c r="I1846" t="s">
        <v>24</v>
      </c>
      <c r="J1846">
        <v>130950</v>
      </c>
      <c r="K1846">
        <v>0</v>
      </c>
      <c r="L1846" t="s">
        <v>42</v>
      </c>
      <c r="M1846" t="s">
        <v>26</v>
      </c>
      <c r="N1846" t="s">
        <v>27</v>
      </c>
      <c r="O1846" t="s">
        <v>35</v>
      </c>
      <c r="P1846" t="s">
        <v>26</v>
      </c>
      <c r="Q1846">
        <v>0</v>
      </c>
    </row>
    <row r="1847" spans="1:17" x14ac:dyDescent="0.25">
      <c r="A1847" t="s">
        <v>29</v>
      </c>
      <c r="B1847" t="s">
        <v>18</v>
      </c>
      <c r="C1847">
        <v>135000</v>
      </c>
      <c r="D1847" t="s">
        <v>44</v>
      </c>
      <c r="E1847" t="s">
        <v>31</v>
      </c>
      <c r="F1847" t="s">
        <v>32</v>
      </c>
      <c r="G1847" t="s">
        <v>22</v>
      </c>
      <c r="H1847" t="s">
        <v>103</v>
      </c>
      <c r="I1847" t="s">
        <v>24</v>
      </c>
      <c r="J1847">
        <v>99810</v>
      </c>
      <c r="K1847">
        <v>0</v>
      </c>
      <c r="L1847" t="s">
        <v>38</v>
      </c>
      <c r="M1847" t="s">
        <v>26</v>
      </c>
      <c r="N1847" t="s">
        <v>58</v>
      </c>
      <c r="O1847" t="s">
        <v>35</v>
      </c>
      <c r="P1847" t="s">
        <v>59</v>
      </c>
      <c r="Q1847">
        <v>1</v>
      </c>
    </row>
    <row r="1848" spans="1:17" x14ac:dyDescent="0.25">
      <c r="A1848" t="s">
        <v>29</v>
      </c>
      <c r="B1848" t="s">
        <v>18</v>
      </c>
      <c r="C1848">
        <v>135000</v>
      </c>
      <c r="D1848" t="s">
        <v>44</v>
      </c>
      <c r="E1848" t="s">
        <v>31</v>
      </c>
      <c r="F1848" t="s">
        <v>32</v>
      </c>
      <c r="G1848" t="s">
        <v>22</v>
      </c>
      <c r="H1848" t="s">
        <v>103</v>
      </c>
      <c r="I1848" t="s">
        <v>24</v>
      </c>
      <c r="J1848">
        <v>99810</v>
      </c>
      <c r="K1848">
        <v>19980</v>
      </c>
      <c r="L1848" t="s">
        <v>38</v>
      </c>
      <c r="M1848" t="s">
        <v>26</v>
      </c>
      <c r="N1848" t="s">
        <v>27</v>
      </c>
      <c r="O1848" t="s">
        <v>35</v>
      </c>
      <c r="P1848" t="s">
        <v>26</v>
      </c>
      <c r="Q1848">
        <v>0</v>
      </c>
    </row>
    <row r="1849" spans="1:17" x14ac:dyDescent="0.25">
      <c r="A1849" t="s">
        <v>29</v>
      </c>
      <c r="B1849" t="s">
        <v>36</v>
      </c>
      <c r="C1849">
        <v>135000</v>
      </c>
      <c r="D1849" t="s">
        <v>46</v>
      </c>
      <c r="E1849" t="s">
        <v>20</v>
      </c>
      <c r="F1849" t="s">
        <v>32</v>
      </c>
      <c r="G1849" t="s">
        <v>22</v>
      </c>
      <c r="H1849" t="s">
        <v>28</v>
      </c>
      <c r="I1849" t="s">
        <v>24</v>
      </c>
      <c r="J1849">
        <v>20776.5</v>
      </c>
      <c r="K1849">
        <v>0</v>
      </c>
      <c r="L1849" t="s">
        <v>43</v>
      </c>
      <c r="M1849" t="s">
        <v>26</v>
      </c>
      <c r="N1849" t="s">
        <v>27</v>
      </c>
      <c r="O1849" t="s">
        <v>35</v>
      </c>
      <c r="P1849" t="s">
        <v>26</v>
      </c>
      <c r="Q1849">
        <v>0</v>
      </c>
    </row>
    <row r="1850" spans="1:17" x14ac:dyDescent="0.25">
      <c r="A1850" t="s">
        <v>29</v>
      </c>
      <c r="B1850" t="s">
        <v>36</v>
      </c>
      <c r="C1850">
        <v>135000</v>
      </c>
      <c r="D1850" t="s">
        <v>46</v>
      </c>
      <c r="E1850" t="s">
        <v>20</v>
      </c>
      <c r="F1850" t="s">
        <v>32</v>
      </c>
      <c r="G1850" t="s">
        <v>22</v>
      </c>
      <c r="H1850" t="s">
        <v>28</v>
      </c>
      <c r="I1850" t="s">
        <v>66</v>
      </c>
      <c r="J1850">
        <v>225000</v>
      </c>
      <c r="K1850">
        <v>0</v>
      </c>
      <c r="L1850" t="s">
        <v>43</v>
      </c>
      <c r="M1850" t="s">
        <v>28</v>
      </c>
      <c r="N1850" t="s">
        <v>27</v>
      </c>
      <c r="O1850" t="s">
        <v>28</v>
      </c>
      <c r="P1850" t="s">
        <v>26</v>
      </c>
      <c r="Q1850">
        <v>0</v>
      </c>
    </row>
    <row r="1851" spans="1:17" x14ac:dyDescent="0.25">
      <c r="A1851" t="s">
        <v>29</v>
      </c>
      <c r="B1851" t="s">
        <v>36</v>
      </c>
      <c r="C1851">
        <v>135000</v>
      </c>
      <c r="D1851" t="s">
        <v>46</v>
      </c>
      <c r="E1851" t="s">
        <v>20</v>
      </c>
      <c r="F1851" t="s">
        <v>32</v>
      </c>
      <c r="G1851" t="s">
        <v>22</v>
      </c>
      <c r="H1851" t="s">
        <v>28</v>
      </c>
      <c r="I1851" t="s">
        <v>24</v>
      </c>
      <c r="J1851">
        <v>56250</v>
      </c>
      <c r="K1851">
        <v>0</v>
      </c>
      <c r="L1851" t="s">
        <v>42</v>
      </c>
      <c r="M1851" t="s">
        <v>26</v>
      </c>
      <c r="N1851" t="s">
        <v>27</v>
      </c>
      <c r="O1851" t="s">
        <v>28</v>
      </c>
      <c r="P1851" t="s">
        <v>26</v>
      </c>
      <c r="Q1851">
        <v>0</v>
      </c>
    </row>
    <row r="1852" spans="1:17" x14ac:dyDescent="0.25">
      <c r="A1852" t="s">
        <v>29</v>
      </c>
      <c r="B1852" t="s">
        <v>36</v>
      </c>
      <c r="C1852">
        <v>135000</v>
      </c>
      <c r="D1852" t="s">
        <v>46</v>
      </c>
      <c r="E1852" t="s">
        <v>20</v>
      </c>
      <c r="F1852" t="s">
        <v>32</v>
      </c>
      <c r="G1852" t="s">
        <v>22</v>
      </c>
      <c r="H1852" t="s">
        <v>28</v>
      </c>
      <c r="I1852" t="s">
        <v>66</v>
      </c>
      <c r="J1852">
        <v>112500</v>
      </c>
      <c r="K1852">
        <v>0</v>
      </c>
      <c r="L1852" t="s">
        <v>45</v>
      </c>
      <c r="M1852" t="s">
        <v>28</v>
      </c>
      <c r="N1852" t="s">
        <v>27</v>
      </c>
      <c r="O1852" t="s">
        <v>28</v>
      </c>
      <c r="P1852" t="s">
        <v>26</v>
      </c>
      <c r="Q1852">
        <v>0</v>
      </c>
    </row>
    <row r="1853" spans="1:17" x14ac:dyDescent="0.25">
      <c r="A1853" t="s">
        <v>29</v>
      </c>
      <c r="B1853" t="s">
        <v>18</v>
      </c>
      <c r="C1853">
        <v>126000</v>
      </c>
      <c r="D1853" t="s">
        <v>19</v>
      </c>
      <c r="E1853" t="s">
        <v>31</v>
      </c>
      <c r="F1853" t="s">
        <v>32</v>
      </c>
      <c r="G1853" t="s">
        <v>22</v>
      </c>
      <c r="H1853" t="s">
        <v>57</v>
      </c>
      <c r="I1853" t="s">
        <v>24</v>
      </c>
      <c r="J1853">
        <v>35955</v>
      </c>
      <c r="K1853">
        <v>3600</v>
      </c>
      <c r="L1853" t="s">
        <v>25</v>
      </c>
      <c r="M1853" t="s">
        <v>26</v>
      </c>
      <c r="N1853" t="s">
        <v>27</v>
      </c>
      <c r="O1853" t="s">
        <v>35</v>
      </c>
      <c r="P1853" t="s">
        <v>26</v>
      </c>
      <c r="Q1853">
        <v>0</v>
      </c>
    </row>
    <row r="1854" spans="1:17" x14ac:dyDescent="0.25">
      <c r="A1854" t="s">
        <v>29</v>
      </c>
      <c r="B1854" t="s">
        <v>18</v>
      </c>
      <c r="C1854">
        <v>126000</v>
      </c>
      <c r="D1854" t="s">
        <v>19</v>
      </c>
      <c r="E1854" t="s">
        <v>31</v>
      </c>
      <c r="F1854" t="s">
        <v>32</v>
      </c>
      <c r="G1854" t="s">
        <v>22</v>
      </c>
      <c r="H1854" t="s">
        <v>57</v>
      </c>
      <c r="I1854" t="s">
        <v>24</v>
      </c>
      <c r="J1854">
        <v>34155</v>
      </c>
      <c r="K1854">
        <v>6835.5</v>
      </c>
      <c r="L1854" t="s">
        <v>51</v>
      </c>
      <c r="M1854" t="s">
        <v>26</v>
      </c>
      <c r="N1854" t="s">
        <v>27</v>
      </c>
      <c r="O1854" t="s">
        <v>35</v>
      </c>
      <c r="P1854" t="s">
        <v>26</v>
      </c>
      <c r="Q1854">
        <v>0</v>
      </c>
    </row>
    <row r="1855" spans="1:17" x14ac:dyDescent="0.25">
      <c r="A1855" t="s">
        <v>29</v>
      </c>
      <c r="B1855" t="s">
        <v>18</v>
      </c>
      <c r="C1855">
        <v>126000</v>
      </c>
      <c r="D1855" t="s">
        <v>19</v>
      </c>
      <c r="E1855" t="s">
        <v>31</v>
      </c>
      <c r="F1855" t="s">
        <v>32</v>
      </c>
      <c r="G1855" t="s">
        <v>22</v>
      </c>
      <c r="H1855" t="s">
        <v>57</v>
      </c>
      <c r="I1855" t="s">
        <v>24</v>
      </c>
      <c r="J1855">
        <v>74205</v>
      </c>
      <c r="K1855">
        <v>0</v>
      </c>
      <c r="L1855" t="s">
        <v>42</v>
      </c>
      <c r="M1855" t="s">
        <v>26</v>
      </c>
      <c r="N1855" t="s">
        <v>76</v>
      </c>
      <c r="O1855" t="s">
        <v>35</v>
      </c>
      <c r="P1855" t="s">
        <v>77</v>
      </c>
      <c r="Q1855">
        <v>0</v>
      </c>
    </row>
    <row r="1856" spans="1:17" x14ac:dyDescent="0.25">
      <c r="A1856" t="s">
        <v>17</v>
      </c>
      <c r="B1856" t="s">
        <v>36</v>
      </c>
      <c r="C1856">
        <v>630000</v>
      </c>
      <c r="D1856" t="s">
        <v>19</v>
      </c>
      <c r="E1856" t="s">
        <v>20</v>
      </c>
      <c r="F1856" t="s">
        <v>32</v>
      </c>
      <c r="G1856" t="s">
        <v>22</v>
      </c>
      <c r="H1856" t="s">
        <v>50</v>
      </c>
      <c r="I1856" t="s">
        <v>24</v>
      </c>
      <c r="J1856">
        <v>105970.5</v>
      </c>
      <c r="K1856">
        <v>10597.5</v>
      </c>
      <c r="L1856" t="s">
        <v>45</v>
      </c>
      <c r="M1856" t="s">
        <v>26</v>
      </c>
      <c r="N1856" t="s">
        <v>27</v>
      </c>
      <c r="O1856" t="s">
        <v>35</v>
      </c>
      <c r="P1856" t="s">
        <v>26</v>
      </c>
      <c r="Q1856">
        <v>0</v>
      </c>
    </row>
    <row r="1857" spans="1:17" x14ac:dyDescent="0.25">
      <c r="A1857" t="s">
        <v>29</v>
      </c>
      <c r="B1857" t="s">
        <v>18</v>
      </c>
      <c r="C1857">
        <v>157500</v>
      </c>
      <c r="D1857" t="s">
        <v>19</v>
      </c>
      <c r="E1857" t="s">
        <v>31</v>
      </c>
      <c r="F1857" t="s">
        <v>32</v>
      </c>
      <c r="G1857" t="s">
        <v>22</v>
      </c>
      <c r="H1857" t="s">
        <v>33</v>
      </c>
      <c r="I1857" t="s">
        <v>24</v>
      </c>
      <c r="J1857">
        <v>28615.5</v>
      </c>
      <c r="K1857">
        <v>2862</v>
      </c>
      <c r="L1857" t="s">
        <v>43</v>
      </c>
      <c r="M1857" t="s">
        <v>26</v>
      </c>
      <c r="N1857" t="s">
        <v>27</v>
      </c>
      <c r="O1857" t="s">
        <v>35</v>
      </c>
      <c r="P1857" t="s">
        <v>26</v>
      </c>
      <c r="Q1857">
        <v>0</v>
      </c>
    </row>
    <row r="1858" spans="1:17" x14ac:dyDescent="0.25">
      <c r="A1858" t="s">
        <v>29</v>
      </c>
      <c r="B1858" t="s">
        <v>18</v>
      </c>
      <c r="C1858">
        <v>157500</v>
      </c>
      <c r="D1858" t="s">
        <v>19</v>
      </c>
      <c r="E1858" t="s">
        <v>31</v>
      </c>
      <c r="F1858" t="s">
        <v>32</v>
      </c>
      <c r="G1858" t="s">
        <v>22</v>
      </c>
      <c r="H1858" t="s">
        <v>33</v>
      </c>
      <c r="I1858" t="s">
        <v>24</v>
      </c>
      <c r="J1858">
        <v>34371</v>
      </c>
      <c r="K1858">
        <v>13500</v>
      </c>
      <c r="L1858" t="s">
        <v>25</v>
      </c>
      <c r="M1858" t="s">
        <v>26</v>
      </c>
      <c r="N1858" t="s">
        <v>27</v>
      </c>
      <c r="O1858" t="s">
        <v>35</v>
      </c>
      <c r="P1858" t="s">
        <v>26</v>
      </c>
      <c r="Q1858">
        <v>0</v>
      </c>
    </row>
    <row r="1859" spans="1:17" x14ac:dyDescent="0.25">
      <c r="A1859" t="s">
        <v>29</v>
      </c>
      <c r="B1859" t="s">
        <v>18</v>
      </c>
      <c r="C1859">
        <v>157500</v>
      </c>
      <c r="D1859" t="s">
        <v>19</v>
      </c>
      <c r="E1859" t="s">
        <v>31</v>
      </c>
      <c r="F1859" t="s">
        <v>32</v>
      </c>
      <c r="G1859" t="s">
        <v>22</v>
      </c>
      <c r="H1859" t="s">
        <v>33</v>
      </c>
      <c r="I1859" t="s">
        <v>24</v>
      </c>
      <c r="J1859">
        <v>47196</v>
      </c>
      <c r="K1859">
        <v>4720.5</v>
      </c>
      <c r="L1859" t="s">
        <v>34</v>
      </c>
      <c r="M1859" t="s">
        <v>26</v>
      </c>
      <c r="N1859" t="s">
        <v>27</v>
      </c>
      <c r="O1859" t="s">
        <v>35</v>
      </c>
      <c r="P1859" t="s">
        <v>26</v>
      </c>
      <c r="Q1859">
        <v>0</v>
      </c>
    </row>
    <row r="1860" spans="1:17" x14ac:dyDescent="0.25">
      <c r="A1860" t="s">
        <v>29</v>
      </c>
      <c r="B1860" t="s">
        <v>18</v>
      </c>
      <c r="C1860">
        <v>157500</v>
      </c>
      <c r="D1860" t="s">
        <v>19</v>
      </c>
      <c r="E1860" t="s">
        <v>31</v>
      </c>
      <c r="F1860" t="s">
        <v>32</v>
      </c>
      <c r="G1860" t="s">
        <v>22</v>
      </c>
      <c r="H1860" t="s">
        <v>33</v>
      </c>
      <c r="I1860" t="s">
        <v>24</v>
      </c>
      <c r="J1860">
        <v>48600</v>
      </c>
      <c r="K1860">
        <v>0</v>
      </c>
      <c r="L1860" t="s">
        <v>45</v>
      </c>
      <c r="M1860" t="s">
        <v>26</v>
      </c>
      <c r="N1860" t="s">
        <v>27</v>
      </c>
      <c r="O1860" t="s">
        <v>35</v>
      </c>
      <c r="P1860" t="s">
        <v>26</v>
      </c>
      <c r="Q1860">
        <v>0</v>
      </c>
    </row>
    <row r="1861" spans="1:17" x14ac:dyDescent="0.25">
      <c r="A1861" t="s">
        <v>29</v>
      </c>
      <c r="B1861" t="s">
        <v>18</v>
      </c>
      <c r="C1861">
        <v>157500</v>
      </c>
      <c r="D1861" t="s">
        <v>19</v>
      </c>
      <c r="E1861" t="s">
        <v>20</v>
      </c>
      <c r="F1861" t="s">
        <v>32</v>
      </c>
      <c r="G1861" t="s">
        <v>22</v>
      </c>
      <c r="H1861" t="s">
        <v>49</v>
      </c>
      <c r="I1861" t="s">
        <v>24</v>
      </c>
      <c r="J1861">
        <v>27598.5</v>
      </c>
      <c r="K1861">
        <v>2763</v>
      </c>
      <c r="L1861" t="s">
        <v>34</v>
      </c>
      <c r="M1861" t="s">
        <v>26</v>
      </c>
      <c r="N1861" t="s">
        <v>27</v>
      </c>
      <c r="O1861" t="s">
        <v>35</v>
      </c>
      <c r="P1861" t="s">
        <v>26</v>
      </c>
      <c r="Q1861">
        <v>0</v>
      </c>
    </row>
    <row r="1862" spans="1:17" x14ac:dyDescent="0.25">
      <c r="A1862" t="s">
        <v>17</v>
      </c>
      <c r="B1862" t="s">
        <v>36</v>
      </c>
      <c r="C1862">
        <v>292500</v>
      </c>
      <c r="D1862" t="s">
        <v>19</v>
      </c>
      <c r="E1862" t="s">
        <v>20</v>
      </c>
      <c r="F1862" t="s">
        <v>32</v>
      </c>
      <c r="G1862" t="s">
        <v>62</v>
      </c>
      <c r="H1862" t="s">
        <v>23</v>
      </c>
      <c r="I1862" t="s">
        <v>24</v>
      </c>
      <c r="J1862">
        <v>134595</v>
      </c>
      <c r="K1862">
        <v>0</v>
      </c>
      <c r="L1862" t="s">
        <v>51</v>
      </c>
      <c r="M1862" t="s">
        <v>26</v>
      </c>
      <c r="N1862" t="s">
        <v>27</v>
      </c>
      <c r="O1862" t="s">
        <v>35</v>
      </c>
      <c r="P1862" t="s">
        <v>26</v>
      </c>
      <c r="Q1862">
        <v>0</v>
      </c>
    </row>
    <row r="1863" spans="1:17" x14ac:dyDescent="0.25">
      <c r="A1863" t="s">
        <v>17</v>
      </c>
      <c r="B1863" t="s">
        <v>36</v>
      </c>
      <c r="C1863">
        <v>292500</v>
      </c>
      <c r="D1863" t="s">
        <v>19</v>
      </c>
      <c r="E1863" t="s">
        <v>20</v>
      </c>
      <c r="F1863" t="s">
        <v>32</v>
      </c>
      <c r="G1863" t="s">
        <v>62</v>
      </c>
      <c r="H1863" t="s">
        <v>23</v>
      </c>
      <c r="I1863" t="s">
        <v>24</v>
      </c>
      <c r="J1863">
        <v>22455</v>
      </c>
      <c r="K1863">
        <v>2250</v>
      </c>
      <c r="L1863" t="s">
        <v>43</v>
      </c>
      <c r="M1863" t="s">
        <v>26</v>
      </c>
      <c r="N1863" t="s">
        <v>27</v>
      </c>
      <c r="O1863" t="s">
        <v>35</v>
      </c>
      <c r="P1863" t="s">
        <v>26</v>
      </c>
      <c r="Q1863">
        <v>0</v>
      </c>
    </row>
    <row r="1864" spans="1:17" x14ac:dyDescent="0.25">
      <c r="A1864" t="s">
        <v>17</v>
      </c>
      <c r="B1864" t="s">
        <v>36</v>
      </c>
      <c r="C1864">
        <v>292500</v>
      </c>
      <c r="D1864" t="s">
        <v>19</v>
      </c>
      <c r="E1864" t="s">
        <v>20</v>
      </c>
      <c r="F1864" t="s">
        <v>32</v>
      </c>
      <c r="G1864" t="s">
        <v>62</v>
      </c>
      <c r="H1864" t="s">
        <v>23</v>
      </c>
      <c r="I1864" t="s">
        <v>24</v>
      </c>
      <c r="J1864">
        <v>38430</v>
      </c>
      <c r="K1864">
        <v>3825</v>
      </c>
      <c r="L1864" t="s">
        <v>38</v>
      </c>
      <c r="M1864" t="s">
        <v>26</v>
      </c>
      <c r="N1864" t="s">
        <v>27</v>
      </c>
      <c r="O1864" t="s">
        <v>35</v>
      </c>
      <c r="P1864" t="s">
        <v>26</v>
      </c>
      <c r="Q1864">
        <v>0</v>
      </c>
    </row>
    <row r="1865" spans="1:17" x14ac:dyDescent="0.25">
      <c r="A1865" t="s">
        <v>17</v>
      </c>
      <c r="B1865" t="s">
        <v>36</v>
      </c>
      <c r="C1865">
        <v>346500</v>
      </c>
      <c r="D1865" t="s">
        <v>30</v>
      </c>
      <c r="E1865" t="s">
        <v>31</v>
      </c>
      <c r="F1865" t="s">
        <v>32</v>
      </c>
      <c r="G1865" t="s">
        <v>22</v>
      </c>
      <c r="H1865" t="s">
        <v>96</v>
      </c>
      <c r="I1865" t="s">
        <v>24</v>
      </c>
      <c r="J1865">
        <v>160038</v>
      </c>
      <c r="K1865">
        <v>16006.5</v>
      </c>
      <c r="L1865" t="s">
        <v>43</v>
      </c>
      <c r="M1865" t="s">
        <v>26</v>
      </c>
      <c r="N1865" t="s">
        <v>27</v>
      </c>
      <c r="O1865" t="s">
        <v>35</v>
      </c>
      <c r="P1865" t="s">
        <v>26</v>
      </c>
      <c r="Q1865">
        <v>0</v>
      </c>
    </row>
    <row r="1866" spans="1:17" x14ac:dyDescent="0.25">
      <c r="A1866" t="s">
        <v>17</v>
      </c>
      <c r="B1866" t="s">
        <v>36</v>
      </c>
      <c r="C1866">
        <v>346500</v>
      </c>
      <c r="D1866" t="s">
        <v>30</v>
      </c>
      <c r="E1866" t="s">
        <v>31</v>
      </c>
      <c r="F1866" t="s">
        <v>32</v>
      </c>
      <c r="G1866" t="s">
        <v>22</v>
      </c>
      <c r="H1866" t="s">
        <v>96</v>
      </c>
      <c r="I1866" t="s">
        <v>24</v>
      </c>
      <c r="J1866">
        <v>162832.5</v>
      </c>
      <c r="K1866">
        <v>0</v>
      </c>
      <c r="L1866" t="s">
        <v>51</v>
      </c>
      <c r="M1866" t="s">
        <v>26</v>
      </c>
      <c r="N1866" t="s">
        <v>27</v>
      </c>
      <c r="O1866" t="s">
        <v>35</v>
      </c>
      <c r="P1866" t="s">
        <v>26</v>
      </c>
      <c r="Q1866">
        <v>0</v>
      </c>
    </row>
    <row r="1867" spans="1:17" x14ac:dyDescent="0.25">
      <c r="A1867" t="s">
        <v>17</v>
      </c>
      <c r="B1867" t="s">
        <v>36</v>
      </c>
      <c r="C1867">
        <v>346500</v>
      </c>
      <c r="D1867" t="s">
        <v>30</v>
      </c>
      <c r="E1867" t="s">
        <v>31</v>
      </c>
      <c r="F1867" t="s">
        <v>32</v>
      </c>
      <c r="G1867" t="s">
        <v>22</v>
      </c>
      <c r="H1867" t="s">
        <v>96</v>
      </c>
      <c r="I1867" t="s">
        <v>24</v>
      </c>
      <c r="J1867">
        <v>51435</v>
      </c>
      <c r="K1867">
        <v>5143.5</v>
      </c>
      <c r="L1867" t="s">
        <v>34</v>
      </c>
      <c r="M1867" t="s">
        <v>26</v>
      </c>
      <c r="N1867" t="s">
        <v>27</v>
      </c>
      <c r="O1867" t="s">
        <v>35</v>
      </c>
      <c r="P1867" t="s">
        <v>26</v>
      </c>
      <c r="Q1867">
        <v>0</v>
      </c>
    </row>
    <row r="1868" spans="1:17" x14ac:dyDescent="0.25">
      <c r="A1868" t="s">
        <v>29</v>
      </c>
      <c r="B1868" t="s">
        <v>18</v>
      </c>
      <c r="C1868">
        <v>247500</v>
      </c>
      <c r="D1868" t="s">
        <v>19</v>
      </c>
      <c r="E1868" t="s">
        <v>70</v>
      </c>
      <c r="F1868" t="s">
        <v>21</v>
      </c>
      <c r="G1868" t="s">
        <v>22</v>
      </c>
      <c r="H1868" t="s">
        <v>49</v>
      </c>
      <c r="I1868" t="s">
        <v>24</v>
      </c>
      <c r="J1868">
        <v>32760</v>
      </c>
      <c r="K1868">
        <v>3285</v>
      </c>
      <c r="L1868" t="s">
        <v>43</v>
      </c>
      <c r="M1868" t="s">
        <v>26</v>
      </c>
      <c r="N1868" t="s">
        <v>27</v>
      </c>
      <c r="O1868" t="s">
        <v>35</v>
      </c>
      <c r="P1868" t="s">
        <v>26</v>
      </c>
      <c r="Q1868">
        <v>0</v>
      </c>
    </row>
    <row r="1869" spans="1:17" x14ac:dyDescent="0.25">
      <c r="A1869" t="s">
        <v>29</v>
      </c>
      <c r="B1869" t="s">
        <v>18</v>
      </c>
      <c r="C1869">
        <v>202500</v>
      </c>
      <c r="D1869" t="s">
        <v>19</v>
      </c>
      <c r="E1869" t="s">
        <v>31</v>
      </c>
      <c r="F1869" t="s">
        <v>21</v>
      </c>
      <c r="G1869" t="s">
        <v>22</v>
      </c>
      <c r="H1869" t="s">
        <v>65</v>
      </c>
      <c r="I1869" t="s">
        <v>24</v>
      </c>
      <c r="J1869">
        <v>50310</v>
      </c>
      <c r="K1869">
        <v>5031</v>
      </c>
      <c r="L1869" t="s">
        <v>25</v>
      </c>
      <c r="M1869" t="s">
        <v>26</v>
      </c>
      <c r="N1869" t="s">
        <v>27</v>
      </c>
      <c r="O1869" t="s">
        <v>28</v>
      </c>
      <c r="P1869" t="s">
        <v>26</v>
      </c>
      <c r="Q1869">
        <v>0</v>
      </c>
    </row>
    <row r="1870" spans="1:17" x14ac:dyDescent="0.25">
      <c r="A1870" t="s">
        <v>29</v>
      </c>
      <c r="B1870" t="s">
        <v>18</v>
      </c>
      <c r="C1870">
        <v>135000</v>
      </c>
      <c r="D1870" t="s">
        <v>44</v>
      </c>
      <c r="E1870" t="s">
        <v>20</v>
      </c>
      <c r="F1870" t="s">
        <v>39</v>
      </c>
      <c r="G1870" t="s">
        <v>22</v>
      </c>
      <c r="H1870" t="s">
        <v>75</v>
      </c>
      <c r="I1870" t="s">
        <v>24</v>
      </c>
      <c r="J1870">
        <v>58446</v>
      </c>
      <c r="K1870">
        <v>0</v>
      </c>
      <c r="L1870" t="s">
        <v>34</v>
      </c>
      <c r="M1870" t="s">
        <v>26</v>
      </c>
      <c r="N1870" t="s">
        <v>58</v>
      </c>
      <c r="O1870" t="s">
        <v>35</v>
      </c>
      <c r="P1870" t="s">
        <v>60</v>
      </c>
      <c r="Q1870">
        <v>1</v>
      </c>
    </row>
    <row r="1871" spans="1:17" x14ac:dyDescent="0.25">
      <c r="A1871" t="s">
        <v>29</v>
      </c>
      <c r="B1871" t="s">
        <v>18</v>
      </c>
      <c r="C1871">
        <v>135000</v>
      </c>
      <c r="D1871" t="s">
        <v>44</v>
      </c>
      <c r="E1871" t="s">
        <v>20</v>
      </c>
      <c r="F1871" t="s">
        <v>39</v>
      </c>
      <c r="G1871" t="s">
        <v>22</v>
      </c>
      <c r="H1871" t="s">
        <v>75</v>
      </c>
      <c r="I1871" t="s">
        <v>24</v>
      </c>
      <c r="J1871">
        <v>102780</v>
      </c>
      <c r="K1871">
        <v>0</v>
      </c>
      <c r="L1871" t="s">
        <v>25</v>
      </c>
      <c r="M1871" t="s">
        <v>26</v>
      </c>
      <c r="N1871" t="s">
        <v>58</v>
      </c>
      <c r="O1871" t="s">
        <v>35</v>
      </c>
      <c r="P1871" t="s">
        <v>60</v>
      </c>
      <c r="Q1871">
        <v>1</v>
      </c>
    </row>
    <row r="1872" spans="1:17" x14ac:dyDescent="0.25">
      <c r="A1872" t="s">
        <v>29</v>
      </c>
      <c r="B1872" t="s">
        <v>18</v>
      </c>
      <c r="C1872">
        <v>135000</v>
      </c>
      <c r="D1872" t="s">
        <v>44</v>
      </c>
      <c r="E1872" t="s">
        <v>20</v>
      </c>
      <c r="F1872" t="s">
        <v>39</v>
      </c>
      <c r="G1872" t="s">
        <v>22</v>
      </c>
      <c r="H1872" t="s">
        <v>75</v>
      </c>
      <c r="I1872" t="s">
        <v>24</v>
      </c>
      <c r="J1872">
        <v>58446</v>
      </c>
      <c r="K1872">
        <v>0</v>
      </c>
      <c r="L1872" t="s">
        <v>34</v>
      </c>
      <c r="M1872" t="s">
        <v>26</v>
      </c>
      <c r="N1872" t="s">
        <v>58</v>
      </c>
      <c r="O1872" t="s">
        <v>35</v>
      </c>
      <c r="P1872" t="s">
        <v>60</v>
      </c>
      <c r="Q1872">
        <v>1</v>
      </c>
    </row>
    <row r="1873" spans="1:17" x14ac:dyDescent="0.25">
      <c r="A1873" t="s">
        <v>29</v>
      </c>
      <c r="B1873" t="s">
        <v>18</v>
      </c>
      <c r="C1873">
        <v>135000</v>
      </c>
      <c r="D1873" t="s">
        <v>44</v>
      </c>
      <c r="E1873" t="s">
        <v>20</v>
      </c>
      <c r="F1873" t="s">
        <v>39</v>
      </c>
      <c r="G1873" t="s">
        <v>22</v>
      </c>
      <c r="H1873" t="s">
        <v>75</v>
      </c>
      <c r="I1873" t="s">
        <v>90</v>
      </c>
      <c r="J1873">
        <v>157500</v>
      </c>
      <c r="K1873">
        <v>0</v>
      </c>
      <c r="L1873" t="s">
        <v>51</v>
      </c>
      <c r="M1873" t="s">
        <v>26</v>
      </c>
      <c r="N1873" t="s">
        <v>58</v>
      </c>
      <c r="O1873" t="s">
        <v>28</v>
      </c>
      <c r="P1873" t="s">
        <v>64</v>
      </c>
      <c r="Q1873">
        <v>1</v>
      </c>
    </row>
    <row r="1874" spans="1:17" x14ac:dyDescent="0.25">
      <c r="A1874" t="s">
        <v>29</v>
      </c>
      <c r="B1874" t="s">
        <v>18</v>
      </c>
      <c r="C1874">
        <v>67500</v>
      </c>
      <c r="D1874" t="s">
        <v>19</v>
      </c>
      <c r="E1874" t="s">
        <v>20</v>
      </c>
      <c r="F1874" t="s">
        <v>32</v>
      </c>
      <c r="G1874" t="s">
        <v>22</v>
      </c>
      <c r="H1874" t="s">
        <v>23</v>
      </c>
      <c r="I1874" t="s">
        <v>24</v>
      </c>
      <c r="J1874">
        <v>141750</v>
      </c>
      <c r="K1874">
        <v>14400</v>
      </c>
      <c r="L1874" t="s">
        <v>38</v>
      </c>
      <c r="M1874" t="s">
        <v>26</v>
      </c>
      <c r="N1874" t="s">
        <v>27</v>
      </c>
      <c r="O1874" t="s">
        <v>35</v>
      </c>
      <c r="P1874" t="s">
        <v>26</v>
      </c>
      <c r="Q1874">
        <v>0</v>
      </c>
    </row>
    <row r="1875" spans="1:17" x14ac:dyDescent="0.25">
      <c r="A1875" t="s">
        <v>17</v>
      </c>
      <c r="B1875" t="s">
        <v>36</v>
      </c>
      <c r="C1875">
        <v>157500</v>
      </c>
      <c r="D1875" t="s">
        <v>19</v>
      </c>
      <c r="E1875" t="s">
        <v>20</v>
      </c>
      <c r="F1875" t="s">
        <v>32</v>
      </c>
      <c r="G1875" t="s">
        <v>22</v>
      </c>
      <c r="H1875" t="s">
        <v>49</v>
      </c>
      <c r="I1875" t="s">
        <v>24</v>
      </c>
      <c r="J1875">
        <v>148500</v>
      </c>
      <c r="K1875">
        <v>0</v>
      </c>
      <c r="L1875" t="s">
        <v>34</v>
      </c>
      <c r="M1875" t="s">
        <v>26</v>
      </c>
      <c r="N1875" t="s">
        <v>27</v>
      </c>
      <c r="O1875" t="s">
        <v>35</v>
      </c>
      <c r="P1875" t="s">
        <v>26</v>
      </c>
      <c r="Q1875">
        <v>0</v>
      </c>
    </row>
    <row r="1876" spans="1:17" x14ac:dyDescent="0.25">
      <c r="A1876" t="s">
        <v>17</v>
      </c>
      <c r="B1876" t="s">
        <v>36</v>
      </c>
      <c r="C1876">
        <v>112500</v>
      </c>
      <c r="D1876" t="s">
        <v>19</v>
      </c>
      <c r="E1876" t="s">
        <v>20</v>
      </c>
      <c r="F1876" t="s">
        <v>32</v>
      </c>
      <c r="G1876" t="s">
        <v>22</v>
      </c>
      <c r="H1876" t="s">
        <v>37</v>
      </c>
      <c r="I1876" t="s">
        <v>24</v>
      </c>
      <c r="J1876">
        <v>65826</v>
      </c>
      <c r="K1876">
        <v>0</v>
      </c>
      <c r="L1876" t="s">
        <v>51</v>
      </c>
      <c r="M1876" t="s">
        <v>26</v>
      </c>
      <c r="N1876" t="s">
        <v>27</v>
      </c>
      <c r="O1876" t="s">
        <v>35</v>
      </c>
      <c r="P1876" t="s">
        <v>26</v>
      </c>
      <c r="Q1876">
        <v>0</v>
      </c>
    </row>
    <row r="1877" spans="1:17" x14ac:dyDescent="0.25">
      <c r="A1877" t="s">
        <v>29</v>
      </c>
      <c r="B1877" t="s">
        <v>18</v>
      </c>
      <c r="C1877">
        <v>364500</v>
      </c>
      <c r="D1877" t="s">
        <v>44</v>
      </c>
      <c r="E1877" t="s">
        <v>31</v>
      </c>
      <c r="F1877" t="s">
        <v>21</v>
      </c>
      <c r="G1877" t="s">
        <v>22</v>
      </c>
      <c r="H1877" t="s">
        <v>23</v>
      </c>
      <c r="I1877" t="s">
        <v>24</v>
      </c>
      <c r="J1877">
        <v>757215</v>
      </c>
      <c r="K1877">
        <v>0</v>
      </c>
      <c r="L1877" t="s">
        <v>34</v>
      </c>
      <c r="M1877" t="s">
        <v>26</v>
      </c>
      <c r="N1877" t="s">
        <v>27</v>
      </c>
      <c r="O1877" t="s">
        <v>35</v>
      </c>
      <c r="P1877" t="s">
        <v>26</v>
      </c>
      <c r="Q1877">
        <v>0</v>
      </c>
    </row>
    <row r="1878" spans="1:17" x14ac:dyDescent="0.25">
      <c r="A1878" t="s">
        <v>29</v>
      </c>
      <c r="B1878" t="s">
        <v>18</v>
      </c>
      <c r="C1878">
        <v>180000</v>
      </c>
      <c r="D1878" t="s">
        <v>46</v>
      </c>
      <c r="E1878" t="s">
        <v>31</v>
      </c>
      <c r="F1878" t="s">
        <v>32</v>
      </c>
      <c r="G1878" t="s">
        <v>22</v>
      </c>
      <c r="H1878" t="s">
        <v>28</v>
      </c>
      <c r="I1878" t="s">
        <v>24</v>
      </c>
      <c r="J1878">
        <v>188100</v>
      </c>
      <c r="K1878">
        <v>0</v>
      </c>
      <c r="L1878" t="s">
        <v>45</v>
      </c>
      <c r="M1878" t="s">
        <v>26</v>
      </c>
      <c r="N1878" t="s">
        <v>27</v>
      </c>
      <c r="O1878" t="s">
        <v>35</v>
      </c>
      <c r="P1878" t="s">
        <v>26</v>
      </c>
      <c r="Q1878">
        <v>0</v>
      </c>
    </row>
    <row r="1879" spans="1:17" x14ac:dyDescent="0.25">
      <c r="A1879" t="s">
        <v>29</v>
      </c>
      <c r="B1879" t="s">
        <v>18</v>
      </c>
      <c r="C1879">
        <v>112500</v>
      </c>
      <c r="D1879" t="s">
        <v>19</v>
      </c>
      <c r="E1879" t="s">
        <v>20</v>
      </c>
      <c r="F1879" t="s">
        <v>39</v>
      </c>
      <c r="G1879" t="s">
        <v>22</v>
      </c>
      <c r="H1879" t="s">
        <v>23</v>
      </c>
      <c r="I1879" t="s">
        <v>24</v>
      </c>
      <c r="J1879">
        <v>85950</v>
      </c>
      <c r="K1879">
        <v>8595</v>
      </c>
      <c r="L1879" t="s">
        <v>38</v>
      </c>
      <c r="M1879" t="s">
        <v>26</v>
      </c>
      <c r="N1879" t="s">
        <v>27</v>
      </c>
      <c r="O1879" t="s">
        <v>35</v>
      </c>
      <c r="P1879" t="s">
        <v>26</v>
      </c>
      <c r="Q1879">
        <v>0</v>
      </c>
    </row>
    <row r="1880" spans="1:17" x14ac:dyDescent="0.25">
      <c r="A1880" t="s">
        <v>17</v>
      </c>
      <c r="B1880" t="s">
        <v>18</v>
      </c>
      <c r="C1880">
        <v>112500</v>
      </c>
      <c r="D1880" t="s">
        <v>46</v>
      </c>
      <c r="E1880" t="s">
        <v>104</v>
      </c>
      <c r="F1880" t="s">
        <v>32</v>
      </c>
      <c r="G1880" t="s">
        <v>73</v>
      </c>
      <c r="H1880" t="s">
        <v>28</v>
      </c>
      <c r="I1880" t="s">
        <v>24</v>
      </c>
      <c r="J1880">
        <v>27810</v>
      </c>
      <c r="K1880">
        <v>2781</v>
      </c>
      <c r="L1880" t="s">
        <v>51</v>
      </c>
      <c r="M1880" t="s">
        <v>26</v>
      </c>
      <c r="N1880" t="s">
        <v>27</v>
      </c>
      <c r="O1880" t="s">
        <v>28</v>
      </c>
      <c r="P1880" t="s">
        <v>26</v>
      </c>
      <c r="Q1880">
        <v>0</v>
      </c>
    </row>
    <row r="1881" spans="1:17" x14ac:dyDescent="0.25">
      <c r="A1881" t="s">
        <v>17</v>
      </c>
      <c r="B1881" t="s">
        <v>18</v>
      </c>
      <c r="C1881">
        <v>112500</v>
      </c>
      <c r="D1881" t="s">
        <v>46</v>
      </c>
      <c r="E1881" t="s">
        <v>104</v>
      </c>
      <c r="F1881" t="s">
        <v>32</v>
      </c>
      <c r="G1881" t="s">
        <v>73</v>
      </c>
      <c r="H1881" t="s">
        <v>28</v>
      </c>
      <c r="I1881" t="s">
        <v>24</v>
      </c>
      <c r="J1881">
        <v>16695</v>
      </c>
      <c r="K1881">
        <v>0</v>
      </c>
      <c r="L1881" t="s">
        <v>34</v>
      </c>
      <c r="M1881" t="s">
        <v>26</v>
      </c>
      <c r="N1881" t="s">
        <v>58</v>
      </c>
      <c r="O1881" t="s">
        <v>35</v>
      </c>
      <c r="P1881" t="s">
        <v>59</v>
      </c>
      <c r="Q1881">
        <v>1</v>
      </c>
    </row>
    <row r="1882" spans="1:17" x14ac:dyDescent="0.25">
      <c r="A1882" t="s">
        <v>29</v>
      </c>
      <c r="B1882" t="s">
        <v>18</v>
      </c>
      <c r="C1882">
        <v>90000</v>
      </c>
      <c r="D1882" t="s">
        <v>19</v>
      </c>
      <c r="E1882" t="s">
        <v>20</v>
      </c>
      <c r="F1882" t="s">
        <v>32</v>
      </c>
      <c r="G1882" t="s">
        <v>22</v>
      </c>
      <c r="H1882" t="s">
        <v>47</v>
      </c>
      <c r="I1882" t="s">
        <v>24</v>
      </c>
      <c r="J1882">
        <v>26955</v>
      </c>
      <c r="K1882">
        <v>2695.5</v>
      </c>
      <c r="L1882" t="s">
        <v>45</v>
      </c>
      <c r="M1882" t="s">
        <v>26</v>
      </c>
      <c r="N1882" t="s">
        <v>27</v>
      </c>
      <c r="O1882" t="s">
        <v>35</v>
      </c>
      <c r="P1882" t="s">
        <v>26</v>
      </c>
      <c r="Q1882">
        <v>0</v>
      </c>
    </row>
    <row r="1883" spans="1:17" x14ac:dyDescent="0.25">
      <c r="A1883" t="s">
        <v>29</v>
      </c>
      <c r="B1883" t="s">
        <v>18</v>
      </c>
      <c r="C1883">
        <v>144000</v>
      </c>
      <c r="D1883" t="s">
        <v>44</v>
      </c>
      <c r="E1883" t="s">
        <v>20</v>
      </c>
      <c r="F1883" t="s">
        <v>32</v>
      </c>
      <c r="G1883" t="s">
        <v>22</v>
      </c>
      <c r="H1883" t="s">
        <v>23</v>
      </c>
      <c r="I1883" t="s">
        <v>24</v>
      </c>
      <c r="J1883">
        <v>49707</v>
      </c>
      <c r="K1883">
        <v>4972.5</v>
      </c>
      <c r="L1883" t="s">
        <v>42</v>
      </c>
      <c r="M1883" t="s">
        <v>26</v>
      </c>
      <c r="N1883" t="s">
        <v>27</v>
      </c>
      <c r="O1883" t="s">
        <v>28</v>
      </c>
      <c r="P1883" t="s">
        <v>26</v>
      </c>
      <c r="Q1883">
        <v>0</v>
      </c>
    </row>
    <row r="1884" spans="1:17" x14ac:dyDescent="0.25">
      <c r="A1884" t="s">
        <v>17</v>
      </c>
      <c r="B1884" t="s">
        <v>36</v>
      </c>
      <c r="C1884">
        <v>180000</v>
      </c>
      <c r="D1884" t="s">
        <v>19</v>
      </c>
      <c r="E1884" t="s">
        <v>20</v>
      </c>
      <c r="F1884" t="s">
        <v>32</v>
      </c>
      <c r="G1884" t="s">
        <v>22</v>
      </c>
      <c r="H1884" t="s">
        <v>23</v>
      </c>
      <c r="I1884" t="s">
        <v>24</v>
      </c>
      <c r="J1884">
        <v>100300.5</v>
      </c>
      <c r="K1884">
        <v>0</v>
      </c>
      <c r="L1884" t="s">
        <v>42</v>
      </c>
      <c r="M1884" t="s">
        <v>26</v>
      </c>
      <c r="N1884" t="s">
        <v>27</v>
      </c>
      <c r="O1884" t="s">
        <v>35</v>
      </c>
      <c r="P1884" t="s">
        <v>26</v>
      </c>
      <c r="Q1884">
        <v>0</v>
      </c>
    </row>
    <row r="1885" spans="1:17" x14ac:dyDescent="0.25">
      <c r="A1885" t="s">
        <v>29</v>
      </c>
      <c r="B1885" t="s">
        <v>18</v>
      </c>
      <c r="C1885">
        <v>337500</v>
      </c>
      <c r="D1885" t="s">
        <v>46</v>
      </c>
      <c r="E1885" t="s">
        <v>31</v>
      </c>
      <c r="F1885" t="s">
        <v>32</v>
      </c>
      <c r="G1885" t="s">
        <v>22</v>
      </c>
      <c r="H1885" t="s">
        <v>28</v>
      </c>
      <c r="I1885" t="s">
        <v>66</v>
      </c>
      <c r="J1885">
        <v>45000</v>
      </c>
      <c r="K1885">
        <v>0</v>
      </c>
      <c r="L1885" t="s">
        <v>51</v>
      </c>
      <c r="M1885" t="s">
        <v>28</v>
      </c>
      <c r="N1885" t="s">
        <v>27</v>
      </c>
      <c r="O1885" t="s">
        <v>35</v>
      </c>
      <c r="P1885" t="s">
        <v>26</v>
      </c>
      <c r="Q1885">
        <v>0</v>
      </c>
    </row>
    <row r="1886" spans="1:17" x14ac:dyDescent="0.25">
      <c r="A1886" t="s">
        <v>29</v>
      </c>
      <c r="B1886" t="s">
        <v>18</v>
      </c>
      <c r="C1886">
        <v>337500</v>
      </c>
      <c r="D1886" t="s">
        <v>46</v>
      </c>
      <c r="E1886" t="s">
        <v>31</v>
      </c>
      <c r="F1886" t="s">
        <v>32</v>
      </c>
      <c r="G1886" t="s">
        <v>22</v>
      </c>
      <c r="H1886" t="s">
        <v>28</v>
      </c>
      <c r="I1886" t="s">
        <v>24</v>
      </c>
      <c r="J1886">
        <v>350559</v>
      </c>
      <c r="K1886">
        <v>0</v>
      </c>
      <c r="L1886" t="s">
        <v>38</v>
      </c>
      <c r="M1886" t="s">
        <v>26</v>
      </c>
      <c r="N1886" t="s">
        <v>27</v>
      </c>
      <c r="O1886" t="s">
        <v>35</v>
      </c>
      <c r="P1886" t="s">
        <v>26</v>
      </c>
      <c r="Q1886">
        <v>0</v>
      </c>
    </row>
    <row r="1887" spans="1:17" x14ac:dyDescent="0.25">
      <c r="A1887" t="s">
        <v>29</v>
      </c>
      <c r="B1887" t="s">
        <v>18</v>
      </c>
      <c r="C1887">
        <v>337500</v>
      </c>
      <c r="D1887" t="s">
        <v>46</v>
      </c>
      <c r="E1887" t="s">
        <v>31</v>
      </c>
      <c r="F1887" t="s">
        <v>32</v>
      </c>
      <c r="G1887" t="s">
        <v>22</v>
      </c>
      <c r="H1887" t="s">
        <v>28</v>
      </c>
      <c r="I1887" t="s">
        <v>66</v>
      </c>
      <c r="J1887">
        <v>90000</v>
      </c>
      <c r="K1887">
        <v>0</v>
      </c>
      <c r="L1887" t="s">
        <v>51</v>
      </c>
      <c r="M1887" t="s">
        <v>28</v>
      </c>
      <c r="N1887" t="s">
        <v>27</v>
      </c>
      <c r="O1887" t="s">
        <v>35</v>
      </c>
      <c r="P1887" t="s">
        <v>26</v>
      </c>
      <c r="Q1887">
        <v>0</v>
      </c>
    </row>
    <row r="1888" spans="1:17" x14ac:dyDescent="0.25">
      <c r="A1888" t="s">
        <v>29</v>
      </c>
      <c r="B1888" t="s">
        <v>18</v>
      </c>
      <c r="C1888">
        <v>337500</v>
      </c>
      <c r="D1888" t="s">
        <v>46</v>
      </c>
      <c r="E1888" t="s">
        <v>31</v>
      </c>
      <c r="F1888" t="s">
        <v>32</v>
      </c>
      <c r="G1888" t="s">
        <v>22</v>
      </c>
      <c r="H1888" t="s">
        <v>28</v>
      </c>
      <c r="I1888" t="s">
        <v>24</v>
      </c>
      <c r="J1888">
        <v>350559</v>
      </c>
      <c r="K1888">
        <v>0</v>
      </c>
      <c r="L1888" t="s">
        <v>38</v>
      </c>
      <c r="M1888" t="s">
        <v>26</v>
      </c>
      <c r="N1888" t="s">
        <v>27</v>
      </c>
      <c r="O1888" t="s">
        <v>35</v>
      </c>
      <c r="P1888" t="s">
        <v>26</v>
      </c>
      <c r="Q1888">
        <v>0</v>
      </c>
    </row>
    <row r="1889" spans="1:17" x14ac:dyDescent="0.25">
      <c r="A1889" t="s">
        <v>17</v>
      </c>
      <c r="B1889" t="s">
        <v>36</v>
      </c>
      <c r="C1889">
        <v>202500</v>
      </c>
      <c r="D1889" t="s">
        <v>19</v>
      </c>
      <c r="E1889" t="s">
        <v>20</v>
      </c>
      <c r="F1889" t="s">
        <v>32</v>
      </c>
      <c r="G1889" t="s">
        <v>22</v>
      </c>
      <c r="H1889" t="s">
        <v>23</v>
      </c>
      <c r="I1889" t="s">
        <v>24</v>
      </c>
      <c r="J1889">
        <v>49455</v>
      </c>
      <c r="K1889">
        <v>4945.5</v>
      </c>
      <c r="L1889" t="s">
        <v>51</v>
      </c>
      <c r="M1889" t="s">
        <v>26</v>
      </c>
      <c r="N1889" t="s">
        <v>27</v>
      </c>
      <c r="O1889" t="s">
        <v>35</v>
      </c>
      <c r="P1889" t="s">
        <v>26</v>
      </c>
      <c r="Q1889">
        <v>0</v>
      </c>
    </row>
    <row r="1890" spans="1:17" x14ac:dyDescent="0.25">
      <c r="A1890" t="s">
        <v>29</v>
      </c>
      <c r="B1890" t="s">
        <v>36</v>
      </c>
      <c r="C1890">
        <v>225000</v>
      </c>
      <c r="D1890" t="s">
        <v>44</v>
      </c>
      <c r="E1890" t="s">
        <v>31</v>
      </c>
      <c r="F1890" t="s">
        <v>21</v>
      </c>
      <c r="G1890" t="s">
        <v>22</v>
      </c>
      <c r="H1890" t="s">
        <v>23</v>
      </c>
      <c r="I1890" t="s">
        <v>24</v>
      </c>
      <c r="J1890">
        <v>287991</v>
      </c>
      <c r="K1890">
        <v>135000</v>
      </c>
      <c r="L1890" t="s">
        <v>42</v>
      </c>
      <c r="M1890" t="s">
        <v>26</v>
      </c>
      <c r="N1890" t="s">
        <v>27</v>
      </c>
      <c r="O1890" t="s">
        <v>35</v>
      </c>
      <c r="P1890" t="s">
        <v>26</v>
      </c>
      <c r="Q1890">
        <v>0</v>
      </c>
    </row>
    <row r="1891" spans="1:17" x14ac:dyDescent="0.25">
      <c r="A1891" t="s">
        <v>17</v>
      </c>
      <c r="B1891" t="s">
        <v>36</v>
      </c>
      <c r="C1891">
        <v>140850</v>
      </c>
      <c r="D1891" t="s">
        <v>19</v>
      </c>
      <c r="E1891" t="s">
        <v>20</v>
      </c>
      <c r="F1891" t="s">
        <v>32</v>
      </c>
      <c r="G1891" t="s">
        <v>22</v>
      </c>
      <c r="H1891" t="s">
        <v>55</v>
      </c>
      <c r="I1891" t="s">
        <v>24</v>
      </c>
      <c r="J1891">
        <v>173826</v>
      </c>
      <c r="K1891">
        <v>0</v>
      </c>
      <c r="L1891" t="s">
        <v>42</v>
      </c>
      <c r="M1891" t="s">
        <v>26</v>
      </c>
      <c r="N1891" t="s">
        <v>27</v>
      </c>
      <c r="O1891" t="s">
        <v>35</v>
      </c>
      <c r="P1891" t="s">
        <v>26</v>
      </c>
      <c r="Q1891">
        <v>0</v>
      </c>
    </row>
    <row r="1892" spans="1:17" x14ac:dyDescent="0.25">
      <c r="A1892" t="s">
        <v>29</v>
      </c>
      <c r="B1892" t="s">
        <v>18</v>
      </c>
      <c r="C1892">
        <v>144000</v>
      </c>
      <c r="D1892" t="s">
        <v>46</v>
      </c>
      <c r="E1892" t="s">
        <v>31</v>
      </c>
      <c r="F1892" t="s">
        <v>54</v>
      </c>
      <c r="G1892" t="s">
        <v>22</v>
      </c>
      <c r="H1892" t="s">
        <v>28</v>
      </c>
      <c r="I1892" t="s">
        <v>24</v>
      </c>
      <c r="J1892">
        <v>69210</v>
      </c>
      <c r="K1892">
        <v>0</v>
      </c>
      <c r="L1892" t="s">
        <v>51</v>
      </c>
      <c r="M1892" t="s">
        <v>26</v>
      </c>
      <c r="N1892" t="s">
        <v>27</v>
      </c>
      <c r="O1892" t="s">
        <v>35</v>
      </c>
      <c r="P1892" t="s">
        <v>26</v>
      </c>
      <c r="Q1892">
        <v>0</v>
      </c>
    </row>
    <row r="1893" spans="1:17" x14ac:dyDescent="0.25">
      <c r="A1893" t="s">
        <v>29</v>
      </c>
      <c r="B1893" t="s">
        <v>36</v>
      </c>
      <c r="C1893">
        <v>148500</v>
      </c>
      <c r="D1893" t="s">
        <v>44</v>
      </c>
      <c r="E1893" t="s">
        <v>20</v>
      </c>
      <c r="F1893" t="s">
        <v>32</v>
      </c>
      <c r="G1893" t="s">
        <v>22</v>
      </c>
      <c r="H1893" t="s">
        <v>86</v>
      </c>
      <c r="I1893" t="s">
        <v>24</v>
      </c>
      <c r="J1893">
        <v>124330.5</v>
      </c>
      <c r="K1893">
        <v>0</v>
      </c>
      <c r="L1893" t="s">
        <v>45</v>
      </c>
      <c r="M1893" t="s">
        <v>26</v>
      </c>
      <c r="N1893" t="s">
        <v>58</v>
      </c>
      <c r="O1893" t="s">
        <v>35</v>
      </c>
      <c r="P1893" t="s">
        <v>60</v>
      </c>
      <c r="Q1893">
        <v>1</v>
      </c>
    </row>
    <row r="1894" spans="1:17" x14ac:dyDescent="0.25">
      <c r="A1894" t="s">
        <v>29</v>
      </c>
      <c r="B1894" t="s">
        <v>36</v>
      </c>
      <c r="C1894">
        <v>148500</v>
      </c>
      <c r="D1894" t="s">
        <v>44</v>
      </c>
      <c r="E1894" t="s">
        <v>20</v>
      </c>
      <c r="F1894" t="s">
        <v>32</v>
      </c>
      <c r="G1894" t="s">
        <v>22</v>
      </c>
      <c r="H1894" t="s">
        <v>86</v>
      </c>
      <c r="I1894" t="s">
        <v>24</v>
      </c>
      <c r="J1894">
        <v>31491</v>
      </c>
      <c r="K1894">
        <v>0</v>
      </c>
      <c r="L1894" t="s">
        <v>38</v>
      </c>
      <c r="M1894" t="s">
        <v>26</v>
      </c>
      <c r="N1894" t="s">
        <v>58</v>
      </c>
      <c r="O1894" t="s">
        <v>35</v>
      </c>
      <c r="P1894" t="s">
        <v>60</v>
      </c>
      <c r="Q1894">
        <v>1</v>
      </c>
    </row>
    <row r="1895" spans="1:17" x14ac:dyDescent="0.25">
      <c r="A1895" t="s">
        <v>29</v>
      </c>
      <c r="B1895" t="s">
        <v>36</v>
      </c>
      <c r="C1895">
        <v>148500</v>
      </c>
      <c r="D1895" t="s">
        <v>44</v>
      </c>
      <c r="E1895" t="s">
        <v>20</v>
      </c>
      <c r="F1895" t="s">
        <v>32</v>
      </c>
      <c r="G1895" t="s">
        <v>22</v>
      </c>
      <c r="H1895" t="s">
        <v>86</v>
      </c>
      <c r="I1895" t="s">
        <v>24</v>
      </c>
      <c r="J1895">
        <v>289993.5</v>
      </c>
      <c r="K1895">
        <v>29002.5</v>
      </c>
      <c r="L1895" t="s">
        <v>25</v>
      </c>
      <c r="M1895" t="s">
        <v>26</v>
      </c>
      <c r="N1895" t="s">
        <v>27</v>
      </c>
      <c r="O1895" t="s">
        <v>35</v>
      </c>
      <c r="P1895" t="s">
        <v>26</v>
      </c>
      <c r="Q1895">
        <v>0</v>
      </c>
    </row>
    <row r="1896" spans="1:17" x14ac:dyDescent="0.25">
      <c r="A1896" t="s">
        <v>29</v>
      </c>
      <c r="B1896" t="s">
        <v>36</v>
      </c>
      <c r="C1896">
        <v>148500</v>
      </c>
      <c r="D1896" t="s">
        <v>44</v>
      </c>
      <c r="E1896" t="s">
        <v>20</v>
      </c>
      <c r="F1896" t="s">
        <v>32</v>
      </c>
      <c r="G1896" t="s">
        <v>22</v>
      </c>
      <c r="H1896" t="s">
        <v>86</v>
      </c>
      <c r="I1896" t="s">
        <v>24</v>
      </c>
      <c r="J1896">
        <v>31860</v>
      </c>
      <c r="K1896">
        <v>6390</v>
      </c>
      <c r="L1896" t="s">
        <v>42</v>
      </c>
      <c r="M1896" t="s">
        <v>26</v>
      </c>
      <c r="N1896" t="s">
        <v>27</v>
      </c>
      <c r="O1896" t="s">
        <v>35</v>
      </c>
      <c r="P1896" t="s">
        <v>26</v>
      </c>
      <c r="Q1896">
        <v>0</v>
      </c>
    </row>
    <row r="1897" spans="1:17" x14ac:dyDescent="0.25">
      <c r="A1897" t="s">
        <v>17</v>
      </c>
      <c r="B1897" t="s">
        <v>18</v>
      </c>
      <c r="C1897">
        <v>166500</v>
      </c>
      <c r="D1897" t="s">
        <v>44</v>
      </c>
      <c r="E1897" t="s">
        <v>20</v>
      </c>
      <c r="F1897" t="s">
        <v>32</v>
      </c>
      <c r="G1897" t="s">
        <v>22</v>
      </c>
      <c r="H1897" t="s">
        <v>61</v>
      </c>
      <c r="I1897" t="s">
        <v>24</v>
      </c>
      <c r="J1897">
        <v>57645</v>
      </c>
      <c r="K1897">
        <v>9000</v>
      </c>
      <c r="L1897" t="s">
        <v>43</v>
      </c>
      <c r="M1897" t="s">
        <v>26</v>
      </c>
      <c r="N1897" t="s">
        <v>27</v>
      </c>
      <c r="O1897" t="s">
        <v>28</v>
      </c>
      <c r="P1897" t="s">
        <v>26</v>
      </c>
      <c r="Q1897">
        <v>0</v>
      </c>
    </row>
    <row r="1898" spans="1:17" x14ac:dyDescent="0.25">
      <c r="A1898" t="s">
        <v>29</v>
      </c>
      <c r="B1898" t="s">
        <v>18</v>
      </c>
      <c r="C1898">
        <v>112500</v>
      </c>
      <c r="D1898" t="s">
        <v>19</v>
      </c>
      <c r="E1898" t="s">
        <v>20</v>
      </c>
      <c r="F1898" t="s">
        <v>32</v>
      </c>
      <c r="G1898" t="s">
        <v>22</v>
      </c>
      <c r="H1898" t="s">
        <v>65</v>
      </c>
      <c r="I1898" t="s">
        <v>24</v>
      </c>
      <c r="J1898">
        <v>140710.5</v>
      </c>
      <c r="K1898">
        <v>0</v>
      </c>
      <c r="L1898" t="s">
        <v>51</v>
      </c>
      <c r="M1898" t="s">
        <v>26</v>
      </c>
      <c r="N1898" t="s">
        <v>27</v>
      </c>
      <c r="O1898" t="s">
        <v>35</v>
      </c>
      <c r="P1898" t="s">
        <v>26</v>
      </c>
      <c r="Q1898">
        <v>0</v>
      </c>
    </row>
    <row r="1899" spans="1:17" x14ac:dyDescent="0.25">
      <c r="A1899" t="s">
        <v>17</v>
      </c>
      <c r="B1899" t="s">
        <v>36</v>
      </c>
      <c r="C1899">
        <v>180000</v>
      </c>
      <c r="D1899" t="s">
        <v>19</v>
      </c>
      <c r="E1899" t="s">
        <v>31</v>
      </c>
      <c r="F1899" t="s">
        <v>32</v>
      </c>
      <c r="G1899" t="s">
        <v>22</v>
      </c>
      <c r="H1899" t="s">
        <v>23</v>
      </c>
      <c r="I1899" t="s">
        <v>24</v>
      </c>
      <c r="J1899">
        <v>116424</v>
      </c>
      <c r="K1899">
        <v>11646</v>
      </c>
      <c r="L1899" t="s">
        <v>25</v>
      </c>
      <c r="M1899" t="s">
        <v>26</v>
      </c>
      <c r="N1899" t="s">
        <v>27</v>
      </c>
      <c r="O1899" t="s">
        <v>28</v>
      </c>
      <c r="P1899" t="s">
        <v>26</v>
      </c>
      <c r="Q1899">
        <v>0</v>
      </c>
    </row>
    <row r="1900" spans="1:17" x14ac:dyDescent="0.25">
      <c r="A1900" t="s">
        <v>29</v>
      </c>
      <c r="B1900" t="s">
        <v>18</v>
      </c>
      <c r="C1900">
        <v>211500</v>
      </c>
      <c r="D1900" t="s">
        <v>44</v>
      </c>
      <c r="E1900" t="s">
        <v>31</v>
      </c>
      <c r="F1900" t="s">
        <v>32</v>
      </c>
      <c r="G1900" t="s">
        <v>22</v>
      </c>
      <c r="H1900" t="s">
        <v>23</v>
      </c>
      <c r="I1900" t="s">
        <v>24</v>
      </c>
      <c r="J1900">
        <v>48757.05</v>
      </c>
      <c r="K1900">
        <v>4873.05</v>
      </c>
      <c r="L1900" t="s">
        <v>43</v>
      </c>
      <c r="M1900" t="s">
        <v>26</v>
      </c>
      <c r="N1900" t="s">
        <v>27</v>
      </c>
      <c r="O1900" t="s">
        <v>35</v>
      </c>
      <c r="P1900" t="s">
        <v>26</v>
      </c>
      <c r="Q1900">
        <v>0</v>
      </c>
    </row>
    <row r="1901" spans="1:17" x14ac:dyDescent="0.25">
      <c r="A1901" t="s">
        <v>29</v>
      </c>
      <c r="B1901" t="s">
        <v>18</v>
      </c>
      <c r="C1901">
        <v>211500</v>
      </c>
      <c r="D1901" t="s">
        <v>44</v>
      </c>
      <c r="E1901" t="s">
        <v>31</v>
      </c>
      <c r="F1901" t="s">
        <v>32</v>
      </c>
      <c r="G1901" t="s">
        <v>22</v>
      </c>
      <c r="H1901" t="s">
        <v>23</v>
      </c>
      <c r="I1901" t="s">
        <v>24</v>
      </c>
      <c r="J1901">
        <v>43990.47</v>
      </c>
      <c r="K1901">
        <v>0</v>
      </c>
      <c r="L1901" t="s">
        <v>34</v>
      </c>
      <c r="M1901" t="s">
        <v>26</v>
      </c>
      <c r="N1901" t="s">
        <v>58</v>
      </c>
      <c r="O1901" t="s">
        <v>35</v>
      </c>
      <c r="P1901" t="s">
        <v>64</v>
      </c>
      <c r="Q1901">
        <v>1</v>
      </c>
    </row>
    <row r="1902" spans="1:17" x14ac:dyDescent="0.25">
      <c r="A1902" t="s">
        <v>29</v>
      </c>
      <c r="B1902" t="s">
        <v>18</v>
      </c>
      <c r="C1902">
        <v>211500</v>
      </c>
      <c r="D1902" t="s">
        <v>44</v>
      </c>
      <c r="E1902" t="s">
        <v>31</v>
      </c>
      <c r="F1902" t="s">
        <v>32</v>
      </c>
      <c r="G1902" t="s">
        <v>22</v>
      </c>
      <c r="H1902" t="s">
        <v>23</v>
      </c>
      <c r="I1902" t="s">
        <v>24</v>
      </c>
      <c r="J1902">
        <v>31000.5</v>
      </c>
      <c r="K1902">
        <v>3100.5</v>
      </c>
      <c r="L1902" t="s">
        <v>51</v>
      </c>
      <c r="M1902" t="s">
        <v>26</v>
      </c>
      <c r="N1902" t="s">
        <v>27</v>
      </c>
      <c r="O1902" t="s">
        <v>35</v>
      </c>
      <c r="P1902" t="s">
        <v>26</v>
      </c>
      <c r="Q1902">
        <v>0</v>
      </c>
    </row>
    <row r="1903" spans="1:17" x14ac:dyDescent="0.25">
      <c r="A1903" t="s">
        <v>29</v>
      </c>
      <c r="B1903" t="s">
        <v>18</v>
      </c>
      <c r="C1903">
        <v>211500</v>
      </c>
      <c r="D1903" t="s">
        <v>44</v>
      </c>
      <c r="E1903" t="s">
        <v>31</v>
      </c>
      <c r="F1903" t="s">
        <v>32</v>
      </c>
      <c r="G1903" t="s">
        <v>22</v>
      </c>
      <c r="H1903" t="s">
        <v>23</v>
      </c>
      <c r="I1903" t="s">
        <v>24</v>
      </c>
      <c r="J1903">
        <v>37755</v>
      </c>
      <c r="K1903">
        <v>4500</v>
      </c>
      <c r="L1903" t="s">
        <v>42</v>
      </c>
      <c r="M1903" t="s">
        <v>26</v>
      </c>
      <c r="N1903" t="s">
        <v>27</v>
      </c>
      <c r="O1903" t="s">
        <v>35</v>
      </c>
      <c r="P1903" t="s">
        <v>26</v>
      </c>
      <c r="Q1903">
        <v>0</v>
      </c>
    </row>
    <row r="1904" spans="1:17" x14ac:dyDescent="0.25">
      <c r="A1904" t="s">
        <v>29</v>
      </c>
      <c r="B1904" t="s">
        <v>18</v>
      </c>
      <c r="C1904">
        <v>211500</v>
      </c>
      <c r="D1904" t="s">
        <v>44</v>
      </c>
      <c r="E1904" t="s">
        <v>31</v>
      </c>
      <c r="F1904" t="s">
        <v>32</v>
      </c>
      <c r="G1904" t="s">
        <v>22</v>
      </c>
      <c r="H1904" t="s">
        <v>23</v>
      </c>
      <c r="I1904" t="s">
        <v>90</v>
      </c>
      <c r="J1904">
        <v>157500</v>
      </c>
      <c r="K1904">
        <v>0</v>
      </c>
      <c r="L1904" t="s">
        <v>34</v>
      </c>
      <c r="M1904" t="s">
        <v>26</v>
      </c>
      <c r="N1904" t="s">
        <v>58</v>
      </c>
      <c r="O1904" t="s">
        <v>28</v>
      </c>
      <c r="P1904" t="s">
        <v>64</v>
      </c>
      <c r="Q1904">
        <v>1</v>
      </c>
    </row>
    <row r="1905" spans="1:17" x14ac:dyDescent="0.25">
      <c r="A1905" t="s">
        <v>29</v>
      </c>
      <c r="B1905" t="s">
        <v>36</v>
      </c>
      <c r="C1905">
        <v>270000</v>
      </c>
      <c r="D1905" t="s">
        <v>30</v>
      </c>
      <c r="E1905" t="s">
        <v>31</v>
      </c>
      <c r="F1905" t="s">
        <v>32</v>
      </c>
      <c r="G1905" t="s">
        <v>22</v>
      </c>
      <c r="H1905" t="s">
        <v>37</v>
      </c>
      <c r="I1905" t="s">
        <v>24</v>
      </c>
      <c r="J1905">
        <v>146682</v>
      </c>
      <c r="K1905">
        <v>0</v>
      </c>
      <c r="L1905" t="s">
        <v>38</v>
      </c>
      <c r="M1905" t="s">
        <v>26</v>
      </c>
      <c r="N1905" t="s">
        <v>27</v>
      </c>
      <c r="O1905" t="s">
        <v>35</v>
      </c>
      <c r="P1905" t="s">
        <v>26</v>
      </c>
      <c r="Q1905">
        <v>0</v>
      </c>
    </row>
    <row r="1906" spans="1:17" x14ac:dyDescent="0.25">
      <c r="A1906" t="s">
        <v>29</v>
      </c>
      <c r="B1906" t="s">
        <v>36</v>
      </c>
      <c r="C1906">
        <v>270000</v>
      </c>
      <c r="D1906" t="s">
        <v>30</v>
      </c>
      <c r="E1906" t="s">
        <v>31</v>
      </c>
      <c r="F1906" t="s">
        <v>32</v>
      </c>
      <c r="G1906" t="s">
        <v>22</v>
      </c>
      <c r="H1906" t="s">
        <v>37</v>
      </c>
      <c r="I1906" t="s">
        <v>24</v>
      </c>
      <c r="J1906">
        <v>250150.5</v>
      </c>
      <c r="K1906">
        <v>75046.5</v>
      </c>
      <c r="L1906" t="s">
        <v>34</v>
      </c>
      <c r="M1906" t="s">
        <v>26</v>
      </c>
      <c r="N1906" t="s">
        <v>27</v>
      </c>
      <c r="O1906" t="s">
        <v>35</v>
      </c>
      <c r="P1906" t="s">
        <v>26</v>
      </c>
      <c r="Q1906">
        <v>0</v>
      </c>
    </row>
    <row r="1907" spans="1:17" x14ac:dyDescent="0.25">
      <c r="A1907" t="s">
        <v>29</v>
      </c>
      <c r="B1907" t="s">
        <v>36</v>
      </c>
      <c r="C1907">
        <v>270000</v>
      </c>
      <c r="D1907" t="s">
        <v>30</v>
      </c>
      <c r="E1907" t="s">
        <v>31</v>
      </c>
      <c r="F1907" t="s">
        <v>32</v>
      </c>
      <c r="G1907" t="s">
        <v>22</v>
      </c>
      <c r="H1907" t="s">
        <v>37</v>
      </c>
      <c r="I1907" t="s">
        <v>24</v>
      </c>
      <c r="J1907">
        <v>222237</v>
      </c>
      <c r="K1907">
        <v>44451</v>
      </c>
      <c r="L1907" t="s">
        <v>34</v>
      </c>
      <c r="M1907" t="s">
        <v>26</v>
      </c>
      <c r="N1907" t="s">
        <v>27</v>
      </c>
      <c r="O1907" t="s">
        <v>35</v>
      </c>
      <c r="P1907" t="s">
        <v>26</v>
      </c>
      <c r="Q1907">
        <v>0</v>
      </c>
    </row>
    <row r="1908" spans="1:17" x14ac:dyDescent="0.25">
      <c r="A1908" t="s">
        <v>17</v>
      </c>
      <c r="B1908" t="s">
        <v>36</v>
      </c>
      <c r="C1908">
        <v>180000</v>
      </c>
      <c r="D1908" t="s">
        <v>44</v>
      </c>
      <c r="E1908" t="s">
        <v>70</v>
      </c>
      <c r="F1908" t="s">
        <v>32</v>
      </c>
      <c r="G1908" t="s">
        <v>22</v>
      </c>
      <c r="H1908" t="s">
        <v>49</v>
      </c>
      <c r="I1908" t="s">
        <v>24</v>
      </c>
      <c r="J1908">
        <v>149580</v>
      </c>
      <c r="K1908">
        <v>0</v>
      </c>
      <c r="L1908" t="s">
        <v>34</v>
      </c>
      <c r="M1908" t="s">
        <v>26</v>
      </c>
      <c r="N1908" t="s">
        <v>27</v>
      </c>
      <c r="O1908" t="s">
        <v>35</v>
      </c>
      <c r="P1908" t="s">
        <v>26</v>
      </c>
      <c r="Q1908">
        <v>0</v>
      </c>
    </row>
    <row r="1909" spans="1:17" x14ac:dyDescent="0.25">
      <c r="A1909" t="s">
        <v>17</v>
      </c>
      <c r="B1909" t="s">
        <v>36</v>
      </c>
      <c r="C1909">
        <v>180000</v>
      </c>
      <c r="D1909" t="s">
        <v>44</v>
      </c>
      <c r="E1909" t="s">
        <v>70</v>
      </c>
      <c r="F1909" t="s">
        <v>32</v>
      </c>
      <c r="G1909" t="s">
        <v>22</v>
      </c>
      <c r="H1909" t="s">
        <v>49</v>
      </c>
      <c r="I1909" t="s">
        <v>24</v>
      </c>
      <c r="J1909">
        <v>68760</v>
      </c>
      <c r="K1909">
        <v>0</v>
      </c>
      <c r="L1909" t="s">
        <v>51</v>
      </c>
      <c r="M1909" t="s">
        <v>26</v>
      </c>
      <c r="N1909" t="s">
        <v>58</v>
      </c>
      <c r="O1909" t="s">
        <v>35</v>
      </c>
      <c r="P1909" t="s">
        <v>64</v>
      </c>
      <c r="Q1909">
        <v>1</v>
      </c>
    </row>
    <row r="1910" spans="1:17" x14ac:dyDescent="0.25">
      <c r="A1910" t="s">
        <v>17</v>
      </c>
      <c r="B1910" t="s">
        <v>36</v>
      </c>
      <c r="C1910">
        <v>180000</v>
      </c>
      <c r="D1910" t="s">
        <v>44</v>
      </c>
      <c r="E1910" t="s">
        <v>70</v>
      </c>
      <c r="F1910" t="s">
        <v>32</v>
      </c>
      <c r="G1910" t="s">
        <v>22</v>
      </c>
      <c r="H1910" t="s">
        <v>49</v>
      </c>
      <c r="I1910" t="s">
        <v>24</v>
      </c>
      <c r="J1910">
        <v>87705</v>
      </c>
      <c r="K1910">
        <v>0</v>
      </c>
      <c r="L1910" t="s">
        <v>42</v>
      </c>
      <c r="M1910" t="s">
        <v>26</v>
      </c>
      <c r="N1910" t="s">
        <v>27</v>
      </c>
      <c r="O1910" t="s">
        <v>35</v>
      </c>
      <c r="P1910" t="s">
        <v>26</v>
      </c>
      <c r="Q1910">
        <v>0</v>
      </c>
    </row>
    <row r="1911" spans="1:17" x14ac:dyDescent="0.25">
      <c r="A1911" t="s">
        <v>17</v>
      </c>
      <c r="B1911" t="s">
        <v>36</v>
      </c>
      <c r="C1911">
        <v>180000</v>
      </c>
      <c r="D1911" t="s">
        <v>44</v>
      </c>
      <c r="E1911" t="s">
        <v>70</v>
      </c>
      <c r="F1911" t="s">
        <v>32</v>
      </c>
      <c r="G1911" t="s">
        <v>22</v>
      </c>
      <c r="H1911" t="s">
        <v>49</v>
      </c>
      <c r="I1911" t="s">
        <v>24</v>
      </c>
      <c r="J1911">
        <v>68760</v>
      </c>
      <c r="K1911">
        <v>0</v>
      </c>
      <c r="L1911" t="s">
        <v>51</v>
      </c>
      <c r="M1911" t="s">
        <v>26</v>
      </c>
      <c r="N1911" t="s">
        <v>58</v>
      </c>
      <c r="O1911" t="s">
        <v>35</v>
      </c>
      <c r="P1911" t="s">
        <v>64</v>
      </c>
      <c r="Q1911">
        <v>1</v>
      </c>
    </row>
    <row r="1912" spans="1:17" x14ac:dyDescent="0.25">
      <c r="A1912" t="s">
        <v>29</v>
      </c>
      <c r="B1912" t="s">
        <v>18</v>
      </c>
      <c r="C1912">
        <v>157500</v>
      </c>
      <c r="D1912" t="s">
        <v>30</v>
      </c>
      <c r="E1912" t="s">
        <v>31</v>
      </c>
      <c r="F1912" t="s">
        <v>32</v>
      </c>
      <c r="G1912" t="s">
        <v>22</v>
      </c>
      <c r="H1912" t="s">
        <v>72</v>
      </c>
      <c r="I1912" t="s">
        <v>24</v>
      </c>
      <c r="J1912">
        <v>119241</v>
      </c>
      <c r="K1912">
        <v>0</v>
      </c>
      <c r="L1912" t="s">
        <v>45</v>
      </c>
      <c r="M1912" t="s">
        <v>26</v>
      </c>
      <c r="N1912" t="s">
        <v>27</v>
      </c>
      <c r="O1912" t="s">
        <v>35</v>
      </c>
      <c r="P1912" t="s">
        <v>26</v>
      </c>
      <c r="Q1912">
        <v>0</v>
      </c>
    </row>
    <row r="1913" spans="1:17" x14ac:dyDescent="0.25">
      <c r="A1913" t="s">
        <v>29</v>
      </c>
      <c r="B1913" t="s">
        <v>18</v>
      </c>
      <c r="C1913">
        <v>67500</v>
      </c>
      <c r="D1913" t="s">
        <v>46</v>
      </c>
      <c r="E1913" t="s">
        <v>20</v>
      </c>
      <c r="F1913" t="s">
        <v>54</v>
      </c>
      <c r="G1913" t="s">
        <v>22</v>
      </c>
      <c r="H1913" t="s">
        <v>28</v>
      </c>
      <c r="I1913" t="s">
        <v>24</v>
      </c>
      <c r="J1913">
        <v>94050</v>
      </c>
      <c r="K1913">
        <v>0</v>
      </c>
      <c r="L1913" t="s">
        <v>42</v>
      </c>
      <c r="M1913" t="s">
        <v>26</v>
      </c>
      <c r="N1913" t="s">
        <v>27</v>
      </c>
      <c r="O1913" t="s">
        <v>28</v>
      </c>
      <c r="P1913" t="s">
        <v>26</v>
      </c>
      <c r="Q1913">
        <v>0</v>
      </c>
    </row>
    <row r="1914" spans="1:17" x14ac:dyDescent="0.25">
      <c r="A1914" t="s">
        <v>29</v>
      </c>
      <c r="B1914" t="s">
        <v>18</v>
      </c>
      <c r="C1914">
        <v>67500</v>
      </c>
      <c r="D1914" t="s">
        <v>46</v>
      </c>
      <c r="E1914" t="s">
        <v>20</v>
      </c>
      <c r="F1914" t="s">
        <v>54</v>
      </c>
      <c r="G1914" t="s">
        <v>22</v>
      </c>
      <c r="H1914" t="s">
        <v>28</v>
      </c>
      <c r="I1914" t="s">
        <v>24</v>
      </c>
      <c r="J1914">
        <v>38250</v>
      </c>
      <c r="K1914">
        <v>0</v>
      </c>
      <c r="L1914" t="s">
        <v>51</v>
      </c>
      <c r="M1914" t="s">
        <v>26</v>
      </c>
      <c r="N1914" t="s">
        <v>27</v>
      </c>
      <c r="O1914" t="s">
        <v>35</v>
      </c>
      <c r="P1914" t="s">
        <v>26</v>
      </c>
      <c r="Q1914">
        <v>0</v>
      </c>
    </row>
    <row r="1915" spans="1:17" x14ac:dyDescent="0.25">
      <c r="A1915" t="s">
        <v>29</v>
      </c>
      <c r="B1915" t="s">
        <v>18</v>
      </c>
      <c r="C1915">
        <v>67500</v>
      </c>
      <c r="D1915" t="s">
        <v>46</v>
      </c>
      <c r="E1915" t="s">
        <v>20</v>
      </c>
      <c r="F1915" t="s">
        <v>54</v>
      </c>
      <c r="G1915" t="s">
        <v>22</v>
      </c>
      <c r="H1915" t="s">
        <v>28</v>
      </c>
      <c r="I1915" t="s">
        <v>24</v>
      </c>
      <c r="J1915">
        <v>118350</v>
      </c>
      <c r="K1915">
        <v>27000</v>
      </c>
      <c r="L1915" t="s">
        <v>42</v>
      </c>
      <c r="M1915" t="s">
        <v>26</v>
      </c>
      <c r="N1915" t="s">
        <v>27</v>
      </c>
      <c r="O1915" t="s">
        <v>35</v>
      </c>
      <c r="P1915" t="s">
        <v>26</v>
      </c>
      <c r="Q1915">
        <v>0</v>
      </c>
    </row>
    <row r="1916" spans="1:17" x14ac:dyDescent="0.25">
      <c r="A1916" t="s">
        <v>29</v>
      </c>
      <c r="B1916" t="s">
        <v>18</v>
      </c>
      <c r="C1916">
        <v>67500</v>
      </c>
      <c r="D1916" t="s">
        <v>46</v>
      </c>
      <c r="E1916" t="s">
        <v>20</v>
      </c>
      <c r="F1916" t="s">
        <v>54</v>
      </c>
      <c r="G1916" t="s">
        <v>22</v>
      </c>
      <c r="H1916" t="s">
        <v>28</v>
      </c>
      <c r="I1916" t="s">
        <v>24</v>
      </c>
      <c r="J1916">
        <v>30672</v>
      </c>
      <c r="K1916">
        <v>3069</v>
      </c>
      <c r="L1916" t="s">
        <v>43</v>
      </c>
      <c r="M1916" t="s">
        <v>26</v>
      </c>
      <c r="N1916" t="s">
        <v>27</v>
      </c>
      <c r="O1916" t="s">
        <v>35</v>
      </c>
      <c r="P1916" t="s">
        <v>26</v>
      </c>
      <c r="Q1916">
        <v>0</v>
      </c>
    </row>
    <row r="1917" spans="1:17" x14ac:dyDescent="0.25">
      <c r="A1917" t="s">
        <v>29</v>
      </c>
      <c r="B1917" t="s">
        <v>18</v>
      </c>
      <c r="C1917">
        <v>112500</v>
      </c>
      <c r="D1917" t="s">
        <v>19</v>
      </c>
      <c r="E1917" t="s">
        <v>20</v>
      </c>
      <c r="F1917" t="s">
        <v>32</v>
      </c>
      <c r="G1917" t="s">
        <v>22</v>
      </c>
      <c r="H1917" t="s">
        <v>97</v>
      </c>
      <c r="I1917" t="s">
        <v>24</v>
      </c>
      <c r="J1917">
        <v>112410</v>
      </c>
      <c r="K1917">
        <v>11241</v>
      </c>
      <c r="L1917" t="s">
        <v>51</v>
      </c>
      <c r="M1917" t="s">
        <v>26</v>
      </c>
      <c r="N1917" t="s">
        <v>27</v>
      </c>
      <c r="O1917" t="s">
        <v>35</v>
      </c>
      <c r="P1917" t="s">
        <v>26</v>
      </c>
      <c r="Q1917">
        <v>0</v>
      </c>
    </row>
    <row r="1918" spans="1:17" x14ac:dyDescent="0.25">
      <c r="A1918" t="s">
        <v>29</v>
      </c>
      <c r="B1918" t="s">
        <v>18</v>
      </c>
      <c r="C1918">
        <v>112500</v>
      </c>
      <c r="D1918" t="s">
        <v>19</v>
      </c>
      <c r="E1918" t="s">
        <v>20</v>
      </c>
      <c r="F1918" t="s">
        <v>32</v>
      </c>
      <c r="G1918" t="s">
        <v>22</v>
      </c>
      <c r="H1918" t="s">
        <v>97</v>
      </c>
      <c r="I1918" t="s">
        <v>24</v>
      </c>
      <c r="J1918">
        <v>24750</v>
      </c>
      <c r="K1918">
        <v>2475</v>
      </c>
      <c r="L1918" t="s">
        <v>42</v>
      </c>
      <c r="M1918" t="s">
        <v>26</v>
      </c>
      <c r="N1918" t="s">
        <v>27</v>
      </c>
      <c r="O1918" t="s">
        <v>35</v>
      </c>
      <c r="P1918" t="s">
        <v>26</v>
      </c>
      <c r="Q1918">
        <v>0</v>
      </c>
    </row>
    <row r="1919" spans="1:17" x14ac:dyDescent="0.25">
      <c r="A1919" t="s">
        <v>29</v>
      </c>
      <c r="B1919" t="s">
        <v>18</v>
      </c>
      <c r="C1919">
        <v>112500</v>
      </c>
      <c r="D1919" t="s">
        <v>19</v>
      </c>
      <c r="E1919" t="s">
        <v>20</v>
      </c>
      <c r="F1919" t="s">
        <v>32</v>
      </c>
      <c r="G1919" t="s">
        <v>22</v>
      </c>
      <c r="H1919" t="s">
        <v>97</v>
      </c>
      <c r="I1919" t="s">
        <v>66</v>
      </c>
      <c r="J1919">
        <v>90000</v>
      </c>
      <c r="K1919">
        <v>0</v>
      </c>
      <c r="L1919" t="s">
        <v>43</v>
      </c>
      <c r="M1919" t="s">
        <v>28</v>
      </c>
      <c r="N1919" t="s">
        <v>27</v>
      </c>
      <c r="O1919" t="s">
        <v>35</v>
      </c>
      <c r="P1919" t="s">
        <v>26</v>
      </c>
      <c r="Q1919">
        <v>0</v>
      </c>
    </row>
    <row r="1920" spans="1:17" x14ac:dyDescent="0.25">
      <c r="A1920" t="s">
        <v>29</v>
      </c>
      <c r="B1920" t="s">
        <v>18</v>
      </c>
      <c r="C1920">
        <v>117000</v>
      </c>
      <c r="D1920" t="s">
        <v>46</v>
      </c>
      <c r="E1920" t="s">
        <v>31</v>
      </c>
      <c r="F1920" t="s">
        <v>69</v>
      </c>
      <c r="G1920" t="s">
        <v>22</v>
      </c>
      <c r="H1920" t="s">
        <v>28</v>
      </c>
      <c r="I1920" t="s">
        <v>66</v>
      </c>
      <c r="J1920">
        <v>90000</v>
      </c>
      <c r="K1920">
        <v>0</v>
      </c>
      <c r="L1920" t="s">
        <v>51</v>
      </c>
      <c r="M1920" t="s">
        <v>28</v>
      </c>
      <c r="N1920" t="s">
        <v>27</v>
      </c>
      <c r="O1920" t="s">
        <v>35</v>
      </c>
      <c r="P1920" t="s">
        <v>26</v>
      </c>
      <c r="Q1920">
        <v>0</v>
      </c>
    </row>
    <row r="1921" spans="1:17" x14ac:dyDescent="0.25">
      <c r="A1921" t="s">
        <v>29</v>
      </c>
      <c r="B1921" t="s">
        <v>18</v>
      </c>
      <c r="C1921">
        <v>117000</v>
      </c>
      <c r="D1921" t="s">
        <v>46</v>
      </c>
      <c r="E1921" t="s">
        <v>31</v>
      </c>
      <c r="F1921" t="s">
        <v>69</v>
      </c>
      <c r="G1921" t="s">
        <v>22</v>
      </c>
      <c r="H1921" t="s">
        <v>28</v>
      </c>
      <c r="I1921" t="s">
        <v>66</v>
      </c>
      <c r="J1921">
        <v>45000</v>
      </c>
      <c r="K1921">
        <v>0</v>
      </c>
      <c r="L1921" t="s">
        <v>51</v>
      </c>
      <c r="M1921" t="s">
        <v>28</v>
      </c>
      <c r="N1921" t="s">
        <v>27</v>
      </c>
      <c r="O1921" t="s">
        <v>28</v>
      </c>
      <c r="P1921" t="s">
        <v>26</v>
      </c>
      <c r="Q1921">
        <v>0</v>
      </c>
    </row>
    <row r="1922" spans="1:17" x14ac:dyDescent="0.25">
      <c r="A1922" t="s">
        <v>17</v>
      </c>
      <c r="B1922" t="s">
        <v>36</v>
      </c>
      <c r="C1922">
        <v>135000</v>
      </c>
      <c r="D1922" t="s">
        <v>44</v>
      </c>
      <c r="E1922" t="s">
        <v>20</v>
      </c>
      <c r="F1922" t="s">
        <v>32</v>
      </c>
      <c r="G1922" t="s">
        <v>22</v>
      </c>
      <c r="H1922" t="s">
        <v>23</v>
      </c>
      <c r="I1922" t="s">
        <v>24</v>
      </c>
      <c r="J1922">
        <v>127669.5</v>
      </c>
      <c r="K1922">
        <v>0</v>
      </c>
      <c r="L1922" t="s">
        <v>25</v>
      </c>
      <c r="M1922" t="s">
        <v>26</v>
      </c>
      <c r="N1922" t="s">
        <v>27</v>
      </c>
      <c r="O1922" t="s">
        <v>28</v>
      </c>
      <c r="P1922" t="s">
        <v>26</v>
      </c>
      <c r="Q1922">
        <v>0</v>
      </c>
    </row>
    <row r="1923" spans="1:17" x14ac:dyDescent="0.25">
      <c r="A1923" t="s">
        <v>29</v>
      </c>
      <c r="B1923" t="s">
        <v>36</v>
      </c>
      <c r="C1923">
        <v>202500</v>
      </c>
      <c r="D1923" t="s">
        <v>44</v>
      </c>
      <c r="E1923" t="s">
        <v>20</v>
      </c>
      <c r="F1923" t="s">
        <v>21</v>
      </c>
      <c r="G1923" t="s">
        <v>22</v>
      </c>
      <c r="H1923" t="s">
        <v>49</v>
      </c>
      <c r="I1923" t="s">
        <v>24</v>
      </c>
      <c r="J1923">
        <v>74641.5</v>
      </c>
      <c r="K1923">
        <v>0</v>
      </c>
      <c r="L1923" t="s">
        <v>25</v>
      </c>
      <c r="M1923" t="s">
        <v>26</v>
      </c>
      <c r="N1923" t="s">
        <v>58</v>
      </c>
      <c r="O1923" t="s">
        <v>35</v>
      </c>
      <c r="P1923" t="s">
        <v>60</v>
      </c>
      <c r="Q1923">
        <v>1</v>
      </c>
    </row>
    <row r="1924" spans="1:17" x14ac:dyDescent="0.25">
      <c r="A1924" t="s">
        <v>29</v>
      </c>
      <c r="B1924" t="s">
        <v>36</v>
      </c>
      <c r="C1924">
        <v>202500</v>
      </c>
      <c r="D1924" t="s">
        <v>44</v>
      </c>
      <c r="E1924" t="s">
        <v>20</v>
      </c>
      <c r="F1924" t="s">
        <v>21</v>
      </c>
      <c r="G1924" t="s">
        <v>22</v>
      </c>
      <c r="H1924" t="s">
        <v>49</v>
      </c>
      <c r="I1924" t="s">
        <v>24</v>
      </c>
      <c r="J1924">
        <v>49275</v>
      </c>
      <c r="K1924">
        <v>4927.5</v>
      </c>
      <c r="L1924" t="s">
        <v>38</v>
      </c>
      <c r="M1924" t="s">
        <v>26</v>
      </c>
      <c r="N1924" t="s">
        <v>27</v>
      </c>
      <c r="O1924" t="s">
        <v>35</v>
      </c>
      <c r="P1924" t="s">
        <v>26</v>
      </c>
      <c r="Q1924">
        <v>0</v>
      </c>
    </row>
    <row r="1925" spans="1:17" x14ac:dyDescent="0.25">
      <c r="A1925" t="s">
        <v>29</v>
      </c>
      <c r="B1925" t="s">
        <v>18</v>
      </c>
      <c r="C1925">
        <v>51750</v>
      </c>
      <c r="D1925" t="s">
        <v>46</v>
      </c>
      <c r="E1925" t="s">
        <v>20</v>
      </c>
      <c r="F1925" t="s">
        <v>54</v>
      </c>
      <c r="G1925" t="s">
        <v>22</v>
      </c>
      <c r="H1925" t="s">
        <v>28</v>
      </c>
      <c r="I1925" t="s">
        <v>24</v>
      </c>
      <c r="J1925">
        <v>53955</v>
      </c>
      <c r="K1925">
        <v>0</v>
      </c>
      <c r="L1925" t="s">
        <v>43</v>
      </c>
      <c r="M1925" t="s">
        <v>26</v>
      </c>
      <c r="N1925" t="s">
        <v>27</v>
      </c>
      <c r="O1925" t="s">
        <v>35</v>
      </c>
      <c r="P1925" t="s">
        <v>26</v>
      </c>
      <c r="Q1925">
        <v>0</v>
      </c>
    </row>
    <row r="1926" spans="1:17" x14ac:dyDescent="0.25">
      <c r="A1926" t="s">
        <v>29</v>
      </c>
      <c r="B1926" t="s">
        <v>18</v>
      </c>
      <c r="C1926">
        <v>51750</v>
      </c>
      <c r="D1926" t="s">
        <v>46</v>
      </c>
      <c r="E1926" t="s">
        <v>20</v>
      </c>
      <c r="F1926" t="s">
        <v>54</v>
      </c>
      <c r="G1926" t="s">
        <v>22</v>
      </c>
      <c r="H1926" t="s">
        <v>28</v>
      </c>
      <c r="I1926" t="s">
        <v>24</v>
      </c>
      <c r="J1926">
        <v>41287.5</v>
      </c>
      <c r="K1926">
        <v>4500</v>
      </c>
      <c r="L1926" t="s">
        <v>25</v>
      </c>
      <c r="M1926" t="s">
        <v>26</v>
      </c>
      <c r="N1926" t="s">
        <v>27</v>
      </c>
      <c r="O1926" t="s">
        <v>35</v>
      </c>
      <c r="P1926" t="s">
        <v>26</v>
      </c>
      <c r="Q1926">
        <v>0</v>
      </c>
    </row>
    <row r="1927" spans="1:17" x14ac:dyDescent="0.25">
      <c r="A1927" t="s">
        <v>29</v>
      </c>
      <c r="B1927" t="s">
        <v>18</v>
      </c>
      <c r="C1927">
        <v>81000</v>
      </c>
      <c r="D1927" t="s">
        <v>46</v>
      </c>
      <c r="E1927" t="s">
        <v>20</v>
      </c>
      <c r="F1927" t="s">
        <v>54</v>
      </c>
      <c r="G1927" t="s">
        <v>22</v>
      </c>
      <c r="H1927" t="s">
        <v>28</v>
      </c>
      <c r="I1927" t="s">
        <v>24</v>
      </c>
      <c r="J1927">
        <v>42750</v>
      </c>
      <c r="K1927">
        <v>8550</v>
      </c>
      <c r="L1927" t="s">
        <v>51</v>
      </c>
      <c r="M1927" t="s">
        <v>26</v>
      </c>
      <c r="N1927" t="s">
        <v>27</v>
      </c>
      <c r="O1927" t="s">
        <v>35</v>
      </c>
      <c r="P1927" t="s">
        <v>26</v>
      </c>
      <c r="Q1927">
        <v>0</v>
      </c>
    </row>
    <row r="1928" spans="1:17" x14ac:dyDescent="0.25">
      <c r="A1928" t="s">
        <v>29</v>
      </c>
      <c r="B1928" t="s">
        <v>18</v>
      </c>
      <c r="C1928">
        <v>126000</v>
      </c>
      <c r="D1928" t="s">
        <v>46</v>
      </c>
      <c r="E1928" t="s">
        <v>20</v>
      </c>
      <c r="F1928" t="s">
        <v>32</v>
      </c>
      <c r="G1928" t="s">
        <v>22</v>
      </c>
      <c r="H1928" t="s">
        <v>28</v>
      </c>
      <c r="I1928" t="s">
        <v>24</v>
      </c>
      <c r="J1928">
        <v>100798.875</v>
      </c>
      <c r="K1928">
        <v>10083.375</v>
      </c>
      <c r="L1928" t="s">
        <v>38</v>
      </c>
      <c r="M1928" t="s">
        <v>26</v>
      </c>
      <c r="N1928" t="s">
        <v>27</v>
      </c>
      <c r="O1928" t="s">
        <v>35</v>
      </c>
      <c r="P1928" t="s">
        <v>26</v>
      </c>
      <c r="Q1928">
        <v>0</v>
      </c>
    </row>
    <row r="1929" spans="1:17" x14ac:dyDescent="0.25">
      <c r="A1929" t="s">
        <v>29</v>
      </c>
      <c r="B1929" t="s">
        <v>18</v>
      </c>
      <c r="C1929">
        <v>126000</v>
      </c>
      <c r="D1929" t="s">
        <v>46</v>
      </c>
      <c r="E1929" t="s">
        <v>20</v>
      </c>
      <c r="F1929" t="s">
        <v>32</v>
      </c>
      <c r="G1929" t="s">
        <v>22</v>
      </c>
      <c r="H1929" t="s">
        <v>28</v>
      </c>
      <c r="I1929" t="s">
        <v>24</v>
      </c>
      <c r="J1929">
        <v>58495.5</v>
      </c>
      <c r="K1929">
        <v>0</v>
      </c>
      <c r="L1929" t="s">
        <v>25</v>
      </c>
      <c r="M1929" t="s">
        <v>26</v>
      </c>
      <c r="N1929" t="s">
        <v>27</v>
      </c>
      <c r="O1929" t="s">
        <v>28</v>
      </c>
      <c r="P1929" t="s">
        <v>26</v>
      </c>
      <c r="Q1929">
        <v>0</v>
      </c>
    </row>
    <row r="1930" spans="1:17" x14ac:dyDescent="0.25">
      <c r="A1930" t="s">
        <v>29</v>
      </c>
      <c r="B1930" t="s">
        <v>18</v>
      </c>
      <c r="C1930">
        <v>126000</v>
      </c>
      <c r="D1930" t="s">
        <v>46</v>
      </c>
      <c r="E1930" t="s">
        <v>20</v>
      </c>
      <c r="F1930" t="s">
        <v>32</v>
      </c>
      <c r="G1930" t="s">
        <v>22</v>
      </c>
      <c r="H1930" t="s">
        <v>28</v>
      </c>
      <c r="I1930" t="s">
        <v>24</v>
      </c>
      <c r="J1930">
        <v>81031.005000000005</v>
      </c>
      <c r="K1930">
        <v>8104.0050000000001</v>
      </c>
      <c r="L1930" t="s">
        <v>43</v>
      </c>
      <c r="M1930" t="s">
        <v>26</v>
      </c>
      <c r="N1930" t="s">
        <v>27</v>
      </c>
      <c r="O1930" t="s">
        <v>35</v>
      </c>
      <c r="P1930" t="s">
        <v>26</v>
      </c>
      <c r="Q1930">
        <v>0</v>
      </c>
    </row>
    <row r="1931" spans="1:17" x14ac:dyDescent="0.25">
      <c r="A1931" t="s">
        <v>17</v>
      </c>
      <c r="B1931" t="s">
        <v>36</v>
      </c>
      <c r="C1931">
        <v>225000</v>
      </c>
      <c r="D1931" t="s">
        <v>19</v>
      </c>
      <c r="E1931" t="s">
        <v>20</v>
      </c>
      <c r="F1931" t="s">
        <v>39</v>
      </c>
      <c r="G1931" t="s">
        <v>22</v>
      </c>
      <c r="H1931" t="s">
        <v>49</v>
      </c>
      <c r="I1931" t="s">
        <v>24</v>
      </c>
      <c r="J1931">
        <v>34628.400000000001</v>
      </c>
      <c r="K1931">
        <v>17100.900000000001</v>
      </c>
      <c r="L1931" t="s">
        <v>25</v>
      </c>
      <c r="M1931" t="s">
        <v>26</v>
      </c>
      <c r="N1931" t="s">
        <v>27</v>
      </c>
      <c r="O1931" t="s">
        <v>35</v>
      </c>
      <c r="P1931" t="s">
        <v>26</v>
      </c>
      <c r="Q1931">
        <v>0</v>
      </c>
    </row>
    <row r="1932" spans="1:17" x14ac:dyDescent="0.25">
      <c r="A1932" t="s">
        <v>17</v>
      </c>
      <c r="B1932" t="s">
        <v>36</v>
      </c>
      <c r="C1932">
        <v>225000</v>
      </c>
      <c r="D1932" t="s">
        <v>19</v>
      </c>
      <c r="E1932" t="s">
        <v>20</v>
      </c>
      <c r="F1932" t="s">
        <v>39</v>
      </c>
      <c r="G1932" t="s">
        <v>22</v>
      </c>
      <c r="H1932" t="s">
        <v>49</v>
      </c>
      <c r="I1932" t="s">
        <v>24</v>
      </c>
      <c r="J1932">
        <v>42745.5</v>
      </c>
      <c r="K1932">
        <v>0</v>
      </c>
      <c r="L1932" t="s">
        <v>25</v>
      </c>
      <c r="M1932" t="s">
        <v>26</v>
      </c>
      <c r="N1932" t="s">
        <v>27</v>
      </c>
      <c r="O1932" t="s">
        <v>35</v>
      </c>
      <c r="P1932" t="s">
        <v>26</v>
      </c>
      <c r="Q1932">
        <v>0</v>
      </c>
    </row>
    <row r="1933" spans="1:17" x14ac:dyDescent="0.25">
      <c r="A1933" t="s">
        <v>29</v>
      </c>
      <c r="B1933" t="s">
        <v>18</v>
      </c>
      <c r="C1933">
        <v>112500</v>
      </c>
      <c r="D1933" t="s">
        <v>44</v>
      </c>
      <c r="E1933" t="s">
        <v>20</v>
      </c>
      <c r="F1933" t="s">
        <v>39</v>
      </c>
      <c r="G1933" t="s">
        <v>62</v>
      </c>
      <c r="H1933" t="s">
        <v>71</v>
      </c>
      <c r="I1933" t="s">
        <v>24</v>
      </c>
      <c r="J1933">
        <v>91125</v>
      </c>
      <c r="K1933">
        <v>9112.5</v>
      </c>
      <c r="L1933" t="s">
        <v>43</v>
      </c>
      <c r="M1933" t="s">
        <v>26</v>
      </c>
      <c r="N1933" t="s">
        <v>27</v>
      </c>
      <c r="O1933" t="s">
        <v>35</v>
      </c>
      <c r="P1933" t="s">
        <v>26</v>
      </c>
      <c r="Q1933">
        <v>0</v>
      </c>
    </row>
    <row r="1934" spans="1:17" x14ac:dyDescent="0.25">
      <c r="A1934" t="s">
        <v>17</v>
      </c>
      <c r="B1934" t="s">
        <v>36</v>
      </c>
      <c r="C1934">
        <v>189000</v>
      </c>
      <c r="D1934" t="s">
        <v>44</v>
      </c>
      <c r="E1934" t="s">
        <v>20</v>
      </c>
      <c r="F1934" t="s">
        <v>32</v>
      </c>
      <c r="G1934" t="s">
        <v>22</v>
      </c>
      <c r="H1934" t="s">
        <v>23</v>
      </c>
      <c r="I1934" t="s">
        <v>24</v>
      </c>
      <c r="J1934">
        <v>152662.23000000001</v>
      </c>
      <c r="K1934">
        <v>15754.23</v>
      </c>
      <c r="L1934" t="s">
        <v>42</v>
      </c>
      <c r="M1934" t="s">
        <v>26</v>
      </c>
      <c r="N1934" t="s">
        <v>27</v>
      </c>
      <c r="O1934" t="s">
        <v>35</v>
      </c>
      <c r="P1934" t="s">
        <v>26</v>
      </c>
      <c r="Q1934">
        <v>0</v>
      </c>
    </row>
    <row r="1935" spans="1:17" x14ac:dyDescent="0.25">
      <c r="A1935" t="s">
        <v>29</v>
      </c>
      <c r="B1935" t="s">
        <v>18</v>
      </c>
      <c r="C1935">
        <v>90000</v>
      </c>
      <c r="D1935" t="s">
        <v>46</v>
      </c>
      <c r="E1935" t="s">
        <v>20</v>
      </c>
      <c r="F1935" t="s">
        <v>69</v>
      </c>
      <c r="G1935" t="s">
        <v>22</v>
      </c>
      <c r="H1935" t="s">
        <v>28</v>
      </c>
      <c r="I1935" t="s">
        <v>24</v>
      </c>
      <c r="J1935">
        <v>36900</v>
      </c>
      <c r="K1935">
        <v>0</v>
      </c>
      <c r="L1935" t="s">
        <v>43</v>
      </c>
      <c r="M1935" t="s">
        <v>26</v>
      </c>
      <c r="N1935" t="s">
        <v>27</v>
      </c>
      <c r="O1935" t="s">
        <v>35</v>
      </c>
      <c r="P1935" t="s">
        <v>26</v>
      </c>
      <c r="Q1935">
        <v>0</v>
      </c>
    </row>
    <row r="1936" spans="1:17" x14ac:dyDescent="0.25">
      <c r="A1936" t="s">
        <v>29</v>
      </c>
      <c r="B1936" t="s">
        <v>18</v>
      </c>
      <c r="C1936">
        <v>90000</v>
      </c>
      <c r="D1936" t="s">
        <v>46</v>
      </c>
      <c r="E1936" t="s">
        <v>20</v>
      </c>
      <c r="F1936" t="s">
        <v>69</v>
      </c>
      <c r="G1936" t="s">
        <v>22</v>
      </c>
      <c r="H1936" t="s">
        <v>28</v>
      </c>
      <c r="I1936" t="s">
        <v>24</v>
      </c>
      <c r="J1936">
        <v>14355</v>
      </c>
      <c r="K1936">
        <v>0</v>
      </c>
      <c r="L1936" t="s">
        <v>43</v>
      </c>
      <c r="M1936" t="s">
        <v>26</v>
      </c>
      <c r="N1936" t="s">
        <v>27</v>
      </c>
      <c r="O1936" t="s">
        <v>35</v>
      </c>
      <c r="P1936" t="s">
        <v>26</v>
      </c>
      <c r="Q1936">
        <v>0</v>
      </c>
    </row>
    <row r="1937" spans="1:17" x14ac:dyDescent="0.25">
      <c r="A1937" t="s">
        <v>29</v>
      </c>
      <c r="B1937" t="s">
        <v>18</v>
      </c>
      <c r="C1937">
        <v>90000</v>
      </c>
      <c r="D1937" t="s">
        <v>46</v>
      </c>
      <c r="E1937" t="s">
        <v>20</v>
      </c>
      <c r="F1937" t="s">
        <v>69</v>
      </c>
      <c r="G1937" t="s">
        <v>22</v>
      </c>
      <c r="H1937" t="s">
        <v>28</v>
      </c>
      <c r="I1937" t="s">
        <v>24</v>
      </c>
      <c r="J1937">
        <v>72000</v>
      </c>
      <c r="K1937">
        <v>7200</v>
      </c>
      <c r="L1937" t="s">
        <v>38</v>
      </c>
      <c r="M1937" t="s">
        <v>26</v>
      </c>
      <c r="N1937" t="s">
        <v>27</v>
      </c>
      <c r="O1937" t="s">
        <v>35</v>
      </c>
      <c r="P1937" t="s">
        <v>26</v>
      </c>
      <c r="Q1937">
        <v>0</v>
      </c>
    </row>
    <row r="1938" spans="1:17" x14ac:dyDescent="0.25">
      <c r="A1938" t="s">
        <v>29</v>
      </c>
      <c r="B1938" t="s">
        <v>18</v>
      </c>
      <c r="C1938">
        <v>193500</v>
      </c>
      <c r="D1938" t="s">
        <v>46</v>
      </c>
      <c r="E1938" t="s">
        <v>20</v>
      </c>
      <c r="F1938" t="s">
        <v>39</v>
      </c>
      <c r="G1938" t="s">
        <v>22</v>
      </c>
      <c r="H1938" t="s">
        <v>28</v>
      </c>
      <c r="I1938" t="s">
        <v>24</v>
      </c>
      <c r="J1938">
        <v>71955</v>
      </c>
      <c r="K1938">
        <v>7195.5</v>
      </c>
      <c r="L1938" t="s">
        <v>51</v>
      </c>
      <c r="M1938" t="s">
        <v>26</v>
      </c>
      <c r="N1938" t="s">
        <v>27</v>
      </c>
      <c r="O1938" t="s">
        <v>35</v>
      </c>
      <c r="P1938" t="s">
        <v>26</v>
      </c>
      <c r="Q1938">
        <v>0</v>
      </c>
    </row>
    <row r="1939" spans="1:17" x14ac:dyDescent="0.25">
      <c r="A1939" t="s">
        <v>29</v>
      </c>
      <c r="B1939" t="s">
        <v>18</v>
      </c>
      <c r="C1939">
        <v>90000</v>
      </c>
      <c r="D1939" t="s">
        <v>19</v>
      </c>
      <c r="E1939" t="s">
        <v>20</v>
      </c>
      <c r="F1939" t="s">
        <v>32</v>
      </c>
      <c r="G1939" t="s">
        <v>22</v>
      </c>
      <c r="H1939" t="s">
        <v>23</v>
      </c>
      <c r="I1939" t="s">
        <v>24</v>
      </c>
      <c r="J1939">
        <v>130837.5</v>
      </c>
      <c r="K1939">
        <v>0</v>
      </c>
      <c r="L1939" t="s">
        <v>45</v>
      </c>
      <c r="M1939" t="s">
        <v>26</v>
      </c>
      <c r="N1939" t="s">
        <v>27</v>
      </c>
      <c r="O1939" t="s">
        <v>35</v>
      </c>
      <c r="P1939" t="s">
        <v>26</v>
      </c>
      <c r="Q1939">
        <v>0</v>
      </c>
    </row>
    <row r="1940" spans="1:17" x14ac:dyDescent="0.25">
      <c r="A1940" t="s">
        <v>29</v>
      </c>
      <c r="B1940" t="s">
        <v>18</v>
      </c>
      <c r="C1940">
        <v>180000</v>
      </c>
      <c r="D1940" t="s">
        <v>19</v>
      </c>
      <c r="E1940" t="s">
        <v>20</v>
      </c>
      <c r="F1940" t="s">
        <v>32</v>
      </c>
      <c r="G1940" t="s">
        <v>22</v>
      </c>
      <c r="H1940" t="s">
        <v>23</v>
      </c>
      <c r="I1940" t="s">
        <v>24</v>
      </c>
      <c r="J1940">
        <v>27333</v>
      </c>
      <c r="K1940">
        <v>4500</v>
      </c>
      <c r="L1940" t="s">
        <v>25</v>
      </c>
      <c r="M1940" t="s">
        <v>26</v>
      </c>
      <c r="N1940" t="s">
        <v>27</v>
      </c>
      <c r="O1940" t="s">
        <v>35</v>
      </c>
      <c r="P1940" t="s">
        <v>26</v>
      </c>
      <c r="Q1940">
        <v>0</v>
      </c>
    </row>
    <row r="1941" spans="1:17" x14ac:dyDescent="0.25">
      <c r="A1941" t="s">
        <v>29</v>
      </c>
      <c r="B1941" t="s">
        <v>36</v>
      </c>
      <c r="C1941">
        <v>315000</v>
      </c>
      <c r="D1941" t="s">
        <v>19</v>
      </c>
      <c r="E1941" t="s">
        <v>31</v>
      </c>
      <c r="F1941" t="s">
        <v>69</v>
      </c>
      <c r="G1941" t="s">
        <v>22</v>
      </c>
      <c r="H1941" t="s">
        <v>23</v>
      </c>
      <c r="I1941" t="s">
        <v>24</v>
      </c>
      <c r="J1941">
        <v>64759.5</v>
      </c>
      <c r="K1941">
        <v>19431</v>
      </c>
      <c r="L1941" t="s">
        <v>34</v>
      </c>
      <c r="M1941" t="s">
        <v>26</v>
      </c>
      <c r="N1941" t="s">
        <v>27</v>
      </c>
      <c r="O1941" t="s">
        <v>35</v>
      </c>
      <c r="P1941" t="s">
        <v>26</v>
      </c>
      <c r="Q1941">
        <v>0</v>
      </c>
    </row>
    <row r="1942" spans="1:17" x14ac:dyDescent="0.25">
      <c r="A1942" t="s">
        <v>29</v>
      </c>
      <c r="B1942" t="s">
        <v>36</v>
      </c>
      <c r="C1942">
        <v>315000</v>
      </c>
      <c r="D1942" t="s">
        <v>19</v>
      </c>
      <c r="E1942" t="s">
        <v>31</v>
      </c>
      <c r="F1942" t="s">
        <v>69</v>
      </c>
      <c r="G1942" t="s">
        <v>22</v>
      </c>
      <c r="H1942" t="s">
        <v>23</v>
      </c>
      <c r="I1942" t="s">
        <v>24</v>
      </c>
      <c r="J1942">
        <v>79087.5</v>
      </c>
      <c r="K1942">
        <v>23728.5</v>
      </c>
      <c r="L1942" t="s">
        <v>45</v>
      </c>
      <c r="M1942" t="s">
        <v>26</v>
      </c>
      <c r="N1942" t="s">
        <v>27</v>
      </c>
      <c r="O1942" t="s">
        <v>35</v>
      </c>
      <c r="P1942" t="s">
        <v>26</v>
      </c>
      <c r="Q1942">
        <v>0</v>
      </c>
    </row>
    <row r="1943" spans="1:17" x14ac:dyDescent="0.25">
      <c r="A1943" t="s">
        <v>29</v>
      </c>
      <c r="B1943" t="s">
        <v>18</v>
      </c>
      <c r="C1943">
        <v>112500</v>
      </c>
      <c r="D1943" t="s">
        <v>19</v>
      </c>
      <c r="E1943" t="s">
        <v>20</v>
      </c>
      <c r="F1943" t="s">
        <v>21</v>
      </c>
      <c r="G1943" t="s">
        <v>22</v>
      </c>
      <c r="H1943" t="s">
        <v>78</v>
      </c>
      <c r="I1943" t="s">
        <v>24</v>
      </c>
      <c r="J1943">
        <v>131845.5</v>
      </c>
      <c r="K1943">
        <v>0</v>
      </c>
      <c r="L1943" t="s">
        <v>51</v>
      </c>
      <c r="M1943" t="s">
        <v>26</v>
      </c>
      <c r="N1943" t="s">
        <v>27</v>
      </c>
      <c r="O1943" t="s">
        <v>35</v>
      </c>
      <c r="P1943" t="s">
        <v>26</v>
      </c>
      <c r="Q1943">
        <v>0</v>
      </c>
    </row>
    <row r="1944" spans="1:17" x14ac:dyDescent="0.25">
      <c r="A1944" t="s">
        <v>29</v>
      </c>
      <c r="B1944" t="s">
        <v>18</v>
      </c>
      <c r="C1944">
        <v>112500</v>
      </c>
      <c r="D1944" t="s">
        <v>19</v>
      </c>
      <c r="E1944" t="s">
        <v>20</v>
      </c>
      <c r="F1944" t="s">
        <v>21</v>
      </c>
      <c r="G1944" t="s">
        <v>22</v>
      </c>
      <c r="H1944" t="s">
        <v>78</v>
      </c>
      <c r="I1944" t="s">
        <v>24</v>
      </c>
      <c r="J1944">
        <v>66446.955000000002</v>
      </c>
      <c r="K1944">
        <v>0</v>
      </c>
      <c r="L1944" t="s">
        <v>43</v>
      </c>
      <c r="M1944" t="s">
        <v>26</v>
      </c>
      <c r="N1944" t="s">
        <v>27</v>
      </c>
      <c r="O1944" t="s">
        <v>35</v>
      </c>
      <c r="P1944" t="s">
        <v>26</v>
      </c>
      <c r="Q1944">
        <v>0</v>
      </c>
    </row>
    <row r="1945" spans="1:17" x14ac:dyDescent="0.25">
      <c r="A1945" t="s">
        <v>29</v>
      </c>
      <c r="B1945" t="s">
        <v>18</v>
      </c>
      <c r="C1945">
        <v>234823.5</v>
      </c>
      <c r="D1945" t="s">
        <v>19</v>
      </c>
      <c r="E1945" t="s">
        <v>31</v>
      </c>
      <c r="F1945" t="s">
        <v>32</v>
      </c>
      <c r="G1945" t="s">
        <v>22</v>
      </c>
      <c r="H1945" t="s">
        <v>55</v>
      </c>
      <c r="I1945" t="s">
        <v>24</v>
      </c>
      <c r="J1945">
        <v>91885.365000000005</v>
      </c>
      <c r="K1945">
        <v>9188.8649999999998</v>
      </c>
      <c r="L1945" t="s">
        <v>45</v>
      </c>
      <c r="M1945" t="s">
        <v>26</v>
      </c>
      <c r="N1945" t="s">
        <v>27</v>
      </c>
      <c r="O1945" t="s">
        <v>35</v>
      </c>
      <c r="P1945" t="s">
        <v>26</v>
      </c>
      <c r="Q1945">
        <v>0</v>
      </c>
    </row>
    <row r="1946" spans="1:17" x14ac:dyDescent="0.25">
      <c r="A1946" t="s">
        <v>29</v>
      </c>
      <c r="B1946" t="s">
        <v>18</v>
      </c>
      <c r="C1946">
        <v>234823.5</v>
      </c>
      <c r="D1946" t="s">
        <v>19</v>
      </c>
      <c r="E1946" t="s">
        <v>31</v>
      </c>
      <c r="F1946" t="s">
        <v>32</v>
      </c>
      <c r="G1946" t="s">
        <v>22</v>
      </c>
      <c r="H1946" t="s">
        <v>55</v>
      </c>
      <c r="I1946" t="s">
        <v>24</v>
      </c>
      <c r="J1946">
        <v>29970</v>
      </c>
      <c r="K1946">
        <v>3015</v>
      </c>
      <c r="L1946" t="s">
        <v>51</v>
      </c>
      <c r="M1946" t="s">
        <v>26</v>
      </c>
      <c r="N1946" t="s">
        <v>27</v>
      </c>
      <c r="O1946" t="s">
        <v>28</v>
      </c>
      <c r="P1946" t="s">
        <v>26</v>
      </c>
      <c r="Q1946">
        <v>0</v>
      </c>
    </row>
    <row r="1947" spans="1:17" x14ac:dyDescent="0.25">
      <c r="A1947" t="s">
        <v>29</v>
      </c>
      <c r="B1947" t="s">
        <v>18</v>
      </c>
      <c r="C1947">
        <v>67500</v>
      </c>
      <c r="D1947" t="s">
        <v>19</v>
      </c>
      <c r="E1947" t="s">
        <v>20</v>
      </c>
      <c r="F1947" t="s">
        <v>32</v>
      </c>
      <c r="G1947" t="s">
        <v>22</v>
      </c>
      <c r="H1947" t="s">
        <v>56</v>
      </c>
      <c r="I1947" t="s">
        <v>24</v>
      </c>
      <c r="J1947">
        <v>23184</v>
      </c>
      <c r="K1947">
        <v>2322</v>
      </c>
      <c r="L1947" t="s">
        <v>25</v>
      </c>
      <c r="M1947" t="s">
        <v>26</v>
      </c>
      <c r="N1947" t="s">
        <v>27</v>
      </c>
      <c r="O1947" t="s">
        <v>28</v>
      </c>
      <c r="P1947" t="s">
        <v>26</v>
      </c>
      <c r="Q1947">
        <v>0</v>
      </c>
    </row>
    <row r="1948" spans="1:17" x14ac:dyDescent="0.25">
      <c r="A1948" t="s">
        <v>29</v>
      </c>
      <c r="B1948" t="s">
        <v>18</v>
      </c>
      <c r="C1948">
        <v>112500</v>
      </c>
      <c r="D1948" t="s">
        <v>19</v>
      </c>
      <c r="E1948" t="s">
        <v>31</v>
      </c>
      <c r="F1948" t="s">
        <v>32</v>
      </c>
      <c r="G1948" t="s">
        <v>22</v>
      </c>
      <c r="H1948" t="s">
        <v>65</v>
      </c>
      <c r="I1948" t="s">
        <v>24</v>
      </c>
      <c r="J1948">
        <v>55710</v>
      </c>
      <c r="K1948">
        <v>0</v>
      </c>
      <c r="L1948" t="s">
        <v>38</v>
      </c>
      <c r="M1948" t="s">
        <v>26</v>
      </c>
      <c r="N1948" t="s">
        <v>27</v>
      </c>
      <c r="O1948" t="s">
        <v>35</v>
      </c>
      <c r="P1948" t="s">
        <v>26</v>
      </c>
      <c r="Q1948">
        <v>0</v>
      </c>
    </row>
    <row r="1949" spans="1:17" x14ac:dyDescent="0.25">
      <c r="A1949" t="s">
        <v>29</v>
      </c>
      <c r="B1949" t="s">
        <v>18</v>
      </c>
      <c r="C1949">
        <v>112500</v>
      </c>
      <c r="D1949" t="s">
        <v>19</v>
      </c>
      <c r="E1949" t="s">
        <v>31</v>
      </c>
      <c r="F1949" t="s">
        <v>32</v>
      </c>
      <c r="G1949" t="s">
        <v>22</v>
      </c>
      <c r="H1949" t="s">
        <v>65</v>
      </c>
      <c r="I1949" t="s">
        <v>24</v>
      </c>
      <c r="J1949">
        <v>216418.5</v>
      </c>
      <c r="K1949">
        <v>0</v>
      </c>
      <c r="L1949" t="s">
        <v>38</v>
      </c>
      <c r="M1949" t="s">
        <v>26</v>
      </c>
      <c r="N1949" t="s">
        <v>27</v>
      </c>
      <c r="O1949" t="s">
        <v>35</v>
      </c>
      <c r="P1949" t="s">
        <v>26</v>
      </c>
      <c r="Q1949">
        <v>0</v>
      </c>
    </row>
    <row r="1950" spans="1:17" x14ac:dyDescent="0.25">
      <c r="A1950" t="s">
        <v>29</v>
      </c>
      <c r="B1950" t="s">
        <v>18</v>
      </c>
      <c r="C1950">
        <v>112500</v>
      </c>
      <c r="D1950" t="s">
        <v>19</v>
      </c>
      <c r="E1950" t="s">
        <v>31</v>
      </c>
      <c r="F1950" t="s">
        <v>32</v>
      </c>
      <c r="G1950" t="s">
        <v>22</v>
      </c>
      <c r="H1950" t="s">
        <v>65</v>
      </c>
      <c r="I1950" t="s">
        <v>24</v>
      </c>
      <c r="J1950">
        <v>33331.5</v>
      </c>
      <c r="K1950">
        <v>3334.5</v>
      </c>
      <c r="L1950" t="s">
        <v>45</v>
      </c>
      <c r="M1950" t="s">
        <v>26</v>
      </c>
      <c r="N1950" t="s">
        <v>27</v>
      </c>
      <c r="O1950" t="s">
        <v>35</v>
      </c>
      <c r="P1950" t="s">
        <v>26</v>
      </c>
      <c r="Q1950">
        <v>0</v>
      </c>
    </row>
    <row r="1951" spans="1:17" x14ac:dyDescent="0.25">
      <c r="A1951" t="s">
        <v>29</v>
      </c>
      <c r="B1951" t="s">
        <v>18</v>
      </c>
      <c r="C1951">
        <v>112500</v>
      </c>
      <c r="D1951" t="s">
        <v>19</v>
      </c>
      <c r="E1951" t="s">
        <v>31</v>
      </c>
      <c r="F1951" t="s">
        <v>32</v>
      </c>
      <c r="G1951" t="s">
        <v>22</v>
      </c>
      <c r="H1951" t="s">
        <v>65</v>
      </c>
      <c r="I1951" t="s">
        <v>24</v>
      </c>
      <c r="J1951">
        <v>224721</v>
      </c>
      <c r="K1951">
        <v>0</v>
      </c>
      <c r="L1951" t="s">
        <v>51</v>
      </c>
      <c r="M1951" t="s">
        <v>26</v>
      </c>
      <c r="N1951" t="s">
        <v>27</v>
      </c>
      <c r="O1951" t="s">
        <v>35</v>
      </c>
      <c r="P1951" t="s">
        <v>26</v>
      </c>
      <c r="Q1951">
        <v>0</v>
      </c>
    </row>
    <row r="1952" spans="1:17" x14ac:dyDescent="0.25">
      <c r="A1952" t="s">
        <v>29</v>
      </c>
      <c r="B1952" t="s">
        <v>18</v>
      </c>
      <c r="C1952">
        <v>112500</v>
      </c>
      <c r="D1952" t="s">
        <v>19</v>
      </c>
      <c r="E1952" t="s">
        <v>31</v>
      </c>
      <c r="F1952" t="s">
        <v>32</v>
      </c>
      <c r="G1952" t="s">
        <v>22</v>
      </c>
      <c r="H1952" t="s">
        <v>65</v>
      </c>
      <c r="I1952" t="s">
        <v>24</v>
      </c>
      <c r="J1952">
        <v>42705</v>
      </c>
      <c r="K1952">
        <v>18000</v>
      </c>
      <c r="L1952" t="s">
        <v>25</v>
      </c>
      <c r="M1952" t="s">
        <v>26</v>
      </c>
      <c r="N1952" t="s">
        <v>27</v>
      </c>
      <c r="O1952" t="s">
        <v>35</v>
      </c>
      <c r="P1952" t="s">
        <v>26</v>
      </c>
      <c r="Q1952">
        <v>0</v>
      </c>
    </row>
    <row r="1953" spans="1:17" x14ac:dyDescent="0.25">
      <c r="A1953" t="s">
        <v>17</v>
      </c>
      <c r="B1953" t="s">
        <v>36</v>
      </c>
      <c r="C1953">
        <v>225000</v>
      </c>
      <c r="D1953" t="s">
        <v>19</v>
      </c>
      <c r="E1953" t="s">
        <v>20</v>
      </c>
      <c r="F1953" t="s">
        <v>32</v>
      </c>
      <c r="G1953" t="s">
        <v>22</v>
      </c>
      <c r="H1953" t="s">
        <v>114</v>
      </c>
      <c r="I1953" t="s">
        <v>24</v>
      </c>
      <c r="J1953">
        <v>224955</v>
      </c>
      <c r="K1953">
        <v>0</v>
      </c>
      <c r="L1953" t="s">
        <v>51</v>
      </c>
      <c r="M1953" t="s">
        <v>26</v>
      </c>
      <c r="N1953" t="s">
        <v>27</v>
      </c>
      <c r="O1953" t="s">
        <v>35</v>
      </c>
      <c r="P1953" t="s">
        <v>26</v>
      </c>
      <c r="Q1953">
        <v>0</v>
      </c>
    </row>
    <row r="1954" spans="1:17" x14ac:dyDescent="0.25">
      <c r="A1954" t="s">
        <v>17</v>
      </c>
      <c r="B1954" t="s">
        <v>36</v>
      </c>
      <c r="C1954">
        <v>157500</v>
      </c>
      <c r="D1954" t="s">
        <v>19</v>
      </c>
      <c r="E1954" t="s">
        <v>20</v>
      </c>
      <c r="F1954" t="s">
        <v>32</v>
      </c>
      <c r="G1954" t="s">
        <v>22</v>
      </c>
      <c r="H1954" t="s">
        <v>23</v>
      </c>
      <c r="I1954" t="s">
        <v>24</v>
      </c>
      <c r="J1954">
        <v>36562.5</v>
      </c>
      <c r="K1954">
        <v>0</v>
      </c>
      <c r="L1954" t="s">
        <v>42</v>
      </c>
      <c r="M1954" t="s">
        <v>26</v>
      </c>
      <c r="N1954" t="s">
        <v>27</v>
      </c>
      <c r="O1954" t="s">
        <v>35</v>
      </c>
      <c r="P1954" t="s">
        <v>26</v>
      </c>
      <c r="Q1954">
        <v>0</v>
      </c>
    </row>
    <row r="1955" spans="1:17" x14ac:dyDescent="0.25">
      <c r="A1955" t="s">
        <v>17</v>
      </c>
      <c r="B1955" t="s">
        <v>36</v>
      </c>
      <c r="C1955">
        <v>157500</v>
      </c>
      <c r="D1955" t="s">
        <v>19</v>
      </c>
      <c r="E1955" t="s">
        <v>20</v>
      </c>
      <c r="F1955" t="s">
        <v>32</v>
      </c>
      <c r="G1955" t="s">
        <v>22</v>
      </c>
      <c r="H1955" t="s">
        <v>23</v>
      </c>
      <c r="I1955" t="s">
        <v>24</v>
      </c>
      <c r="J1955">
        <v>26955</v>
      </c>
      <c r="K1955">
        <v>0</v>
      </c>
      <c r="L1955" t="s">
        <v>34</v>
      </c>
      <c r="M1955" t="s">
        <v>26</v>
      </c>
      <c r="N1955" t="s">
        <v>27</v>
      </c>
      <c r="O1955" t="s">
        <v>28</v>
      </c>
      <c r="P1955" t="s">
        <v>26</v>
      </c>
      <c r="Q1955">
        <v>0</v>
      </c>
    </row>
    <row r="1956" spans="1:17" x14ac:dyDescent="0.25">
      <c r="A1956" t="s">
        <v>17</v>
      </c>
      <c r="B1956" t="s">
        <v>36</v>
      </c>
      <c r="C1956">
        <v>112500</v>
      </c>
      <c r="D1956" t="s">
        <v>19</v>
      </c>
      <c r="E1956" t="s">
        <v>20</v>
      </c>
      <c r="F1956" t="s">
        <v>32</v>
      </c>
      <c r="G1956" t="s">
        <v>22</v>
      </c>
      <c r="H1956" t="s">
        <v>49</v>
      </c>
      <c r="I1956" t="s">
        <v>24</v>
      </c>
      <c r="J1956">
        <v>193322.25</v>
      </c>
      <c r="K1956">
        <v>2.25</v>
      </c>
      <c r="L1956" t="s">
        <v>34</v>
      </c>
      <c r="M1956" t="s">
        <v>26</v>
      </c>
      <c r="N1956" t="s">
        <v>27</v>
      </c>
      <c r="O1956" t="s">
        <v>35</v>
      </c>
      <c r="P1956" t="s">
        <v>26</v>
      </c>
      <c r="Q1956">
        <v>0</v>
      </c>
    </row>
    <row r="1957" spans="1:17" x14ac:dyDescent="0.25">
      <c r="A1957" t="s">
        <v>17</v>
      </c>
      <c r="B1957" t="s">
        <v>36</v>
      </c>
      <c r="C1957">
        <v>225000</v>
      </c>
      <c r="D1957" t="s">
        <v>44</v>
      </c>
      <c r="E1957" t="s">
        <v>70</v>
      </c>
      <c r="F1957" t="s">
        <v>32</v>
      </c>
      <c r="G1957" t="s">
        <v>22</v>
      </c>
      <c r="H1957" t="s">
        <v>23</v>
      </c>
      <c r="I1957" t="s">
        <v>24</v>
      </c>
      <c r="J1957">
        <v>22849.02</v>
      </c>
      <c r="K1957">
        <v>2288.52</v>
      </c>
      <c r="L1957" t="s">
        <v>43</v>
      </c>
      <c r="M1957" t="s">
        <v>26</v>
      </c>
      <c r="N1957" t="s">
        <v>27</v>
      </c>
      <c r="O1957" t="s">
        <v>35</v>
      </c>
      <c r="P1957" t="s">
        <v>26</v>
      </c>
      <c r="Q1957">
        <v>0</v>
      </c>
    </row>
    <row r="1958" spans="1:17" x14ac:dyDescent="0.25">
      <c r="A1958" t="s">
        <v>17</v>
      </c>
      <c r="B1958" t="s">
        <v>36</v>
      </c>
      <c r="C1958">
        <v>180000</v>
      </c>
      <c r="D1958" t="s">
        <v>19</v>
      </c>
      <c r="E1958" t="s">
        <v>20</v>
      </c>
      <c r="F1958" t="s">
        <v>32</v>
      </c>
      <c r="G1958" t="s">
        <v>22</v>
      </c>
      <c r="H1958" t="s">
        <v>49</v>
      </c>
      <c r="I1958" t="s">
        <v>24</v>
      </c>
      <c r="J1958">
        <v>48055.5</v>
      </c>
      <c r="K1958">
        <v>0</v>
      </c>
      <c r="L1958" t="s">
        <v>42</v>
      </c>
      <c r="M1958" t="s">
        <v>26</v>
      </c>
      <c r="N1958" t="s">
        <v>27</v>
      </c>
      <c r="O1958" t="s">
        <v>35</v>
      </c>
      <c r="P1958" t="s">
        <v>26</v>
      </c>
      <c r="Q1958">
        <v>0</v>
      </c>
    </row>
    <row r="1959" spans="1:17" x14ac:dyDescent="0.25">
      <c r="A1959" t="s">
        <v>29</v>
      </c>
      <c r="B1959" t="s">
        <v>18</v>
      </c>
      <c r="C1959">
        <v>166500</v>
      </c>
      <c r="D1959" t="s">
        <v>46</v>
      </c>
      <c r="E1959" t="s">
        <v>20</v>
      </c>
      <c r="F1959" t="s">
        <v>54</v>
      </c>
      <c r="G1959" t="s">
        <v>22</v>
      </c>
      <c r="H1959" t="s">
        <v>28</v>
      </c>
      <c r="I1959" t="s">
        <v>24</v>
      </c>
      <c r="J1959">
        <v>19075.5</v>
      </c>
      <c r="K1959">
        <v>5575.5</v>
      </c>
      <c r="L1959" t="s">
        <v>38</v>
      </c>
      <c r="M1959" t="s">
        <v>26</v>
      </c>
      <c r="N1959" t="s">
        <v>27</v>
      </c>
      <c r="O1959" t="s">
        <v>35</v>
      </c>
      <c r="P1959" t="s">
        <v>26</v>
      </c>
      <c r="Q1959">
        <v>0</v>
      </c>
    </row>
    <row r="1960" spans="1:17" x14ac:dyDescent="0.25">
      <c r="A1960" t="s">
        <v>29</v>
      </c>
      <c r="B1960" t="s">
        <v>18</v>
      </c>
      <c r="C1960">
        <v>166500</v>
      </c>
      <c r="D1960" t="s">
        <v>46</v>
      </c>
      <c r="E1960" t="s">
        <v>20</v>
      </c>
      <c r="F1960" t="s">
        <v>54</v>
      </c>
      <c r="G1960" t="s">
        <v>22</v>
      </c>
      <c r="H1960" t="s">
        <v>28</v>
      </c>
      <c r="I1960" t="s">
        <v>24</v>
      </c>
      <c r="J1960">
        <v>15660</v>
      </c>
      <c r="K1960">
        <v>4698</v>
      </c>
      <c r="L1960" t="s">
        <v>42</v>
      </c>
      <c r="M1960" t="s">
        <v>26</v>
      </c>
      <c r="N1960" t="s">
        <v>27</v>
      </c>
      <c r="O1960" t="s">
        <v>35</v>
      </c>
      <c r="P1960" t="s">
        <v>26</v>
      </c>
      <c r="Q1960">
        <v>0</v>
      </c>
    </row>
    <row r="1961" spans="1:17" x14ac:dyDescent="0.25">
      <c r="A1961" t="s">
        <v>17</v>
      </c>
      <c r="B1961" t="s">
        <v>36</v>
      </c>
      <c r="C1961">
        <v>166500</v>
      </c>
      <c r="D1961" t="s">
        <v>46</v>
      </c>
      <c r="E1961" t="s">
        <v>31</v>
      </c>
      <c r="F1961" t="s">
        <v>32</v>
      </c>
      <c r="G1961" t="s">
        <v>22</v>
      </c>
      <c r="H1961" t="s">
        <v>28</v>
      </c>
      <c r="I1961" t="s">
        <v>24</v>
      </c>
      <c r="J1961">
        <v>29232</v>
      </c>
      <c r="K1961">
        <v>0</v>
      </c>
      <c r="L1961" t="s">
        <v>25</v>
      </c>
      <c r="M1961" t="s">
        <v>26</v>
      </c>
      <c r="N1961" t="s">
        <v>76</v>
      </c>
      <c r="O1961" t="s">
        <v>35</v>
      </c>
      <c r="P1961" t="s">
        <v>77</v>
      </c>
      <c r="Q196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61"/>
  <sheetViews>
    <sheetView workbookViewId="0">
      <selection activeCell="I32" sqref="I32"/>
    </sheetView>
  </sheetViews>
  <sheetFormatPr defaultRowHeight="15" x14ac:dyDescent="0.25"/>
  <sheetData>
    <row r="1" spans="1:4" x14ac:dyDescent="0.25">
      <c r="A1" s="1" t="s">
        <v>2</v>
      </c>
      <c r="B1" s="1" t="s">
        <v>9</v>
      </c>
      <c r="C1" s="1" t="s">
        <v>10</v>
      </c>
      <c r="D1" s="1" t="s">
        <v>16</v>
      </c>
    </row>
    <row r="2" spans="1:4" x14ac:dyDescent="0.25">
      <c r="A2">
        <v>202500</v>
      </c>
      <c r="B2">
        <v>179055</v>
      </c>
      <c r="C2">
        <v>0</v>
      </c>
      <c r="D2">
        <v>0</v>
      </c>
    </row>
    <row r="3" spans="1:4" x14ac:dyDescent="0.25">
      <c r="A3">
        <v>270000</v>
      </c>
      <c r="B3">
        <v>337500</v>
      </c>
      <c r="C3">
        <v>0</v>
      </c>
      <c r="D3">
        <v>0</v>
      </c>
    </row>
    <row r="4" spans="1:4" x14ac:dyDescent="0.25">
      <c r="A4">
        <v>67500</v>
      </c>
      <c r="B4">
        <v>24282</v>
      </c>
      <c r="C4">
        <v>4860</v>
      </c>
      <c r="D4">
        <v>0</v>
      </c>
    </row>
    <row r="5" spans="1:4" x14ac:dyDescent="0.25">
      <c r="A5">
        <v>135000</v>
      </c>
      <c r="B5">
        <v>334917</v>
      </c>
      <c r="C5">
        <v>66987</v>
      </c>
      <c r="D5">
        <v>0</v>
      </c>
    </row>
    <row r="6" spans="1:4" x14ac:dyDescent="0.25">
      <c r="A6">
        <v>99000</v>
      </c>
      <c r="B6">
        <v>162598.5</v>
      </c>
      <c r="C6">
        <v>0</v>
      </c>
      <c r="D6">
        <v>0</v>
      </c>
    </row>
    <row r="7" spans="1:4" x14ac:dyDescent="0.25">
      <c r="A7">
        <v>99000</v>
      </c>
      <c r="B7">
        <v>44455.5</v>
      </c>
      <c r="C7">
        <v>4500</v>
      </c>
      <c r="D7">
        <v>0</v>
      </c>
    </row>
    <row r="8" spans="1:4" x14ac:dyDescent="0.25">
      <c r="A8">
        <v>99000</v>
      </c>
      <c r="B8">
        <v>121455</v>
      </c>
      <c r="C8">
        <v>12145.5</v>
      </c>
      <c r="D8">
        <v>0</v>
      </c>
    </row>
    <row r="9" spans="1:4" x14ac:dyDescent="0.25">
      <c r="A9">
        <v>171000</v>
      </c>
      <c r="B9">
        <v>98239.5</v>
      </c>
      <c r="C9">
        <v>0</v>
      </c>
      <c r="D9">
        <v>0</v>
      </c>
    </row>
    <row r="10" spans="1:4" x14ac:dyDescent="0.25">
      <c r="A10">
        <v>171000</v>
      </c>
      <c r="B10">
        <v>46876.5</v>
      </c>
      <c r="C10">
        <v>4689</v>
      </c>
      <c r="D10">
        <v>0</v>
      </c>
    </row>
    <row r="11" spans="1:4" x14ac:dyDescent="0.25">
      <c r="A11">
        <v>171000</v>
      </c>
      <c r="B11">
        <v>47160</v>
      </c>
      <c r="C11">
        <v>9432</v>
      </c>
      <c r="D11">
        <v>0</v>
      </c>
    </row>
    <row r="12" spans="1:4" x14ac:dyDescent="0.25">
      <c r="A12">
        <v>112500</v>
      </c>
      <c r="B12">
        <v>135931.5</v>
      </c>
      <c r="C12">
        <v>13594.5</v>
      </c>
      <c r="D12">
        <v>0</v>
      </c>
    </row>
    <row r="13" spans="1:4" x14ac:dyDescent="0.25">
      <c r="A13">
        <v>135000</v>
      </c>
      <c r="B13">
        <v>18720</v>
      </c>
      <c r="C13">
        <v>0</v>
      </c>
      <c r="D13">
        <v>0</v>
      </c>
    </row>
    <row r="14" spans="1:4" x14ac:dyDescent="0.25">
      <c r="A14">
        <v>67500</v>
      </c>
      <c r="B14">
        <v>47115</v>
      </c>
      <c r="C14">
        <v>4711.5</v>
      </c>
      <c r="D14">
        <v>0</v>
      </c>
    </row>
    <row r="15" spans="1:4" x14ac:dyDescent="0.25">
      <c r="A15">
        <v>67500</v>
      </c>
      <c r="B15">
        <v>290250</v>
      </c>
      <c r="C15">
        <v>58050</v>
      </c>
      <c r="D15">
        <v>0</v>
      </c>
    </row>
    <row r="16" spans="1:4" x14ac:dyDescent="0.25">
      <c r="A16">
        <v>225000</v>
      </c>
      <c r="B16">
        <v>158040</v>
      </c>
      <c r="C16">
        <v>15804</v>
      </c>
      <c r="D16">
        <v>0</v>
      </c>
    </row>
    <row r="17" spans="1:4" x14ac:dyDescent="0.25">
      <c r="A17">
        <v>225000</v>
      </c>
      <c r="B17">
        <v>195291</v>
      </c>
      <c r="C17">
        <v>22500</v>
      </c>
      <c r="D17">
        <v>0</v>
      </c>
    </row>
    <row r="18" spans="1:4" x14ac:dyDescent="0.25">
      <c r="A18">
        <v>189000</v>
      </c>
      <c r="B18">
        <v>48510</v>
      </c>
      <c r="C18">
        <v>0</v>
      </c>
      <c r="D18">
        <v>0</v>
      </c>
    </row>
    <row r="19" spans="1:4" x14ac:dyDescent="0.25">
      <c r="A19">
        <v>189000</v>
      </c>
      <c r="B19">
        <v>536364</v>
      </c>
      <c r="C19">
        <v>0</v>
      </c>
      <c r="D19">
        <v>0</v>
      </c>
    </row>
    <row r="20" spans="1:4" x14ac:dyDescent="0.25">
      <c r="A20">
        <v>189000</v>
      </c>
      <c r="B20">
        <v>571774.5</v>
      </c>
      <c r="C20">
        <v>57181.5</v>
      </c>
      <c r="D20">
        <v>0</v>
      </c>
    </row>
    <row r="21" spans="1:4" x14ac:dyDescent="0.25">
      <c r="A21">
        <v>189000</v>
      </c>
      <c r="B21">
        <v>36805.364999999998</v>
      </c>
      <c r="C21">
        <v>0</v>
      </c>
      <c r="D21">
        <v>0</v>
      </c>
    </row>
    <row r="22" spans="1:4" x14ac:dyDescent="0.25">
      <c r="A22">
        <v>157500</v>
      </c>
      <c r="B22">
        <v>84136.5</v>
      </c>
      <c r="C22">
        <v>0</v>
      </c>
      <c r="D22">
        <v>0</v>
      </c>
    </row>
    <row r="23" spans="1:4" x14ac:dyDescent="0.25">
      <c r="A23">
        <v>81000</v>
      </c>
      <c r="B23">
        <v>26100</v>
      </c>
      <c r="C23">
        <v>0</v>
      </c>
      <c r="D23">
        <v>0</v>
      </c>
    </row>
    <row r="24" spans="1:4" x14ac:dyDescent="0.25">
      <c r="A24">
        <v>81000</v>
      </c>
      <c r="B24">
        <v>22428</v>
      </c>
      <c r="C24">
        <v>8928</v>
      </c>
      <c r="D24">
        <v>0</v>
      </c>
    </row>
    <row r="25" spans="1:4" x14ac:dyDescent="0.25">
      <c r="A25">
        <v>81000</v>
      </c>
      <c r="B25">
        <v>71950.5</v>
      </c>
      <c r="C25">
        <v>0</v>
      </c>
      <c r="D25">
        <v>0</v>
      </c>
    </row>
    <row r="26" spans="1:4" x14ac:dyDescent="0.25">
      <c r="A26">
        <v>81000</v>
      </c>
      <c r="B26">
        <v>99189</v>
      </c>
      <c r="C26">
        <v>9922.5</v>
      </c>
      <c r="D26">
        <v>0</v>
      </c>
    </row>
    <row r="27" spans="1:4" x14ac:dyDescent="0.25">
      <c r="A27">
        <v>81000</v>
      </c>
      <c r="B27">
        <v>26100</v>
      </c>
      <c r="C27">
        <v>0</v>
      </c>
      <c r="D27">
        <v>0</v>
      </c>
    </row>
    <row r="28" spans="1:4" x14ac:dyDescent="0.25">
      <c r="A28">
        <v>112500</v>
      </c>
      <c r="B28">
        <v>89091</v>
      </c>
      <c r="C28">
        <v>0</v>
      </c>
      <c r="D28">
        <v>0</v>
      </c>
    </row>
    <row r="29" spans="1:4" x14ac:dyDescent="0.25">
      <c r="A29">
        <v>90000</v>
      </c>
      <c r="B29">
        <v>91282.5</v>
      </c>
      <c r="C29">
        <v>9000</v>
      </c>
      <c r="D29">
        <v>0</v>
      </c>
    </row>
    <row r="30" spans="1:4" x14ac:dyDescent="0.25">
      <c r="A30">
        <v>90000</v>
      </c>
      <c r="B30">
        <v>78705</v>
      </c>
      <c r="C30">
        <v>7870.5</v>
      </c>
      <c r="D30">
        <v>0</v>
      </c>
    </row>
    <row r="31" spans="1:4" x14ac:dyDescent="0.25">
      <c r="A31">
        <v>202500</v>
      </c>
      <c r="B31">
        <v>58455</v>
      </c>
      <c r="C31">
        <v>23382</v>
      </c>
      <c r="D31">
        <v>0</v>
      </c>
    </row>
    <row r="32" spans="1:4" x14ac:dyDescent="0.25">
      <c r="A32">
        <v>202500</v>
      </c>
      <c r="B32">
        <v>95625</v>
      </c>
      <c r="C32">
        <v>0</v>
      </c>
      <c r="D32">
        <v>0</v>
      </c>
    </row>
    <row r="33" spans="1:4" x14ac:dyDescent="0.25">
      <c r="A33">
        <v>202500</v>
      </c>
      <c r="B33">
        <v>121500</v>
      </c>
      <c r="C33">
        <v>0</v>
      </c>
      <c r="D33">
        <v>0</v>
      </c>
    </row>
    <row r="34" spans="1:4" x14ac:dyDescent="0.25">
      <c r="A34">
        <v>450000</v>
      </c>
      <c r="B34">
        <v>132345</v>
      </c>
      <c r="C34">
        <v>0</v>
      </c>
      <c r="D34">
        <v>0</v>
      </c>
    </row>
    <row r="35" spans="1:4" x14ac:dyDescent="0.25">
      <c r="A35">
        <v>83250</v>
      </c>
      <c r="B35">
        <v>226984.5</v>
      </c>
      <c r="C35">
        <v>0</v>
      </c>
      <c r="D35">
        <v>0</v>
      </c>
    </row>
    <row r="36" spans="1:4" x14ac:dyDescent="0.25">
      <c r="A36">
        <v>90000</v>
      </c>
      <c r="B36">
        <v>33660</v>
      </c>
      <c r="C36">
        <v>0</v>
      </c>
      <c r="D36">
        <v>1</v>
      </c>
    </row>
    <row r="37" spans="1:4" x14ac:dyDescent="0.25">
      <c r="A37">
        <v>90000</v>
      </c>
      <c r="B37">
        <v>33660</v>
      </c>
      <c r="C37">
        <v>0</v>
      </c>
      <c r="D37">
        <v>1</v>
      </c>
    </row>
    <row r="38" spans="1:4" x14ac:dyDescent="0.25">
      <c r="A38">
        <v>90000</v>
      </c>
      <c r="B38">
        <v>33660</v>
      </c>
      <c r="C38">
        <v>0</v>
      </c>
      <c r="D38">
        <v>1</v>
      </c>
    </row>
    <row r="39" spans="1:4" x14ac:dyDescent="0.25">
      <c r="A39">
        <v>90000</v>
      </c>
      <c r="B39">
        <v>33250.5</v>
      </c>
      <c r="C39">
        <v>0</v>
      </c>
      <c r="D39">
        <v>1</v>
      </c>
    </row>
    <row r="40" spans="1:4" x14ac:dyDescent="0.25">
      <c r="A40">
        <v>90000</v>
      </c>
      <c r="B40">
        <v>47241</v>
      </c>
      <c r="C40">
        <v>0</v>
      </c>
      <c r="D40">
        <v>0</v>
      </c>
    </row>
    <row r="41" spans="1:4" x14ac:dyDescent="0.25">
      <c r="A41">
        <v>90000</v>
      </c>
      <c r="B41">
        <v>36720</v>
      </c>
      <c r="C41">
        <v>0</v>
      </c>
      <c r="D41">
        <v>1</v>
      </c>
    </row>
    <row r="42" spans="1:4" x14ac:dyDescent="0.25">
      <c r="A42">
        <v>90000</v>
      </c>
      <c r="B42">
        <v>33660</v>
      </c>
      <c r="C42">
        <v>3366</v>
      </c>
      <c r="D42">
        <v>1</v>
      </c>
    </row>
    <row r="43" spans="1:4" x14ac:dyDescent="0.25">
      <c r="A43">
        <v>90000</v>
      </c>
      <c r="B43">
        <v>33660</v>
      </c>
      <c r="C43">
        <v>3366</v>
      </c>
      <c r="D43">
        <v>1</v>
      </c>
    </row>
    <row r="44" spans="1:4" x14ac:dyDescent="0.25">
      <c r="A44">
        <v>90000</v>
      </c>
      <c r="B44">
        <v>21969.224999999999</v>
      </c>
      <c r="C44">
        <v>0</v>
      </c>
      <c r="D44">
        <v>1</v>
      </c>
    </row>
    <row r="45" spans="1:4" x14ac:dyDescent="0.25">
      <c r="A45">
        <v>112500</v>
      </c>
      <c r="B45">
        <v>69255</v>
      </c>
      <c r="C45">
        <v>27000</v>
      </c>
      <c r="D45">
        <v>0</v>
      </c>
    </row>
    <row r="46" spans="1:4" x14ac:dyDescent="0.25">
      <c r="A46">
        <v>90000</v>
      </c>
      <c r="B46">
        <v>121455</v>
      </c>
      <c r="C46">
        <v>12145.5</v>
      </c>
      <c r="D46">
        <v>0</v>
      </c>
    </row>
    <row r="47" spans="1:4" x14ac:dyDescent="0.25">
      <c r="A47">
        <v>292500</v>
      </c>
      <c r="B47">
        <v>46935</v>
      </c>
      <c r="C47">
        <v>4693.5</v>
      </c>
      <c r="D47">
        <v>0</v>
      </c>
    </row>
    <row r="48" spans="1:4" x14ac:dyDescent="0.25">
      <c r="A48">
        <v>292500</v>
      </c>
      <c r="B48">
        <v>25087.5</v>
      </c>
      <c r="C48">
        <v>0</v>
      </c>
      <c r="D48">
        <v>0</v>
      </c>
    </row>
    <row r="49" spans="1:4" x14ac:dyDescent="0.25">
      <c r="A49">
        <v>292500</v>
      </c>
      <c r="B49">
        <v>117000</v>
      </c>
      <c r="C49">
        <v>9360</v>
      </c>
      <c r="D49">
        <v>0</v>
      </c>
    </row>
    <row r="50" spans="1:4" x14ac:dyDescent="0.25">
      <c r="A50">
        <v>112500</v>
      </c>
      <c r="B50">
        <v>197752.5</v>
      </c>
      <c r="C50">
        <v>0</v>
      </c>
      <c r="D50">
        <v>1</v>
      </c>
    </row>
    <row r="51" spans="1:4" x14ac:dyDescent="0.25">
      <c r="A51">
        <v>112500</v>
      </c>
      <c r="B51">
        <v>58797</v>
      </c>
      <c r="C51">
        <v>0</v>
      </c>
      <c r="D51">
        <v>0</v>
      </c>
    </row>
    <row r="52" spans="1:4" x14ac:dyDescent="0.25">
      <c r="A52">
        <v>90000</v>
      </c>
      <c r="B52">
        <v>153877.5</v>
      </c>
      <c r="C52">
        <v>0</v>
      </c>
      <c r="D52">
        <v>1</v>
      </c>
    </row>
    <row r="53" spans="1:4" x14ac:dyDescent="0.25">
      <c r="A53">
        <v>90000</v>
      </c>
      <c r="B53">
        <v>38385</v>
      </c>
      <c r="C53">
        <v>1935</v>
      </c>
      <c r="D53">
        <v>0</v>
      </c>
    </row>
    <row r="54" spans="1:4" x14ac:dyDescent="0.25">
      <c r="A54">
        <v>360000</v>
      </c>
      <c r="B54">
        <v>24709.095000000001</v>
      </c>
      <c r="C54">
        <v>4.0949999999999998</v>
      </c>
      <c r="D54">
        <v>0</v>
      </c>
    </row>
    <row r="55" spans="1:4" x14ac:dyDescent="0.25">
      <c r="A55">
        <v>198000</v>
      </c>
      <c r="B55">
        <v>35775</v>
      </c>
      <c r="C55">
        <v>4500</v>
      </c>
      <c r="D55">
        <v>0</v>
      </c>
    </row>
    <row r="56" spans="1:4" x14ac:dyDescent="0.25">
      <c r="A56">
        <v>198000</v>
      </c>
      <c r="B56">
        <v>1575000</v>
      </c>
      <c r="C56">
        <v>315000</v>
      </c>
      <c r="D56">
        <v>1</v>
      </c>
    </row>
    <row r="57" spans="1:4" x14ac:dyDescent="0.25">
      <c r="A57">
        <v>198000</v>
      </c>
      <c r="B57">
        <v>1575000</v>
      </c>
      <c r="C57">
        <v>0</v>
      </c>
      <c r="D57">
        <v>1</v>
      </c>
    </row>
    <row r="58" spans="1:4" x14ac:dyDescent="0.25">
      <c r="A58">
        <v>198000</v>
      </c>
      <c r="B58">
        <v>1575000</v>
      </c>
      <c r="C58">
        <v>0</v>
      </c>
      <c r="D58">
        <v>1</v>
      </c>
    </row>
    <row r="59" spans="1:4" x14ac:dyDescent="0.25">
      <c r="A59">
        <v>198000</v>
      </c>
      <c r="B59">
        <v>1125000</v>
      </c>
      <c r="C59">
        <v>0</v>
      </c>
      <c r="D59">
        <v>1</v>
      </c>
    </row>
    <row r="60" spans="1:4" x14ac:dyDescent="0.25">
      <c r="A60">
        <v>121500</v>
      </c>
      <c r="B60">
        <v>50850</v>
      </c>
      <c r="C60">
        <v>5085</v>
      </c>
      <c r="D60">
        <v>0</v>
      </c>
    </row>
    <row r="61" spans="1:4" x14ac:dyDescent="0.25">
      <c r="A61">
        <v>121500</v>
      </c>
      <c r="B61">
        <v>315000</v>
      </c>
      <c r="C61">
        <v>0</v>
      </c>
      <c r="D61">
        <v>0</v>
      </c>
    </row>
    <row r="62" spans="1:4" x14ac:dyDescent="0.25">
      <c r="A62">
        <v>99000</v>
      </c>
      <c r="B62">
        <v>80995.5</v>
      </c>
      <c r="C62">
        <v>0</v>
      </c>
      <c r="D62">
        <v>0</v>
      </c>
    </row>
    <row r="63" spans="1:4" x14ac:dyDescent="0.25">
      <c r="A63">
        <v>99000</v>
      </c>
      <c r="B63">
        <v>72445.5</v>
      </c>
      <c r="C63">
        <v>0</v>
      </c>
      <c r="D63">
        <v>0</v>
      </c>
    </row>
    <row r="64" spans="1:4" x14ac:dyDescent="0.25">
      <c r="A64">
        <v>202500</v>
      </c>
      <c r="B64">
        <v>38205</v>
      </c>
      <c r="C64">
        <v>3820.5</v>
      </c>
      <c r="D64">
        <v>0</v>
      </c>
    </row>
    <row r="65" spans="1:4" x14ac:dyDescent="0.25">
      <c r="A65">
        <v>135000</v>
      </c>
      <c r="B65">
        <v>33250.5</v>
      </c>
      <c r="C65">
        <v>0</v>
      </c>
      <c r="D65">
        <v>0</v>
      </c>
    </row>
    <row r="66" spans="1:4" x14ac:dyDescent="0.25">
      <c r="A66">
        <v>135000</v>
      </c>
      <c r="B66">
        <v>41305.5</v>
      </c>
      <c r="C66">
        <v>4131</v>
      </c>
      <c r="D66">
        <v>0</v>
      </c>
    </row>
    <row r="67" spans="1:4" x14ac:dyDescent="0.25">
      <c r="A67">
        <v>202500</v>
      </c>
      <c r="B67">
        <v>136620</v>
      </c>
      <c r="C67">
        <v>0</v>
      </c>
      <c r="D67">
        <v>0</v>
      </c>
    </row>
    <row r="68" spans="1:4" x14ac:dyDescent="0.25">
      <c r="A68">
        <v>90000</v>
      </c>
      <c r="B68">
        <v>20160</v>
      </c>
      <c r="C68">
        <v>0</v>
      </c>
      <c r="D68">
        <v>0</v>
      </c>
    </row>
    <row r="69" spans="1:4" x14ac:dyDescent="0.25">
      <c r="A69">
        <v>90000</v>
      </c>
      <c r="B69">
        <v>27175.5</v>
      </c>
      <c r="C69">
        <v>0</v>
      </c>
      <c r="D69">
        <v>0</v>
      </c>
    </row>
    <row r="70" spans="1:4" x14ac:dyDescent="0.25">
      <c r="A70">
        <v>99000</v>
      </c>
      <c r="B70">
        <v>92025</v>
      </c>
      <c r="C70">
        <v>0</v>
      </c>
      <c r="D70">
        <v>0</v>
      </c>
    </row>
    <row r="71" spans="1:4" x14ac:dyDescent="0.25">
      <c r="A71">
        <v>99000</v>
      </c>
      <c r="B71">
        <v>77400</v>
      </c>
      <c r="C71">
        <v>7740</v>
      </c>
      <c r="D71">
        <v>0</v>
      </c>
    </row>
    <row r="72" spans="1:4" x14ac:dyDescent="0.25">
      <c r="A72">
        <v>99000</v>
      </c>
      <c r="B72">
        <v>95310</v>
      </c>
      <c r="C72">
        <v>0</v>
      </c>
      <c r="D72">
        <v>0</v>
      </c>
    </row>
    <row r="73" spans="1:4" x14ac:dyDescent="0.25">
      <c r="A73">
        <v>99000</v>
      </c>
      <c r="B73">
        <v>62325</v>
      </c>
      <c r="C73">
        <v>6232.5</v>
      </c>
      <c r="D73">
        <v>1</v>
      </c>
    </row>
    <row r="74" spans="1:4" x14ac:dyDescent="0.25">
      <c r="A74">
        <v>130500</v>
      </c>
      <c r="B74">
        <v>109309.5</v>
      </c>
      <c r="C74">
        <v>10935</v>
      </c>
      <c r="D74">
        <v>0</v>
      </c>
    </row>
    <row r="75" spans="1:4" x14ac:dyDescent="0.25">
      <c r="A75">
        <v>360000</v>
      </c>
      <c r="B75">
        <v>223920</v>
      </c>
      <c r="C75">
        <v>22392</v>
      </c>
      <c r="D75">
        <v>0</v>
      </c>
    </row>
    <row r="76" spans="1:4" x14ac:dyDescent="0.25">
      <c r="A76">
        <v>360000</v>
      </c>
      <c r="B76">
        <v>405000</v>
      </c>
      <c r="C76">
        <v>0</v>
      </c>
      <c r="D76">
        <v>0</v>
      </c>
    </row>
    <row r="77" spans="1:4" x14ac:dyDescent="0.25">
      <c r="A77">
        <v>540000</v>
      </c>
      <c r="B77">
        <v>49593.824999999997</v>
      </c>
      <c r="C77">
        <v>4962.8249999999998</v>
      </c>
      <c r="D77">
        <v>1</v>
      </c>
    </row>
    <row r="78" spans="1:4" x14ac:dyDescent="0.25">
      <c r="A78">
        <v>540000</v>
      </c>
      <c r="B78">
        <v>35680.050000000003</v>
      </c>
      <c r="C78">
        <v>13504.05</v>
      </c>
      <c r="D78">
        <v>1</v>
      </c>
    </row>
    <row r="79" spans="1:4" x14ac:dyDescent="0.25">
      <c r="A79">
        <v>540000</v>
      </c>
      <c r="B79">
        <v>46304.55</v>
      </c>
      <c r="C79">
        <v>4.05</v>
      </c>
      <c r="D79">
        <v>1</v>
      </c>
    </row>
    <row r="80" spans="1:4" x14ac:dyDescent="0.25">
      <c r="A80">
        <v>540000</v>
      </c>
      <c r="B80">
        <v>1305000</v>
      </c>
      <c r="C80">
        <v>0</v>
      </c>
      <c r="D80">
        <v>1</v>
      </c>
    </row>
    <row r="81" spans="1:4" x14ac:dyDescent="0.25">
      <c r="A81">
        <v>225000</v>
      </c>
      <c r="B81">
        <v>44055</v>
      </c>
      <c r="C81">
        <v>4405.5</v>
      </c>
      <c r="D81">
        <v>0</v>
      </c>
    </row>
    <row r="82" spans="1:4" x14ac:dyDescent="0.25">
      <c r="A82">
        <v>81000</v>
      </c>
      <c r="B82">
        <v>751500</v>
      </c>
      <c r="C82">
        <v>75150</v>
      </c>
      <c r="D82">
        <v>0</v>
      </c>
    </row>
    <row r="83" spans="1:4" x14ac:dyDescent="0.25">
      <c r="A83">
        <v>180000</v>
      </c>
      <c r="B83">
        <v>166410</v>
      </c>
      <c r="C83">
        <v>0</v>
      </c>
      <c r="D83">
        <v>0</v>
      </c>
    </row>
    <row r="84" spans="1:4" x14ac:dyDescent="0.25">
      <c r="A84">
        <v>360000</v>
      </c>
      <c r="B84">
        <v>353250</v>
      </c>
      <c r="C84">
        <v>35325</v>
      </c>
      <c r="D84">
        <v>0</v>
      </c>
    </row>
    <row r="85" spans="1:4" x14ac:dyDescent="0.25">
      <c r="A85">
        <v>360000</v>
      </c>
      <c r="B85">
        <v>112770</v>
      </c>
      <c r="C85">
        <v>22554</v>
      </c>
      <c r="D85">
        <v>0</v>
      </c>
    </row>
    <row r="86" spans="1:4" x14ac:dyDescent="0.25">
      <c r="A86">
        <v>360000</v>
      </c>
      <c r="B86">
        <v>157315.5</v>
      </c>
      <c r="C86">
        <v>7875</v>
      </c>
      <c r="D86">
        <v>0</v>
      </c>
    </row>
    <row r="87" spans="1:4" x14ac:dyDescent="0.25">
      <c r="A87">
        <v>360000</v>
      </c>
      <c r="B87">
        <v>130860</v>
      </c>
      <c r="C87">
        <v>13086</v>
      </c>
      <c r="D87">
        <v>0</v>
      </c>
    </row>
    <row r="88" spans="1:4" x14ac:dyDescent="0.25">
      <c r="A88">
        <v>360000</v>
      </c>
      <c r="B88">
        <v>126945.675</v>
      </c>
      <c r="C88">
        <v>0.67500000000000004</v>
      </c>
      <c r="D88">
        <v>0</v>
      </c>
    </row>
    <row r="89" spans="1:4" x14ac:dyDescent="0.25">
      <c r="A89">
        <v>180000</v>
      </c>
      <c r="B89">
        <v>191614.5</v>
      </c>
      <c r="C89">
        <v>38326.5</v>
      </c>
      <c r="D89">
        <v>1</v>
      </c>
    </row>
    <row r="90" spans="1:4" x14ac:dyDescent="0.25">
      <c r="A90">
        <v>180000</v>
      </c>
      <c r="B90">
        <v>191169</v>
      </c>
      <c r="C90">
        <v>19120.5</v>
      </c>
      <c r="D90">
        <v>1</v>
      </c>
    </row>
    <row r="91" spans="1:4" x14ac:dyDescent="0.25">
      <c r="A91">
        <v>180000</v>
      </c>
      <c r="B91">
        <v>96466.5</v>
      </c>
      <c r="C91">
        <v>0</v>
      </c>
      <c r="D91">
        <v>0</v>
      </c>
    </row>
    <row r="92" spans="1:4" x14ac:dyDescent="0.25">
      <c r="A92">
        <v>324000</v>
      </c>
      <c r="B92">
        <v>360000</v>
      </c>
      <c r="C92">
        <v>36000</v>
      </c>
      <c r="D92">
        <v>0</v>
      </c>
    </row>
    <row r="93" spans="1:4" x14ac:dyDescent="0.25">
      <c r="A93">
        <v>324000</v>
      </c>
      <c r="B93">
        <v>187632</v>
      </c>
      <c r="C93">
        <v>18765</v>
      </c>
      <c r="D93">
        <v>0</v>
      </c>
    </row>
    <row r="94" spans="1:4" x14ac:dyDescent="0.25">
      <c r="A94">
        <v>112500</v>
      </c>
      <c r="B94">
        <v>57555</v>
      </c>
      <c r="C94">
        <v>0</v>
      </c>
      <c r="D94">
        <v>0</v>
      </c>
    </row>
    <row r="95" spans="1:4" x14ac:dyDescent="0.25">
      <c r="A95">
        <v>225000</v>
      </c>
      <c r="B95">
        <v>76477.5</v>
      </c>
      <c r="C95">
        <v>15295.5</v>
      </c>
      <c r="D95">
        <v>1</v>
      </c>
    </row>
    <row r="96" spans="1:4" x14ac:dyDescent="0.25">
      <c r="A96">
        <v>225000</v>
      </c>
      <c r="B96">
        <v>80730</v>
      </c>
      <c r="C96">
        <v>31500</v>
      </c>
      <c r="D96">
        <v>0</v>
      </c>
    </row>
    <row r="97" spans="1:4" x14ac:dyDescent="0.25">
      <c r="A97">
        <v>157500</v>
      </c>
      <c r="B97">
        <v>67500</v>
      </c>
      <c r="C97">
        <v>0</v>
      </c>
      <c r="D97">
        <v>0</v>
      </c>
    </row>
    <row r="98" spans="1:4" x14ac:dyDescent="0.25">
      <c r="A98">
        <v>180000</v>
      </c>
      <c r="B98">
        <v>81558</v>
      </c>
      <c r="C98">
        <v>8158.5</v>
      </c>
      <c r="D98">
        <v>0</v>
      </c>
    </row>
    <row r="99" spans="1:4" x14ac:dyDescent="0.25">
      <c r="A99">
        <v>103500</v>
      </c>
      <c r="B99">
        <v>48181.5</v>
      </c>
      <c r="C99">
        <v>7231.5</v>
      </c>
      <c r="D99">
        <v>0</v>
      </c>
    </row>
    <row r="100" spans="1:4" x14ac:dyDescent="0.25">
      <c r="A100">
        <v>225000</v>
      </c>
      <c r="B100">
        <v>58590</v>
      </c>
      <c r="C100">
        <v>5859</v>
      </c>
      <c r="D100">
        <v>1</v>
      </c>
    </row>
    <row r="101" spans="1:4" x14ac:dyDescent="0.25">
      <c r="A101">
        <v>225000</v>
      </c>
      <c r="B101">
        <v>85500</v>
      </c>
      <c r="C101">
        <v>8550</v>
      </c>
      <c r="D101">
        <v>0</v>
      </c>
    </row>
    <row r="102" spans="1:4" x14ac:dyDescent="0.25">
      <c r="A102">
        <v>157500</v>
      </c>
      <c r="B102">
        <v>23985</v>
      </c>
      <c r="C102">
        <v>0</v>
      </c>
      <c r="D102">
        <v>1</v>
      </c>
    </row>
    <row r="103" spans="1:4" x14ac:dyDescent="0.25">
      <c r="A103">
        <v>135000</v>
      </c>
      <c r="B103">
        <v>76072.95</v>
      </c>
      <c r="C103">
        <v>0</v>
      </c>
      <c r="D103">
        <v>0</v>
      </c>
    </row>
    <row r="104" spans="1:4" x14ac:dyDescent="0.25">
      <c r="A104">
        <v>135000</v>
      </c>
      <c r="B104">
        <v>24835.5</v>
      </c>
      <c r="C104">
        <v>3600</v>
      </c>
      <c r="D104">
        <v>1</v>
      </c>
    </row>
    <row r="105" spans="1:4" x14ac:dyDescent="0.25">
      <c r="A105">
        <v>202500</v>
      </c>
      <c r="B105">
        <v>31401</v>
      </c>
      <c r="C105">
        <v>0</v>
      </c>
      <c r="D105">
        <v>0</v>
      </c>
    </row>
    <row r="106" spans="1:4" x14ac:dyDescent="0.25">
      <c r="A106">
        <v>94500</v>
      </c>
      <c r="B106">
        <v>96061.5</v>
      </c>
      <c r="C106">
        <v>0</v>
      </c>
      <c r="D106">
        <v>0</v>
      </c>
    </row>
    <row r="107" spans="1:4" x14ac:dyDescent="0.25">
      <c r="A107">
        <v>94500</v>
      </c>
      <c r="B107">
        <v>80505</v>
      </c>
      <c r="C107">
        <v>8050.5</v>
      </c>
      <c r="D107">
        <v>0</v>
      </c>
    </row>
    <row r="108" spans="1:4" x14ac:dyDescent="0.25">
      <c r="A108">
        <v>94500</v>
      </c>
      <c r="B108">
        <v>24025.5</v>
      </c>
      <c r="C108">
        <v>4815</v>
      </c>
      <c r="D108">
        <v>0</v>
      </c>
    </row>
    <row r="109" spans="1:4" x14ac:dyDescent="0.25">
      <c r="A109">
        <v>94500</v>
      </c>
      <c r="B109">
        <v>26775</v>
      </c>
      <c r="C109">
        <v>2677.5</v>
      </c>
      <c r="D109">
        <v>0</v>
      </c>
    </row>
    <row r="110" spans="1:4" x14ac:dyDescent="0.25">
      <c r="A110">
        <v>108000</v>
      </c>
      <c r="B110">
        <v>87205.5</v>
      </c>
      <c r="C110">
        <v>17442</v>
      </c>
      <c r="D110">
        <v>0</v>
      </c>
    </row>
    <row r="111" spans="1:4" x14ac:dyDescent="0.25">
      <c r="A111">
        <v>67500</v>
      </c>
      <c r="B111">
        <v>52911</v>
      </c>
      <c r="C111">
        <v>0</v>
      </c>
      <c r="D111">
        <v>1</v>
      </c>
    </row>
    <row r="112" spans="1:4" x14ac:dyDescent="0.25">
      <c r="A112">
        <v>157500</v>
      </c>
      <c r="B112">
        <v>67455</v>
      </c>
      <c r="C112">
        <v>6745.5</v>
      </c>
      <c r="D112">
        <v>0</v>
      </c>
    </row>
    <row r="113" spans="1:4" x14ac:dyDescent="0.25">
      <c r="A113">
        <v>157500</v>
      </c>
      <c r="B113">
        <v>108000</v>
      </c>
      <c r="C113">
        <v>0</v>
      </c>
      <c r="D113">
        <v>0</v>
      </c>
    </row>
    <row r="114" spans="1:4" x14ac:dyDescent="0.25">
      <c r="A114">
        <v>225000</v>
      </c>
      <c r="B114">
        <v>26050.5</v>
      </c>
      <c r="C114">
        <v>2610</v>
      </c>
      <c r="D114">
        <v>0</v>
      </c>
    </row>
    <row r="115" spans="1:4" x14ac:dyDescent="0.25">
      <c r="A115">
        <v>225000</v>
      </c>
      <c r="B115">
        <v>22126.5</v>
      </c>
      <c r="C115">
        <v>4500</v>
      </c>
      <c r="D115">
        <v>1</v>
      </c>
    </row>
    <row r="116" spans="1:4" x14ac:dyDescent="0.25">
      <c r="A116">
        <v>202500</v>
      </c>
      <c r="B116">
        <v>107766</v>
      </c>
      <c r="C116">
        <v>0</v>
      </c>
      <c r="D116">
        <v>0</v>
      </c>
    </row>
    <row r="117" spans="1:4" x14ac:dyDescent="0.25">
      <c r="A117">
        <v>202500</v>
      </c>
      <c r="B117">
        <v>91057.5</v>
      </c>
      <c r="C117">
        <v>0</v>
      </c>
      <c r="D117">
        <v>0</v>
      </c>
    </row>
    <row r="118" spans="1:4" x14ac:dyDescent="0.25">
      <c r="A118">
        <v>202500</v>
      </c>
      <c r="B118">
        <v>36216</v>
      </c>
      <c r="C118">
        <v>0</v>
      </c>
      <c r="D118">
        <v>0</v>
      </c>
    </row>
    <row r="119" spans="1:4" x14ac:dyDescent="0.25">
      <c r="A119">
        <v>72000</v>
      </c>
      <c r="B119">
        <v>45585</v>
      </c>
      <c r="C119">
        <v>0</v>
      </c>
      <c r="D119">
        <v>0</v>
      </c>
    </row>
    <row r="120" spans="1:4" x14ac:dyDescent="0.25">
      <c r="A120">
        <v>193500</v>
      </c>
      <c r="B120">
        <v>138690</v>
      </c>
      <c r="C120">
        <v>0</v>
      </c>
      <c r="D120">
        <v>0</v>
      </c>
    </row>
    <row r="121" spans="1:4" x14ac:dyDescent="0.25">
      <c r="A121">
        <v>193500</v>
      </c>
      <c r="B121">
        <v>77400</v>
      </c>
      <c r="C121">
        <v>40500</v>
      </c>
      <c r="D121">
        <v>0</v>
      </c>
    </row>
    <row r="122" spans="1:4" x14ac:dyDescent="0.25">
      <c r="A122">
        <v>193500</v>
      </c>
      <c r="B122">
        <v>52200</v>
      </c>
      <c r="C122">
        <v>10440</v>
      </c>
      <c r="D122">
        <v>1</v>
      </c>
    </row>
    <row r="123" spans="1:4" x14ac:dyDescent="0.25">
      <c r="A123">
        <v>193500</v>
      </c>
      <c r="B123">
        <v>127125</v>
      </c>
      <c r="C123">
        <v>12825</v>
      </c>
      <c r="D123">
        <v>0</v>
      </c>
    </row>
    <row r="124" spans="1:4" x14ac:dyDescent="0.25">
      <c r="A124">
        <v>193500</v>
      </c>
      <c r="B124">
        <v>67230</v>
      </c>
      <c r="C124">
        <v>6750</v>
      </c>
      <c r="D124">
        <v>0</v>
      </c>
    </row>
    <row r="125" spans="1:4" x14ac:dyDescent="0.25">
      <c r="A125">
        <v>193500</v>
      </c>
      <c r="B125">
        <v>198900</v>
      </c>
      <c r="C125">
        <v>39780</v>
      </c>
      <c r="D125">
        <v>0</v>
      </c>
    </row>
    <row r="126" spans="1:4" x14ac:dyDescent="0.25">
      <c r="A126">
        <v>193500</v>
      </c>
      <c r="B126">
        <v>24390</v>
      </c>
      <c r="C126">
        <v>0</v>
      </c>
      <c r="D126">
        <v>0</v>
      </c>
    </row>
    <row r="127" spans="1:4" x14ac:dyDescent="0.25">
      <c r="A127">
        <v>171000</v>
      </c>
      <c r="B127">
        <v>125955</v>
      </c>
      <c r="C127">
        <v>22500</v>
      </c>
      <c r="D127">
        <v>0</v>
      </c>
    </row>
    <row r="128" spans="1:4" x14ac:dyDescent="0.25">
      <c r="A128">
        <v>135000</v>
      </c>
      <c r="B128">
        <v>38029.5</v>
      </c>
      <c r="C128">
        <v>0</v>
      </c>
      <c r="D128">
        <v>0</v>
      </c>
    </row>
    <row r="129" spans="1:4" x14ac:dyDescent="0.25">
      <c r="A129">
        <v>135000</v>
      </c>
      <c r="B129">
        <v>136210.5</v>
      </c>
      <c r="C129">
        <v>13621.5</v>
      </c>
      <c r="D129">
        <v>0</v>
      </c>
    </row>
    <row r="130" spans="1:4" x14ac:dyDescent="0.25">
      <c r="A130">
        <v>135000</v>
      </c>
      <c r="B130">
        <v>54531</v>
      </c>
      <c r="C130">
        <v>0</v>
      </c>
      <c r="D130">
        <v>0</v>
      </c>
    </row>
    <row r="131" spans="1:4" x14ac:dyDescent="0.25">
      <c r="A131">
        <v>112500</v>
      </c>
      <c r="B131">
        <v>45854.595000000001</v>
      </c>
      <c r="C131">
        <v>4589.5950000000003</v>
      </c>
      <c r="D131">
        <v>0</v>
      </c>
    </row>
    <row r="132" spans="1:4" x14ac:dyDescent="0.25">
      <c r="A132">
        <v>112500</v>
      </c>
      <c r="B132">
        <v>48465</v>
      </c>
      <c r="C132">
        <v>4950</v>
      </c>
      <c r="D132">
        <v>0</v>
      </c>
    </row>
    <row r="133" spans="1:4" x14ac:dyDescent="0.25">
      <c r="A133">
        <v>112500</v>
      </c>
      <c r="B133">
        <v>44991</v>
      </c>
      <c r="C133">
        <v>0</v>
      </c>
      <c r="D133">
        <v>0</v>
      </c>
    </row>
    <row r="134" spans="1:4" x14ac:dyDescent="0.25">
      <c r="A134">
        <v>315000</v>
      </c>
      <c r="B134">
        <v>121135.5</v>
      </c>
      <c r="C134">
        <v>12114</v>
      </c>
      <c r="D134">
        <v>0</v>
      </c>
    </row>
    <row r="135" spans="1:4" x14ac:dyDescent="0.25">
      <c r="A135">
        <v>315000</v>
      </c>
      <c r="B135">
        <v>135085.5</v>
      </c>
      <c r="C135">
        <v>0</v>
      </c>
      <c r="D135">
        <v>0</v>
      </c>
    </row>
    <row r="136" spans="1:4" x14ac:dyDescent="0.25">
      <c r="A136">
        <v>315000</v>
      </c>
      <c r="B136">
        <v>60736.5</v>
      </c>
      <c r="C136">
        <v>30370.5</v>
      </c>
      <c r="D136">
        <v>0</v>
      </c>
    </row>
    <row r="137" spans="1:4" x14ac:dyDescent="0.25">
      <c r="A137">
        <v>76500</v>
      </c>
      <c r="B137">
        <v>26950.5</v>
      </c>
      <c r="C137">
        <v>2700</v>
      </c>
      <c r="D137">
        <v>0</v>
      </c>
    </row>
    <row r="138" spans="1:4" x14ac:dyDescent="0.25">
      <c r="A138">
        <v>76500</v>
      </c>
      <c r="B138">
        <v>46260</v>
      </c>
      <c r="C138">
        <v>0</v>
      </c>
      <c r="D138">
        <v>1</v>
      </c>
    </row>
    <row r="139" spans="1:4" x14ac:dyDescent="0.25">
      <c r="A139">
        <v>90000</v>
      </c>
      <c r="B139">
        <v>28305</v>
      </c>
      <c r="C139">
        <v>0</v>
      </c>
      <c r="D139">
        <v>0</v>
      </c>
    </row>
    <row r="140" spans="1:4" x14ac:dyDescent="0.25">
      <c r="A140">
        <v>243000</v>
      </c>
      <c r="B140">
        <v>107210.25</v>
      </c>
      <c r="C140">
        <v>0</v>
      </c>
      <c r="D140">
        <v>0</v>
      </c>
    </row>
    <row r="141" spans="1:4" x14ac:dyDescent="0.25">
      <c r="A141">
        <v>243000</v>
      </c>
      <c r="B141">
        <v>109710</v>
      </c>
      <c r="C141">
        <v>5490</v>
      </c>
      <c r="D141">
        <v>0</v>
      </c>
    </row>
    <row r="142" spans="1:4" x14ac:dyDescent="0.25">
      <c r="A142">
        <v>243000</v>
      </c>
      <c r="B142">
        <v>72805.5</v>
      </c>
      <c r="C142">
        <v>0</v>
      </c>
      <c r="D142">
        <v>0</v>
      </c>
    </row>
    <row r="143" spans="1:4" x14ac:dyDescent="0.25">
      <c r="A143">
        <v>243000</v>
      </c>
      <c r="B143">
        <v>121905</v>
      </c>
      <c r="C143">
        <v>0</v>
      </c>
      <c r="D143">
        <v>1</v>
      </c>
    </row>
    <row r="144" spans="1:4" x14ac:dyDescent="0.25">
      <c r="A144">
        <v>243000</v>
      </c>
      <c r="B144">
        <v>36522</v>
      </c>
      <c r="C144">
        <v>0</v>
      </c>
      <c r="D144">
        <v>0</v>
      </c>
    </row>
    <row r="145" spans="1:4" x14ac:dyDescent="0.25">
      <c r="A145">
        <v>243000</v>
      </c>
      <c r="B145">
        <v>186048</v>
      </c>
      <c r="C145">
        <v>0</v>
      </c>
      <c r="D145">
        <v>1</v>
      </c>
    </row>
    <row r="146" spans="1:4" x14ac:dyDescent="0.25">
      <c r="A146">
        <v>243000</v>
      </c>
      <c r="B146">
        <v>180000</v>
      </c>
      <c r="C146">
        <v>0</v>
      </c>
      <c r="D146">
        <v>1</v>
      </c>
    </row>
    <row r="147" spans="1:4" x14ac:dyDescent="0.25">
      <c r="A147">
        <v>90000</v>
      </c>
      <c r="B147">
        <v>153000</v>
      </c>
      <c r="C147">
        <v>15300</v>
      </c>
      <c r="D147">
        <v>0</v>
      </c>
    </row>
    <row r="148" spans="1:4" x14ac:dyDescent="0.25">
      <c r="A148">
        <v>54000</v>
      </c>
      <c r="B148">
        <v>34020</v>
      </c>
      <c r="C148">
        <v>0</v>
      </c>
      <c r="D148">
        <v>0</v>
      </c>
    </row>
    <row r="149" spans="1:4" x14ac:dyDescent="0.25">
      <c r="A149">
        <v>126000</v>
      </c>
      <c r="B149">
        <v>18441</v>
      </c>
      <c r="C149">
        <v>1845</v>
      </c>
      <c r="D149">
        <v>0</v>
      </c>
    </row>
    <row r="150" spans="1:4" x14ac:dyDescent="0.25">
      <c r="A150">
        <v>126000</v>
      </c>
      <c r="B150">
        <v>19750.455000000002</v>
      </c>
      <c r="C150">
        <v>4.4550000000000001</v>
      </c>
      <c r="D150">
        <v>0</v>
      </c>
    </row>
    <row r="151" spans="1:4" x14ac:dyDescent="0.25">
      <c r="A151">
        <v>76500</v>
      </c>
      <c r="B151">
        <v>135000</v>
      </c>
      <c r="C151">
        <v>0</v>
      </c>
      <c r="D151">
        <v>0</v>
      </c>
    </row>
    <row r="152" spans="1:4" x14ac:dyDescent="0.25">
      <c r="A152">
        <v>225000</v>
      </c>
      <c r="B152">
        <v>62491.5</v>
      </c>
      <c r="C152">
        <v>0</v>
      </c>
      <c r="D152">
        <v>0</v>
      </c>
    </row>
    <row r="153" spans="1:4" x14ac:dyDescent="0.25">
      <c r="A153">
        <v>225000</v>
      </c>
      <c r="B153">
        <v>27400.5</v>
      </c>
      <c r="C153">
        <v>2740.5</v>
      </c>
      <c r="D153">
        <v>0</v>
      </c>
    </row>
    <row r="154" spans="1:4" x14ac:dyDescent="0.25">
      <c r="A154">
        <v>225000</v>
      </c>
      <c r="B154">
        <v>30267</v>
      </c>
      <c r="C154">
        <v>0</v>
      </c>
      <c r="D154">
        <v>0</v>
      </c>
    </row>
    <row r="155" spans="1:4" x14ac:dyDescent="0.25">
      <c r="A155">
        <v>126000</v>
      </c>
      <c r="B155">
        <v>80995.184999999998</v>
      </c>
      <c r="C155">
        <v>24299.685000000001</v>
      </c>
      <c r="D155">
        <v>1</v>
      </c>
    </row>
    <row r="156" spans="1:4" x14ac:dyDescent="0.25">
      <c r="A156">
        <v>126000</v>
      </c>
      <c r="B156">
        <v>80995.274999999994</v>
      </c>
      <c r="C156">
        <v>24299.775000000001</v>
      </c>
      <c r="D156">
        <v>0</v>
      </c>
    </row>
    <row r="157" spans="1:4" x14ac:dyDescent="0.25">
      <c r="A157">
        <v>135000</v>
      </c>
      <c r="B157">
        <v>172458</v>
      </c>
      <c r="C157">
        <v>0</v>
      </c>
      <c r="D157">
        <v>0</v>
      </c>
    </row>
    <row r="158" spans="1:4" x14ac:dyDescent="0.25">
      <c r="A158">
        <v>112500</v>
      </c>
      <c r="B158">
        <v>26820</v>
      </c>
      <c r="C158">
        <v>2682</v>
      </c>
      <c r="D158">
        <v>0</v>
      </c>
    </row>
    <row r="159" spans="1:4" x14ac:dyDescent="0.25">
      <c r="A159">
        <v>157500</v>
      </c>
      <c r="B159">
        <v>99013.5</v>
      </c>
      <c r="C159">
        <v>0</v>
      </c>
      <c r="D159">
        <v>0</v>
      </c>
    </row>
    <row r="160" spans="1:4" x14ac:dyDescent="0.25">
      <c r="A160">
        <v>202500</v>
      </c>
      <c r="B160">
        <v>301563</v>
      </c>
      <c r="C160">
        <v>0</v>
      </c>
      <c r="D160">
        <v>0</v>
      </c>
    </row>
    <row r="161" spans="1:4" x14ac:dyDescent="0.25">
      <c r="A161">
        <v>67500</v>
      </c>
      <c r="B161">
        <v>73570.5</v>
      </c>
      <c r="C161">
        <v>0</v>
      </c>
      <c r="D161">
        <v>0</v>
      </c>
    </row>
    <row r="162" spans="1:4" x14ac:dyDescent="0.25">
      <c r="A162">
        <v>67500</v>
      </c>
      <c r="B162">
        <v>71334</v>
      </c>
      <c r="C162">
        <v>0</v>
      </c>
      <c r="D162">
        <v>0</v>
      </c>
    </row>
    <row r="163" spans="1:4" x14ac:dyDescent="0.25">
      <c r="A163">
        <v>135000</v>
      </c>
      <c r="B163">
        <v>145593</v>
      </c>
      <c r="C163">
        <v>0</v>
      </c>
      <c r="D163">
        <v>1</v>
      </c>
    </row>
    <row r="164" spans="1:4" x14ac:dyDescent="0.25">
      <c r="A164">
        <v>135000</v>
      </c>
      <c r="B164">
        <v>158490</v>
      </c>
      <c r="C164">
        <v>0</v>
      </c>
      <c r="D164">
        <v>1</v>
      </c>
    </row>
    <row r="165" spans="1:4" x14ac:dyDescent="0.25">
      <c r="A165">
        <v>135000</v>
      </c>
      <c r="B165">
        <v>158490</v>
      </c>
      <c r="C165">
        <v>0</v>
      </c>
      <c r="D165">
        <v>1</v>
      </c>
    </row>
    <row r="166" spans="1:4" x14ac:dyDescent="0.25">
      <c r="A166">
        <v>225000</v>
      </c>
      <c r="B166">
        <v>405000</v>
      </c>
      <c r="C166">
        <v>0</v>
      </c>
      <c r="D166">
        <v>1</v>
      </c>
    </row>
    <row r="167" spans="1:4" x14ac:dyDescent="0.25">
      <c r="A167">
        <v>225000</v>
      </c>
      <c r="B167">
        <v>179550</v>
      </c>
      <c r="C167">
        <v>0</v>
      </c>
      <c r="D167">
        <v>0</v>
      </c>
    </row>
    <row r="168" spans="1:4" x14ac:dyDescent="0.25">
      <c r="A168">
        <v>225000</v>
      </c>
      <c r="B168">
        <v>45000</v>
      </c>
      <c r="C168">
        <v>13500</v>
      </c>
      <c r="D168">
        <v>0</v>
      </c>
    </row>
    <row r="169" spans="1:4" x14ac:dyDescent="0.25">
      <c r="A169">
        <v>135000</v>
      </c>
      <c r="B169">
        <v>108886.5</v>
      </c>
      <c r="C169">
        <v>0</v>
      </c>
      <c r="D169">
        <v>0</v>
      </c>
    </row>
    <row r="170" spans="1:4" x14ac:dyDescent="0.25">
      <c r="A170">
        <v>157500</v>
      </c>
      <c r="B170">
        <v>23845.5</v>
      </c>
      <c r="C170">
        <v>0</v>
      </c>
      <c r="D170">
        <v>0</v>
      </c>
    </row>
    <row r="171" spans="1:4" x14ac:dyDescent="0.25">
      <c r="A171">
        <v>157500</v>
      </c>
      <c r="B171">
        <v>30600</v>
      </c>
      <c r="C171">
        <v>3060</v>
      </c>
      <c r="D171">
        <v>0</v>
      </c>
    </row>
    <row r="172" spans="1:4" x14ac:dyDescent="0.25">
      <c r="A172">
        <v>157500</v>
      </c>
      <c r="B172">
        <v>23845.5</v>
      </c>
      <c r="C172">
        <v>2385</v>
      </c>
      <c r="D172">
        <v>1</v>
      </c>
    </row>
    <row r="173" spans="1:4" x14ac:dyDescent="0.25">
      <c r="A173">
        <v>162000</v>
      </c>
      <c r="B173">
        <v>179910</v>
      </c>
      <c r="C173">
        <v>0</v>
      </c>
      <c r="D173">
        <v>1</v>
      </c>
    </row>
    <row r="174" spans="1:4" x14ac:dyDescent="0.25">
      <c r="A174">
        <v>162000</v>
      </c>
      <c r="B174">
        <v>76500</v>
      </c>
      <c r="C174">
        <v>0</v>
      </c>
      <c r="D174">
        <v>0</v>
      </c>
    </row>
    <row r="175" spans="1:4" x14ac:dyDescent="0.25">
      <c r="A175">
        <v>202500</v>
      </c>
      <c r="B175">
        <v>66555</v>
      </c>
      <c r="C175">
        <v>4050</v>
      </c>
      <c r="D175">
        <v>1</v>
      </c>
    </row>
    <row r="176" spans="1:4" x14ac:dyDescent="0.25">
      <c r="A176">
        <v>202500</v>
      </c>
      <c r="B176">
        <v>92695.5</v>
      </c>
      <c r="C176">
        <v>9270</v>
      </c>
      <c r="D176">
        <v>0</v>
      </c>
    </row>
    <row r="177" spans="1:4" x14ac:dyDescent="0.25">
      <c r="A177">
        <v>135000</v>
      </c>
      <c r="B177">
        <v>31432.5</v>
      </c>
      <c r="C177">
        <v>0</v>
      </c>
      <c r="D177">
        <v>0</v>
      </c>
    </row>
    <row r="178" spans="1:4" x14ac:dyDescent="0.25">
      <c r="A178">
        <v>135000</v>
      </c>
      <c r="B178">
        <v>36540</v>
      </c>
      <c r="C178">
        <v>4500</v>
      </c>
      <c r="D178">
        <v>0</v>
      </c>
    </row>
    <row r="179" spans="1:4" x14ac:dyDescent="0.25">
      <c r="A179">
        <v>135000</v>
      </c>
      <c r="B179">
        <v>53185.5</v>
      </c>
      <c r="C179">
        <v>15957</v>
      </c>
      <c r="D179">
        <v>0</v>
      </c>
    </row>
    <row r="180" spans="1:4" x14ac:dyDescent="0.25">
      <c r="A180">
        <v>135000</v>
      </c>
      <c r="B180">
        <v>130023</v>
      </c>
      <c r="C180">
        <v>81000</v>
      </c>
      <c r="D180">
        <v>0</v>
      </c>
    </row>
    <row r="181" spans="1:4" x14ac:dyDescent="0.25">
      <c r="A181">
        <v>247500</v>
      </c>
      <c r="B181">
        <v>59085</v>
      </c>
      <c r="C181">
        <v>9000</v>
      </c>
      <c r="D181">
        <v>0</v>
      </c>
    </row>
    <row r="182" spans="1:4" x14ac:dyDescent="0.25">
      <c r="A182">
        <v>171000</v>
      </c>
      <c r="B182">
        <v>55741.5</v>
      </c>
      <c r="C182">
        <v>0</v>
      </c>
      <c r="D182">
        <v>0</v>
      </c>
    </row>
    <row r="183" spans="1:4" x14ac:dyDescent="0.25">
      <c r="A183">
        <v>157500</v>
      </c>
      <c r="B183">
        <v>29655</v>
      </c>
      <c r="C183">
        <v>2965.5</v>
      </c>
      <c r="D183">
        <v>0</v>
      </c>
    </row>
    <row r="184" spans="1:4" x14ac:dyDescent="0.25">
      <c r="A184">
        <v>202500</v>
      </c>
      <c r="B184">
        <v>180000</v>
      </c>
      <c r="C184">
        <v>0</v>
      </c>
      <c r="D184">
        <v>0</v>
      </c>
    </row>
    <row r="185" spans="1:4" x14ac:dyDescent="0.25">
      <c r="A185">
        <v>202500</v>
      </c>
      <c r="B185">
        <v>59544</v>
      </c>
      <c r="C185">
        <v>45</v>
      </c>
      <c r="D185">
        <v>0</v>
      </c>
    </row>
    <row r="186" spans="1:4" x14ac:dyDescent="0.25">
      <c r="A186">
        <v>202500</v>
      </c>
      <c r="B186">
        <v>100854</v>
      </c>
      <c r="C186">
        <v>10089</v>
      </c>
      <c r="D186">
        <v>0</v>
      </c>
    </row>
    <row r="187" spans="1:4" x14ac:dyDescent="0.25">
      <c r="A187">
        <v>144000</v>
      </c>
      <c r="B187">
        <v>39591</v>
      </c>
      <c r="C187">
        <v>3960</v>
      </c>
      <c r="D187">
        <v>0</v>
      </c>
    </row>
    <row r="188" spans="1:4" x14ac:dyDescent="0.25">
      <c r="A188">
        <v>144000</v>
      </c>
      <c r="B188">
        <v>175158</v>
      </c>
      <c r="C188">
        <v>0</v>
      </c>
      <c r="D188">
        <v>0</v>
      </c>
    </row>
    <row r="189" spans="1:4" x14ac:dyDescent="0.25">
      <c r="A189">
        <v>157500</v>
      </c>
      <c r="B189">
        <v>44834.175000000003</v>
      </c>
      <c r="C189">
        <v>0</v>
      </c>
      <c r="D189">
        <v>0</v>
      </c>
    </row>
    <row r="190" spans="1:4" x14ac:dyDescent="0.25">
      <c r="A190">
        <v>157500</v>
      </c>
      <c r="B190">
        <v>45000</v>
      </c>
      <c r="C190">
        <v>0</v>
      </c>
      <c r="D190">
        <v>0</v>
      </c>
    </row>
    <row r="191" spans="1:4" x14ac:dyDescent="0.25">
      <c r="A191">
        <v>157500</v>
      </c>
      <c r="B191">
        <v>22455</v>
      </c>
      <c r="C191">
        <v>6750</v>
      </c>
      <c r="D191">
        <v>0</v>
      </c>
    </row>
    <row r="192" spans="1:4" x14ac:dyDescent="0.25">
      <c r="A192">
        <v>180000</v>
      </c>
      <c r="B192">
        <v>78718.5</v>
      </c>
      <c r="C192">
        <v>7875</v>
      </c>
      <c r="D192">
        <v>1</v>
      </c>
    </row>
    <row r="193" spans="1:4" x14ac:dyDescent="0.25">
      <c r="A193">
        <v>180000</v>
      </c>
      <c r="B193">
        <v>152307</v>
      </c>
      <c r="C193">
        <v>0</v>
      </c>
      <c r="D193">
        <v>0</v>
      </c>
    </row>
    <row r="194" spans="1:4" x14ac:dyDescent="0.25">
      <c r="A194">
        <v>180000</v>
      </c>
      <c r="B194">
        <v>69255</v>
      </c>
      <c r="C194">
        <v>0</v>
      </c>
      <c r="D194">
        <v>0</v>
      </c>
    </row>
    <row r="195" spans="1:4" x14ac:dyDescent="0.25">
      <c r="A195">
        <v>225000</v>
      </c>
      <c r="B195">
        <v>269289</v>
      </c>
      <c r="C195">
        <v>0</v>
      </c>
      <c r="D195">
        <v>0</v>
      </c>
    </row>
    <row r="196" spans="1:4" x14ac:dyDescent="0.25">
      <c r="A196">
        <v>292500</v>
      </c>
      <c r="B196">
        <v>79591.5</v>
      </c>
      <c r="C196">
        <v>0</v>
      </c>
      <c r="D196">
        <v>0</v>
      </c>
    </row>
    <row r="197" spans="1:4" x14ac:dyDescent="0.25">
      <c r="A197">
        <v>292500</v>
      </c>
      <c r="B197">
        <v>174271.5</v>
      </c>
      <c r="C197">
        <v>0</v>
      </c>
      <c r="D197">
        <v>0</v>
      </c>
    </row>
    <row r="198" spans="1:4" x14ac:dyDescent="0.25">
      <c r="A198">
        <v>90000</v>
      </c>
      <c r="B198">
        <v>65925</v>
      </c>
      <c r="C198">
        <v>0</v>
      </c>
      <c r="D198">
        <v>0</v>
      </c>
    </row>
    <row r="199" spans="1:4" x14ac:dyDescent="0.25">
      <c r="A199">
        <v>112500</v>
      </c>
      <c r="B199">
        <v>21420</v>
      </c>
      <c r="C199">
        <v>0</v>
      </c>
      <c r="D199">
        <v>0</v>
      </c>
    </row>
    <row r="200" spans="1:4" x14ac:dyDescent="0.25">
      <c r="A200">
        <v>112500</v>
      </c>
      <c r="B200">
        <v>315000</v>
      </c>
      <c r="C200">
        <v>0</v>
      </c>
      <c r="D200">
        <v>0</v>
      </c>
    </row>
    <row r="201" spans="1:4" x14ac:dyDescent="0.25">
      <c r="A201">
        <v>130500</v>
      </c>
      <c r="B201">
        <v>29952</v>
      </c>
      <c r="C201">
        <v>4500</v>
      </c>
      <c r="D201">
        <v>0</v>
      </c>
    </row>
    <row r="202" spans="1:4" x14ac:dyDescent="0.25">
      <c r="A202">
        <v>450000</v>
      </c>
      <c r="B202">
        <v>59053.5</v>
      </c>
      <c r="C202">
        <v>0</v>
      </c>
      <c r="D202">
        <v>0</v>
      </c>
    </row>
    <row r="203" spans="1:4" x14ac:dyDescent="0.25">
      <c r="A203">
        <v>175500</v>
      </c>
      <c r="B203">
        <v>32125.5</v>
      </c>
      <c r="C203">
        <v>0</v>
      </c>
      <c r="D203">
        <v>0</v>
      </c>
    </row>
    <row r="204" spans="1:4" x14ac:dyDescent="0.25">
      <c r="A204">
        <v>175500</v>
      </c>
      <c r="B204">
        <v>42705</v>
      </c>
      <c r="C204">
        <v>12825</v>
      </c>
      <c r="D204">
        <v>0</v>
      </c>
    </row>
    <row r="205" spans="1:4" x14ac:dyDescent="0.25">
      <c r="A205">
        <v>58500</v>
      </c>
      <c r="B205">
        <v>21330</v>
      </c>
      <c r="C205">
        <v>2133</v>
      </c>
      <c r="D205">
        <v>0</v>
      </c>
    </row>
    <row r="206" spans="1:4" x14ac:dyDescent="0.25">
      <c r="A206">
        <v>58500</v>
      </c>
      <c r="B206">
        <v>68841</v>
      </c>
      <c r="C206">
        <v>0</v>
      </c>
      <c r="D206">
        <v>0</v>
      </c>
    </row>
    <row r="207" spans="1:4" x14ac:dyDescent="0.25">
      <c r="A207">
        <v>180000</v>
      </c>
      <c r="B207">
        <v>42210</v>
      </c>
      <c r="C207">
        <v>4221</v>
      </c>
      <c r="D207">
        <v>0</v>
      </c>
    </row>
    <row r="208" spans="1:4" x14ac:dyDescent="0.25">
      <c r="A208">
        <v>180000</v>
      </c>
      <c r="B208">
        <v>67679.955000000002</v>
      </c>
      <c r="C208">
        <v>6772.4549999999999</v>
      </c>
      <c r="D208">
        <v>1</v>
      </c>
    </row>
    <row r="209" spans="1:4" x14ac:dyDescent="0.25">
      <c r="A209">
        <v>180000</v>
      </c>
      <c r="B209">
        <v>67679.955000000002</v>
      </c>
      <c r="C209">
        <v>6772.4549999999999</v>
      </c>
      <c r="D209">
        <v>1</v>
      </c>
    </row>
    <row r="210" spans="1:4" x14ac:dyDescent="0.25">
      <c r="A210">
        <v>180000</v>
      </c>
      <c r="B210">
        <v>59174.55</v>
      </c>
      <c r="C210">
        <v>22504.05</v>
      </c>
      <c r="D210">
        <v>0</v>
      </c>
    </row>
    <row r="211" spans="1:4" x14ac:dyDescent="0.25">
      <c r="A211">
        <v>117000</v>
      </c>
      <c r="B211">
        <v>75195</v>
      </c>
      <c r="C211">
        <v>7519.5</v>
      </c>
      <c r="D211">
        <v>0</v>
      </c>
    </row>
    <row r="212" spans="1:4" x14ac:dyDescent="0.25">
      <c r="A212">
        <v>180000</v>
      </c>
      <c r="B212">
        <v>138483</v>
      </c>
      <c r="C212">
        <v>41548.5</v>
      </c>
      <c r="D212">
        <v>0</v>
      </c>
    </row>
    <row r="213" spans="1:4" x14ac:dyDescent="0.25">
      <c r="A213">
        <v>202500</v>
      </c>
      <c r="B213">
        <v>31005</v>
      </c>
      <c r="C213">
        <v>6300</v>
      </c>
      <c r="D213">
        <v>0</v>
      </c>
    </row>
    <row r="214" spans="1:4" x14ac:dyDescent="0.25">
      <c r="A214">
        <v>135000</v>
      </c>
      <c r="B214">
        <v>202500</v>
      </c>
      <c r="C214">
        <v>0</v>
      </c>
      <c r="D214">
        <v>0</v>
      </c>
    </row>
    <row r="215" spans="1:4" x14ac:dyDescent="0.25">
      <c r="A215">
        <v>119250</v>
      </c>
      <c r="B215">
        <v>124200</v>
      </c>
      <c r="C215">
        <v>0</v>
      </c>
      <c r="D215">
        <v>0</v>
      </c>
    </row>
    <row r="216" spans="1:4" x14ac:dyDescent="0.25">
      <c r="A216">
        <v>119250</v>
      </c>
      <c r="B216">
        <v>53550</v>
      </c>
      <c r="C216">
        <v>16065</v>
      </c>
      <c r="D216">
        <v>0</v>
      </c>
    </row>
    <row r="217" spans="1:4" x14ac:dyDescent="0.25">
      <c r="A217">
        <v>202500</v>
      </c>
      <c r="B217">
        <v>121495.5</v>
      </c>
      <c r="C217">
        <v>13500</v>
      </c>
      <c r="D217">
        <v>0</v>
      </c>
    </row>
    <row r="218" spans="1:4" x14ac:dyDescent="0.25">
      <c r="A218">
        <v>112500</v>
      </c>
      <c r="B218">
        <v>14953.5</v>
      </c>
      <c r="C218">
        <v>2970</v>
      </c>
      <c r="D218">
        <v>0</v>
      </c>
    </row>
    <row r="219" spans="1:4" x14ac:dyDescent="0.25">
      <c r="A219">
        <v>103500</v>
      </c>
      <c r="B219">
        <v>53910</v>
      </c>
      <c r="C219">
        <v>5391</v>
      </c>
      <c r="D219">
        <v>0</v>
      </c>
    </row>
    <row r="220" spans="1:4" x14ac:dyDescent="0.25">
      <c r="A220">
        <v>58500</v>
      </c>
      <c r="B220">
        <v>28332</v>
      </c>
      <c r="C220">
        <v>0</v>
      </c>
      <c r="D220">
        <v>0</v>
      </c>
    </row>
    <row r="221" spans="1:4" x14ac:dyDescent="0.25">
      <c r="A221">
        <v>117000</v>
      </c>
      <c r="B221">
        <v>98955</v>
      </c>
      <c r="C221">
        <v>9900</v>
      </c>
      <c r="D221">
        <v>0</v>
      </c>
    </row>
    <row r="222" spans="1:4" x14ac:dyDescent="0.25">
      <c r="A222">
        <v>225000</v>
      </c>
      <c r="B222">
        <v>737100</v>
      </c>
      <c r="C222">
        <v>0</v>
      </c>
      <c r="D222">
        <v>0</v>
      </c>
    </row>
    <row r="223" spans="1:4" x14ac:dyDescent="0.25">
      <c r="A223">
        <v>135000</v>
      </c>
      <c r="B223">
        <v>171000</v>
      </c>
      <c r="C223">
        <v>0</v>
      </c>
      <c r="D223">
        <v>0</v>
      </c>
    </row>
    <row r="224" spans="1:4" x14ac:dyDescent="0.25">
      <c r="A224">
        <v>162000</v>
      </c>
      <c r="B224">
        <v>112500</v>
      </c>
      <c r="C224">
        <v>0</v>
      </c>
      <c r="D224">
        <v>0</v>
      </c>
    </row>
    <row r="225" spans="1:4" x14ac:dyDescent="0.25">
      <c r="A225">
        <v>162000</v>
      </c>
      <c r="B225">
        <v>135000</v>
      </c>
      <c r="C225">
        <v>0</v>
      </c>
      <c r="D225">
        <v>0</v>
      </c>
    </row>
    <row r="226" spans="1:4" x14ac:dyDescent="0.25">
      <c r="A226">
        <v>162000</v>
      </c>
      <c r="B226">
        <v>112500</v>
      </c>
      <c r="C226">
        <v>0</v>
      </c>
      <c r="D226">
        <v>0</v>
      </c>
    </row>
    <row r="227" spans="1:4" x14ac:dyDescent="0.25">
      <c r="A227">
        <v>112500</v>
      </c>
      <c r="B227">
        <v>43155</v>
      </c>
      <c r="C227">
        <v>4500</v>
      </c>
      <c r="D227">
        <v>0</v>
      </c>
    </row>
    <row r="228" spans="1:4" x14ac:dyDescent="0.25">
      <c r="A228">
        <v>112500</v>
      </c>
      <c r="B228">
        <v>45405</v>
      </c>
      <c r="C228">
        <v>9081</v>
      </c>
      <c r="D228">
        <v>0</v>
      </c>
    </row>
    <row r="229" spans="1:4" x14ac:dyDescent="0.25">
      <c r="A229">
        <v>225000</v>
      </c>
      <c r="B229">
        <v>55957.5</v>
      </c>
      <c r="C229">
        <v>0</v>
      </c>
      <c r="D229">
        <v>0</v>
      </c>
    </row>
    <row r="230" spans="1:4" x14ac:dyDescent="0.25">
      <c r="A230">
        <v>225000</v>
      </c>
      <c r="B230">
        <v>130045.5</v>
      </c>
      <c r="C230">
        <v>0</v>
      </c>
      <c r="D230">
        <v>0</v>
      </c>
    </row>
    <row r="231" spans="1:4" x14ac:dyDescent="0.25">
      <c r="A231">
        <v>157500</v>
      </c>
      <c r="B231">
        <v>74092.5</v>
      </c>
      <c r="C231">
        <v>0</v>
      </c>
      <c r="D231">
        <v>0</v>
      </c>
    </row>
    <row r="232" spans="1:4" x14ac:dyDescent="0.25">
      <c r="A232">
        <v>157500</v>
      </c>
      <c r="B232">
        <v>159682.5</v>
      </c>
      <c r="C232">
        <v>0</v>
      </c>
      <c r="D232">
        <v>0</v>
      </c>
    </row>
    <row r="233" spans="1:4" x14ac:dyDescent="0.25">
      <c r="A233">
        <v>157500</v>
      </c>
      <c r="B233">
        <v>166500</v>
      </c>
      <c r="C233">
        <v>16650</v>
      </c>
      <c r="D233">
        <v>0</v>
      </c>
    </row>
    <row r="234" spans="1:4" x14ac:dyDescent="0.25">
      <c r="A234">
        <v>164250</v>
      </c>
      <c r="B234">
        <v>24970.5</v>
      </c>
      <c r="C234">
        <v>0</v>
      </c>
      <c r="D234">
        <v>0</v>
      </c>
    </row>
    <row r="235" spans="1:4" x14ac:dyDescent="0.25">
      <c r="A235">
        <v>157500</v>
      </c>
      <c r="B235">
        <v>17626.5</v>
      </c>
      <c r="C235">
        <v>1062</v>
      </c>
      <c r="D235">
        <v>1</v>
      </c>
    </row>
    <row r="236" spans="1:4" x14ac:dyDescent="0.25">
      <c r="A236">
        <v>135000</v>
      </c>
      <c r="B236">
        <v>18855</v>
      </c>
      <c r="C236">
        <v>1885.5</v>
      </c>
      <c r="D236">
        <v>1</v>
      </c>
    </row>
    <row r="237" spans="1:4" x14ac:dyDescent="0.25">
      <c r="A237">
        <v>135000</v>
      </c>
      <c r="B237">
        <v>17055</v>
      </c>
      <c r="C237">
        <v>0</v>
      </c>
      <c r="D237">
        <v>1</v>
      </c>
    </row>
    <row r="238" spans="1:4" x14ac:dyDescent="0.25">
      <c r="A238">
        <v>135000</v>
      </c>
      <c r="B238">
        <v>58005</v>
      </c>
      <c r="C238">
        <v>5800.5</v>
      </c>
      <c r="D238">
        <v>0</v>
      </c>
    </row>
    <row r="239" spans="1:4" x14ac:dyDescent="0.25">
      <c r="A239">
        <v>216000</v>
      </c>
      <c r="B239">
        <v>133650</v>
      </c>
      <c r="C239">
        <v>13365</v>
      </c>
      <c r="D239">
        <v>1</v>
      </c>
    </row>
    <row r="240" spans="1:4" x14ac:dyDescent="0.25">
      <c r="A240">
        <v>216000</v>
      </c>
      <c r="B240">
        <v>133650</v>
      </c>
      <c r="C240">
        <v>0</v>
      </c>
      <c r="D240">
        <v>1</v>
      </c>
    </row>
    <row r="241" spans="1:4" x14ac:dyDescent="0.25">
      <c r="A241">
        <v>180000</v>
      </c>
      <c r="B241">
        <v>38610</v>
      </c>
      <c r="C241">
        <v>9000</v>
      </c>
      <c r="D241">
        <v>0</v>
      </c>
    </row>
    <row r="242" spans="1:4" x14ac:dyDescent="0.25">
      <c r="A242">
        <v>180000</v>
      </c>
      <c r="B242">
        <v>31635</v>
      </c>
      <c r="C242">
        <v>3195</v>
      </c>
      <c r="D242">
        <v>0</v>
      </c>
    </row>
    <row r="243" spans="1:4" x14ac:dyDescent="0.25">
      <c r="A243">
        <v>180000</v>
      </c>
      <c r="B243">
        <v>44955</v>
      </c>
      <c r="C243">
        <v>4500</v>
      </c>
      <c r="D243">
        <v>0</v>
      </c>
    </row>
    <row r="244" spans="1:4" x14ac:dyDescent="0.25">
      <c r="A244">
        <v>180000</v>
      </c>
      <c r="B244">
        <v>67410</v>
      </c>
      <c r="C244">
        <v>13500</v>
      </c>
      <c r="D244">
        <v>0</v>
      </c>
    </row>
    <row r="245" spans="1:4" x14ac:dyDescent="0.25">
      <c r="A245">
        <v>180000</v>
      </c>
      <c r="B245">
        <v>87705</v>
      </c>
      <c r="C245">
        <v>9000</v>
      </c>
      <c r="D245">
        <v>1</v>
      </c>
    </row>
    <row r="246" spans="1:4" x14ac:dyDescent="0.25">
      <c r="A246">
        <v>180000</v>
      </c>
      <c r="B246">
        <v>111591.9</v>
      </c>
      <c r="C246">
        <v>13500.9</v>
      </c>
      <c r="D246">
        <v>0</v>
      </c>
    </row>
    <row r="247" spans="1:4" x14ac:dyDescent="0.25">
      <c r="A247">
        <v>67500</v>
      </c>
      <c r="B247">
        <v>26775</v>
      </c>
      <c r="C247">
        <v>2677.5</v>
      </c>
      <c r="D247">
        <v>0</v>
      </c>
    </row>
    <row r="248" spans="1:4" x14ac:dyDescent="0.25">
      <c r="A248">
        <v>81000</v>
      </c>
      <c r="B248">
        <v>144868.5</v>
      </c>
      <c r="C248">
        <v>14490</v>
      </c>
      <c r="D248">
        <v>0</v>
      </c>
    </row>
    <row r="249" spans="1:4" x14ac:dyDescent="0.25">
      <c r="A249">
        <v>157500</v>
      </c>
      <c r="B249">
        <v>81720</v>
      </c>
      <c r="C249">
        <v>16344</v>
      </c>
      <c r="D249">
        <v>1</v>
      </c>
    </row>
    <row r="250" spans="1:4" x14ac:dyDescent="0.25">
      <c r="A250">
        <v>157500</v>
      </c>
      <c r="B250">
        <v>71451</v>
      </c>
      <c r="C250">
        <v>7146</v>
      </c>
      <c r="D250">
        <v>1</v>
      </c>
    </row>
    <row r="251" spans="1:4" x14ac:dyDescent="0.25">
      <c r="A251">
        <v>157500</v>
      </c>
      <c r="B251">
        <v>84150</v>
      </c>
      <c r="C251">
        <v>8415</v>
      </c>
      <c r="D251">
        <v>0</v>
      </c>
    </row>
    <row r="252" spans="1:4" x14ac:dyDescent="0.25">
      <c r="A252">
        <v>157500</v>
      </c>
      <c r="B252">
        <v>155241</v>
      </c>
      <c r="C252">
        <v>15525</v>
      </c>
      <c r="D252">
        <v>0</v>
      </c>
    </row>
    <row r="253" spans="1:4" x14ac:dyDescent="0.25">
      <c r="A253">
        <v>157500</v>
      </c>
      <c r="B253">
        <v>81720</v>
      </c>
      <c r="C253">
        <v>0</v>
      </c>
      <c r="D253">
        <v>1</v>
      </c>
    </row>
    <row r="254" spans="1:4" x14ac:dyDescent="0.25">
      <c r="A254">
        <v>157500</v>
      </c>
      <c r="B254">
        <v>29587.5</v>
      </c>
      <c r="C254">
        <v>2961</v>
      </c>
      <c r="D254">
        <v>1</v>
      </c>
    </row>
    <row r="255" spans="1:4" x14ac:dyDescent="0.25">
      <c r="A255">
        <v>157500</v>
      </c>
      <c r="B255">
        <v>112500</v>
      </c>
      <c r="C255">
        <v>0</v>
      </c>
      <c r="D255">
        <v>0</v>
      </c>
    </row>
    <row r="256" spans="1:4" x14ac:dyDescent="0.25">
      <c r="A256">
        <v>157500</v>
      </c>
      <c r="B256">
        <v>45000</v>
      </c>
      <c r="C256">
        <v>0</v>
      </c>
      <c r="D256">
        <v>0</v>
      </c>
    </row>
    <row r="257" spans="1:4" x14ac:dyDescent="0.25">
      <c r="A257">
        <v>180000</v>
      </c>
      <c r="B257">
        <v>85810.5</v>
      </c>
      <c r="C257">
        <v>17163</v>
      </c>
      <c r="D257">
        <v>0</v>
      </c>
    </row>
    <row r="258" spans="1:4" x14ac:dyDescent="0.25">
      <c r="A258">
        <v>202500</v>
      </c>
      <c r="B258">
        <v>32400</v>
      </c>
      <c r="C258">
        <v>0</v>
      </c>
      <c r="D258">
        <v>0</v>
      </c>
    </row>
    <row r="259" spans="1:4" x14ac:dyDescent="0.25">
      <c r="A259">
        <v>202500</v>
      </c>
      <c r="B259">
        <v>36850.5</v>
      </c>
      <c r="C259">
        <v>0</v>
      </c>
      <c r="D259">
        <v>0</v>
      </c>
    </row>
    <row r="260" spans="1:4" x14ac:dyDescent="0.25">
      <c r="A260">
        <v>225000</v>
      </c>
      <c r="B260">
        <v>262296</v>
      </c>
      <c r="C260">
        <v>0</v>
      </c>
      <c r="D260">
        <v>0</v>
      </c>
    </row>
    <row r="261" spans="1:4" x14ac:dyDescent="0.25">
      <c r="A261">
        <v>49500</v>
      </c>
      <c r="B261">
        <v>45000</v>
      </c>
      <c r="C261">
        <v>0</v>
      </c>
      <c r="D261">
        <v>0</v>
      </c>
    </row>
    <row r="262" spans="1:4" x14ac:dyDescent="0.25">
      <c r="A262">
        <v>202500</v>
      </c>
      <c r="B262">
        <v>36760.5</v>
      </c>
      <c r="C262">
        <v>3676.5</v>
      </c>
      <c r="D262">
        <v>0</v>
      </c>
    </row>
    <row r="263" spans="1:4" x14ac:dyDescent="0.25">
      <c r="A263">
        <v>90000</v>
      </c>
      <c r="B263">
        <v>27396</v>
      </c>
      <c r="C263">
        <v>5400</v>
      </c>
      <c r="D263">
        <v>0</v>
      </c>
    </row>
    <row r="264" spans="1:4" x14ac:dyDescent="0.25">
      <c r="A264">
        <v>180000</v>
      </c>
      <c r="B264">
        <v>38385</v>
      </c>
      <c r="C264">
        <v>3838.5</v>
      </c>
      <c r="D264">
        <v>0</v>
      </c>
    </row>
    <row r="265" spans="1:4" x14ac:dyDescent="0.25">
      <c r="A265">
        <v>180000</v>
      </c>
      <c r="B265">
        <v>101160</v>
      </c>
      <c r="C265">
        <v>20232</v>
      </c>
      <c r="D265">
        <v>0</v>
      </c>
    </row>
    <row r="266" spans="1:4" x14ac:dyDescent="0.25">
      <c r="A266">
        <v>180000</v>
      </c>
      <c r="B266">
        <v>97789.5</v>
      </c>
      <c r="C266">
        <v>0</v>
      </c>
      <c r="D266">
        <v>0</v>
      </c>
    </row>
    <row r="267" spans="1:4" x14ac:dyDescent="0.25">
      <c r="A267">
        <v>337500</v>
      </c>
      <c r="B267">
        <v>51826.5</v>
      </c>
      <c r="C267">
        <v>5184</v>
      </c>
      <c r="D267">
        <v>0</v>
      </c>
    </row>
    <row r="268" spans="1:4" x14ac:dyDescent="0.25">
      <c r="A268">
        <v>225000</v>
      </c>
      <c r="B268">
        <v>108513</v>
      </c>
      <c r="C268">
        <v>0</v>
      </c>
      <c r="D268">
        <v>0</v>
      </c>
    </row>
    <row r="269" spans="1:4" x14ac:dyDescent="0.25">
      <c r="A269">
        <v>225000</v>
      </c>
      <c r="B269">
        <v>89253</v>
      </c>
      <c r="C269">
        <v>0</v>
      </c>
      <c r="D269">
        <v>0</v>
      </c>
    </row>
    <row r="270" spans="1:4" x14ac:dyDescent="0.25">
      <c r="A270">
        <v>225000</v>
      </c>
      <c r="B270">
        <v>44955</v>
      </c>
      <c r="C270">
        <v>4495.5</v>
      </c>
      <c r="D270">
        <v>0</v>
      </c>
    </row>
    <row r="271" spans="1:4" x14ac:dyDescent="0.25">
      <c r="A271">
        <v>225000</v>
      </c>
      <c r="B271">
        <v>61150.5</v>
      </c>
      <c r="C271">
        <v>0</v>
      </c>
      <c r="D271">
        <v>0</v>
      </c>
    </row>
    <row r="272" spans="1:4" x14ac:dyDescent="0.25">
      <c r="A272">
        <v>225000</v>
      </c>
      <c r="B272">
        <v>61605</v>
      </c>
      <c r="C272">
        <v>3699</v>
      </c>
      <c r="D272">
        <v>1</v>
      </c>
    </row>
    <row r="273" spans="1:4" x14ac:dyDescent="0.25">
      <c r="A273">
        <v>157500</v>
      </c>
      <c r="B273">
        <v>56457</v>
      </c>
      <c r="C273">
        <v>0</v>
      </c>
      <c r="D273">
        <v>0</v>
      </c>
    </row>
    <row r="274" spans="1:4" x14ac:dyDescent="0.25">
      <c r="A274">
        <v>157500</v>
      </c>
      <c r="B274">
        <v>56457</v>
      </c>
      <c r="C274">
        <v>2835</v>
      </c>
      <c r="D274">
        <v>0</v>
      </c>
    </row>
    <row r="275" spans="1:4" x14ac:dyDescent="0.25">
      <c r="A275">
        <v>112500</v>
      </c>
      <c r="B275">
        <v>95395.5</v>
      </c>
      <c r="C275">
        <v>27000</v>
      </c>
      <c r="D275">
        <v>0</v>
      </c>
    </row>
    <row r="276" spans="1:4" x14ac:dyDescent="0.25">
      <c r="A276">
        <v>112500</v>
      </c>
      <c r="B276">
        <v>132808.5</v>
      </c>
      <c r="C276">
        <v>0</v>
      </c>
      <c r="D276">
        <v>0</v>
      </c>
    </row>
    <row r="277" spans="1:4" x14ac:dyDescent="0.25">
      <c r="A277">
        <v>292500</v>
      </c>
      <c r="B277">
        <v>53352</v>
      </c>
      <c r="C277">
        <v>10674</v>
      </c>
      <c r="D277">
        <v>0</v>
      </c>
    </row>
    <row r="278" spans="1:4" x14ac:dyDescent="0.25">
      <c r="A278">
        <v>292500</v>
      </c>
      <c r="B278">
        <v>64750.5</v>
      </c>
      <c r="C278">
        <v>0</v>
      </c>
      <c r="D278">
        <v>0</v>
      </c>
    </row>
    <row r="279" spans="1:4" x14ac:dyDescent="0.25">
      <c r="A279">
        <v>292500</v>
      </c>
      <c r="B279">
        <v>53352</v>
      </c>
      <c r="C279">
        <v>0</v>
      </c>
      <c r="D279">
        <v>0</v>
      </c>
    </row>
    <row r="280" spans="1:4" x14ac:dyDescent="0.25">
      <c r="A280">
        <v>121500</v>
      </c>
      <c r="B280">
        <v>45000</v>
      </c>
      <c r="C280">
        <v>0</v>
      </c>
      <c r="D280">
        <v>0</v>
      </c>
    </row>
    <row r="281" spans="1:4" x14ac:dyDescent="0.25">
      <c r="A281">
        <v>157500</v>
      </c>
      <c r="B281">
        <v>31860</v>
      </c>
      <c r="C281">
        <v>3186</v>
      </c>
      <c r="D281">
        <v>0</v>
      </c>
    </row>
    <row r="282" spans="1:4" x14ac:dyDescent="0.25">
      <c r="A282">
        <v>157500</v>
      </c>
      <c r="B282">
        <v>18189</v>
      </c>
      <c r="C282">
        <v>0</v>
      </c>
      <c r="D282">
        <v>0</v>
      </c>
    </row>
    <row r="283" spans="1:4" x14ac:dyDescent="0.25">
      <c r="A283">
        <v>135000</v>
      </c>
      <c r="B283">
        <v>208120.5</v>
      </c>
      <c r="C283">
        <v>0</v>
      </c>
      <c r="D283">
        <v>1</v>
      </c>
    </row>
    <row r="284" spans="1:4" x14ac:dyDescent="0.25">
      <c r="A284">
        <v>135000</v>
      </c>
      <c r="B284">
        <v>214362</v>
      </c>
      <c r="C284">
        <v>21438</v>
      </c>
      <c r="D284">
        <v>0</v>
      </c>
    </row>
    <row r="285" spans="1:4" x14ac:dyDescent="0.25">
      <c r="A285">
        <v>135000</v>
      </c>
      <c r="B285">
        <v>91786.5</v>
      </c>
      <c r="C285">
        <v>0</v>
      </c>
      <c r="D285">
        <v>1</v>
      </c>
    </row>
    <row r="286" spans="1:4" x14ac:dyDescent="0.25">
      <c r="A286">
        <v>135000</v>
      </c>
      <c r="B286">
        <v>81918</v>
      </c>
      <c r="C286">
        <v>8194.5</v>
      </c>
      <c r="D286">
        <v>0</v>
      </c>
    </row>
    <row r="287" spans="1:4" x14ac:dyDescent="0.25">
      <c r="A287">
        <v>108000</v>
      </c>
      <c r="B287">
        <v>102762</v>
      </c>
      <c r="C287">
        <v>0</v>
      </c>
      <c r="D287">
        <v>0</v>
      </c>
    </row>
    <row r="288" spans="1:4" x14ac:dyDescent="0.25">
      <c r="A288">
        <v>216000</v>
      </c>
      <c r="B288">
        <v>30550.5</v>
      </c>
      <c r="C288">
        <v>0</v>
      </c>
      <c r="D288">
        <v>0</v>
      </c>
    </row>
    <row r="289" spans="1:4" x14ac:dyDescent="0.25">
      <c r="A289">
        <v>216000</v>
      </c>
      <c r="B289">
        <v>20349</v>
      </c>
      <c r="C289">
        <v>2349</v>
      </c>
      <c r="D289">
        <v>0</v>
      </c>
    </row>
    <row r="290" spans="1:4" x14ac:dyDescent="0.25">
      <c r="A290">
        <v>67500</v>
      </c>
      <c r="B290">
        <v>111465</v>
      </c>
      <c r="C290">
        <v>0</v>
      </c>
      <c r="D290">
        <v>0</v>
      </c>
    </row>
    <row r="291" spans="1:4" x14ac:dyDescent="0.25">
      <c r="A291">
        <v>144000</v>
      </c>
      <c r="B291">
        <v>127170</v>
      </c>
      <c r="C291">
        <v>85500</v>
      </c>
      <c r="D291">
        <v>0</v>
      </c>
    </row>
    <row r="292" spans="1:4" x14ac:dyDescent="0.25">
      <c r="A292">
        <v>135000</v>
      </c>
      <c r="B292">
        <v>103144.5</v>
      </c>
      <c r="C292">
        <v>10318.5</v>
      </c>
      <c r="D292">
        <v>0</v>
      </c>
    </row>
    <row r="293" spans="1:4" x14ac:dyDescent="0.25">
      <c r="A293">
        <v>135000</v>
      </c>
      <c r="B293">
        <v>87970.5</v>
      </c>
      <c r="C293">
        <v>8797.5</v>
      </c>
      <c r="D293">
        <v>0</v>
      </c>
    </row>
    <row r="294" spans="1:4" x14ac:dyDescent="0.25">
      <c r="A294">
        <v>135000</v>
      </c>
      <c r="B294">
        <v>30685.5</v>
      </c>
      <c r="C294">
        <v>6138</v>
      </c>
      <c r="D294">
        <v>0</v>
      </c>
    </row>
    <row r="295" spans="1:4" x14ac:dyDescent="0.25">
      <c r="A295">
        <v>135000</v>
      </c>
      <c r="B295">
        <v>18360</v>
      </c>
      <c r="C295">
        <v>1836</v>
      </c>
      <c r="D295">
        <v>0</v>
      </c>
    </row>
    <row r="296" spans="1:4" x14ac:dyDescent="0.25">
      <c r="A296">
        <v>225000</v>
      </c>
      <c r="B296">
        <v>74686.5</v>
      </c>
      <c r="C296">
        <v>0</v>
      </c>
      <c r="D296">
        <v>0</v>
      </c>
    </row>
    <row r="297" spans="1:4" x14ac:dyDescent="0.25">
      <c r="A297">
        <v>225000</v>
      </c>
      <c r="B297">
        <v>47110.5</v>
      </c>
      <c r="C297">
        <v>0</v>
      </c>
      <c r="D297">
        <v>0</v>
      </c>
    </row>
    <row r="298" spans="1:4" x14ac:dyDescent="0.25">
      <c r="A298">
        <v>225000</v>
      </c>
      <c r="B298">
        <v>182731.5</v>
      </c>
      <c r="C298">
        <v>0</v>
      </c>
      <c r="D298">
        <v>0</v>
      </c>
    </row>
    <row r="299" spans="1:4" x14ac:dyDescent="0.25">
      <c r="A299">
        <v>225000</v>
      </c>
      <c r="B299">
        <v>33385.5</v>
      </c>
      <c r="C299">
        <v>3541.5</v>
      </c>
      <c r="D299">
        <v>1</v>
      </c>
    </row>
    <row r="300" spans="1:4" x14ac:dyDescent="0.25">
      <c r="A300">
        <v>225000</v>
      </c>
      <c r="B300">
        <v>33385.5</v>
      </c>
      <c r="C300">
        <v>3541.5</v>
      </c>
      <c r="D300">
        <v>1</v>
      </c>
    </row>
    <row r="301" spans="1:4" x14ac:dyDescent="0.25">
      <c r="A301">
        <v>135000</v>
      </c>
      <c r="B301">
        <v>29025</v>
      </c>
      <c r="C301">
        <v>2902.5</v>
      </c>
      <c r="D301">
        <v>0</v>
      </c>
    </row>
    <row r="302" spans="1:4" x14ac:dyDescent="0.25">
      <c r="A302">
        <v>135000</v>
      </c>
      <c r="B302">
        <v>104805</v>
      </c>
      <c r="C302">
        <v>0</v>
      </c>
      <c r="D302">
        <v>0</v>
      </c>
    </row>
    <row r="303" spans="1:4" x14ac:dyDescent="0.25">
      <c r="A303">
        <v>90000</v>
      </c>
      <c r="B303">
        <v>34110.9</v>
      </c>
      <c r="C303">
        <v>3411.9</v>
      </c>
      <c r="D303">
        <v>0</v>
      </c>
    </row>
    <row r="304" spans="1:4" x14ac:dyDescent="0.25">
      <c r="A304">
        <v>112500</v>
      </c>
      <c r="B304">
        <v>22815</v>
      </c>
      <c r="C304">
        <v>1800</v>
      </c>
      <c r="D304">
        <v>0</v>
      </c>
    </row>
    <row r="305" spans="1:4" x14ac:dyDescent="0.25">
      <c r="A305">
        <v>112500</v>
      </c>
      <c r="B305">
        <v>41503.5</v>
      </c>
      <c r="C305">
        <v>0</v>
      </c>
      <c r="D305">
        <v>0</v>
      </c>
    </row>
    <row r="306" spans="1:4" x14ac:dyDescent="0.25">
      <c r="A306">
        <v>112500</v>
      </c>
      <c r="B306">
        <v>46840.5</v>
      </c>
      <c r="C306">
        <v>0</v>
      </c>
      <c r="D306">
        <v>0</v>
      </c>
    </row>
    <row r="307" spans="1:4" x14ac:dyDescent="0.25">
      <c r="A307">
        <v>112500</v>
      </c>
      <c r="B307">
        <v>39780</v>
      </c>
      <c r="C307">
        <v>7965</v>
      </c>
      <c r="D307">
        <v>0</v>
      </c>
    </row>
    <row r="308" spans="1:4" x14ac:dyDescent="0.25">
      <c r="A308">
        <v>112500</v>
      </c>
      <c r="B308">
        <v>24633</v>
      </c>
      <c r="C308">
        <v>0</v>
      </c>
      <c r="D308">
        <v>0</v>
      </c>
    </row>
    <row r="309" spans="1:4" x14ac:dyDescent="0.25">
      <c r="A309">
        <v>247500</v>
      </c>
      <c r="B309">
        <v>315000</v>
      </c>
      <c r="C309">
        <v>0</v>
      </c>
      <c r="D309">
        <v>0</v>
      </c>
    </row>
    <row r="310" spans="1:4" x14ac:dyDescent="0.25">
      <c r="A310">
        <v>247500</v>
      </c>
      <c r="B310">
        <v>24300</v>
      </c>
      <c r="C310">
        <v>2430</v>
      </c>
      <c r="D310">
        <v>0</v>
      </c>
    </row>
    <row r="311" spans="1:4" x14ac:dyDescent="0.25">
      <c r="A311">
        <v>225000</v>
      </c>
      <c r="B311">
        <v>174159</v>
      </c>
      <c r="C311">
        <v>0</v>
      </c>
      <c r="D311">
        <v>0</v>
      </c>
    </row>
    <row r="312" spans="1:4" x14ac:dyDescent="0.25">
      <c r="A312">
        <v>90000</v>
      </c>
      <c r="B312">
        <v>55750.5</v>
      </c>
      <c r="C312">
        <v>5575.5</v>
      </c>
      <c r="D312">
        <v>0</v>
      </c>
    </row>
    <row r="313" spans="1:4" x14ac:dyDescent="0.25">
      <c r="A313">
        <v>67500</v>
      </c>
      <c r="B313">
        <v>15003</v>
      </c>
      <c r="C313">
        <v>1503</v>
      </c>
      <c r="D313">
        <v>0</v>
      </c>
    </row>
    <row r="314" spans="1:4" x14ac:dyDescent="0.25">
      <c r="A314">
        <v>67500</v>
      </c>
      <c r="B314">
        <v>33077.97</v>
      </c>
      <c r="C314">
        <v>0</v>
      </c>
      <c r="D314">
        <v>0</v>
      </c>
    </row>
    <row r="315" spans="1:4" x14ac:dyDescent="0.25">
      <c r="A315">
        <v>72000</v>
      </c>
      <c r="B315">
        <v>15075</v>
      </c>
      <c r="C315">
        <v>0</v>
      </c>
      <c r="D315">
        <v>0</v>
      </c>
    </row>
    <row r="316" spans="1:4" x14ac:dyDescent="0.25">
      <c r="A316">
        <v>202500</v>
      </c>
      <c r="B316">
        <v>29191.5</v>
      </c>
      <c r="C316">
        <v>0</v>
      </c>
      <c r="D316">
        <v>0</v>
      </c>
    </row>
    <row r="317" spans="1:4" x14ac:dyDescent="0.25">
      <c r="A317">
        <v>315000</v>
      </c>
      <c r="B317">
        <v>200205</v>
      </c>
      <c r="C317">
        <v>0</v>
      </c>
      <c r="D317">
        <v>0</v>
      </c>
    </row>
    <row r="318" spans="1:4" x14ac:dyDescent="0.25">
      <c r="A318">
        <v>315000</v>
      </c>
      <c r="B318">
        <v>336789</v>
      </c>
      <c r="C318">
        <v>0</v>
      </c>
      <c r="D318">
        <v>0</v>
      </c>
    </row>
    <row r="319" spans="1:4" x14ac:dyDescent="0.25">
      <c r="A319">
        <v>90000</v>
      </c>
      <c r="B319">
        <v>18130.5</v>
      </c>
      <c r="C319">
        <v>1813.5</v>
      </c>
      <c r="D319">
        <v>0</v>
      </c>
    </row>
    <row r="320" spans="1:4" x14ac:dyDescent="0.25">
      <c r="A320">
        <v>135000</v>
      </c>
      <c r="B320">
        <v>166689</v>
      </c>
      <c r="C320">
        <v>0</v>
      </c>
      <c r="D320">
        <v>0</v>
      </c>
    </row>
    <row r="321" spans="1:4" x14ac:dyDescent="0.25">
      <c r="A321">
        <v>180000</v>
      </c>
      <c r="B321">
        <v>39555</v>
      </c>
      <c r="C321">
        <v>0</v>
      </c>
      <c r="D321">
        <v>0</v>
      </c>
    </row>
    <row r="322" spans="1:4" x14ac:dyDescent="0.25">
      <c r="A322">
        <v>180000</v>
      </c>
      <c r="B322">
        <v>59949</v>
      </c>
      <c r="C322">
        <v>13500</v>
      </c>
      <c r="D322">
        <v>0</v>
      </c>
    </row>
    <row r="323" spans="1:4" x14ac:dyDescent="0.25">
      <c r="A323">
        <v>90000</v>
      </c>
      <c r="B323">
        <v>35910</v>
      </c>
      <c r="C323">
        <v>0</v>
      </c>
      <c r="D323">
        <v>0</v>
      </c>
    </row>
    <row r="324" spans="1:4" x14ac:dyDescent="0.25">
      <c r="A324">
        <v>90000</v>
      </c>
      <c r="B324">
        <v>90000</v>
      </c>
      <c r="C324">
        <v>0</v>
      </c>
      <c r="D324">
        <v>0</v>
      </c>
    </row>
    <row r="325" spans="1:4" x14ac:dyDescent="0.25">
      <c r="A325">
        <v>90000</v>
      </c>
      <c r="B325">
        <v>157500</v>
      </c>
      <c r="C325">
        <v>0</v>
      </c>
      <c r="D325">
        <v>1</v>
      </c>
    </row>
    <row r="326" spans="1:4" x14ac:dyDescent="0.25">
      <c r="A326">
        <v>315000</v>
      </c>
      <c r="B326">
        <v>285660</v>
      </c>
      <c r="C326">
        <v>0</v>
      </c>
      <c r="D326">
        <v>0</v>
      </c>
    </row>
    <row r="327" spans="1:4" x14ac:dyDescent="0.25">
      <c r="A327">
        <v>315000</v>
      </c>
      <c r="B327">
        <v>89091</v>
      </c>
      <c r="C327">
        <v>0</v>
      </c>
      <c r="D327">
        <v>0</v>
      </c>
    </row>
    <row r="328" spans="1:4" x14ac:dyDescent="0.25">
      <c r="A328">
        <v>108000</v>
      </c>
      <c r="B328">
        <v>88114.5</v>
      </c>
      <c r="C328">
        <v>17626.5</v>
      </c>
      <c r="D328">
        <v>0</v>
      </c>
    </row>
    <row r="329" spans="1:4" x14ac:dyDescent="0.25">
      <c r="A329">
        <v>157500</v>
      </c>
      <c r="B329">
        <v>128227.5</v>
      </c>
      <c r="C329">
        <v>0</v>
      </c>
      <c r="D329">
        <v>0</v>
      </c>
    </row>
    <row r="330" spans="1:4" x14ac:dyDescent="0.25">
      <c r="A330">
        <v>85500</v>
      </c>
      <c r="B330">
        <v>55107</v>
      </c>
      <c r="C330">
        <v>2250</v>
      </c>
      <c r="D330">
        <v>0</v>
      </c>
    </row>
    <row r="331" spans="1:4" x14ac:dyDescent="0.25">
      <c r="A331">
        <v>85500</v>
      </c>
      <c r="B331">
        <v>81751.5</v>
      </c>
      <c r="C331">
        <v>0</v>
      </c>
      <c r="D331">
        <v>0</v>
      </c>
    </row>
    <row r="332" spans="1:4" x14ac:dyDescent="0.25">
      <c r="A332">
        <v>90000</v>
      </c>
      <c r="B332">
        <v>62131.5</v>
      </c>
      <c r="C332">
        <v>6214.5</v>
      </c>
      <c r="D332">
        <v>0</v>
      </c>
    </row>
    <row r="333" spans="1:4" x14ac:dyDescent="0.25">
      <c r="A333">
        <v>90000</v>
      </c>
      <c r="B333">
        <v>78525</v>
      </c>
      <c r="C333">
        <v>0</v>
      </c>
      <c r="D333">
        <v>0</v>
      </c>
    </row>
    <row r="334" spans="1:4" x14ac:dyDescent="0.25">
      <c r="A334">
        <v>135000</v>
      </c>
      <c r="B334">
        <v>134014.27499999999</v>
      </c>
      <c r="C334">
        <v>4.2750000000000004</v>
      </c>
      <c r="D334">
        <v>0</v>
      </c>
    </row>
    <row r="335" spans="1:4" x14ac:dyDescent="0.25">
      <c r="A335">
        <v>308250</v>
      </c>
      <c r="B335">
        <v>1126687.5</v>
      </c>
      <c r="C335">
        <v>270405</v>
      </c>
      <c r="D335">
        <v>0</v>
      </c>
    </row>
    <row r="336" spans="1:4" x14ac:dyDescent="0.25">
      <c r="A336">
        <v>108000</v>
      </c>
      <c r="B336">
        <v>165168</v>
      </c>
      <c r="C336">
        <v>0</v>
      </c>
      <c r="D336">
        <v>0</v>
      </c>
    </row>
    <row r="337" spans="1:4" x14ac:dyDescent="0.25">
      <c r="A337">
        <v>108000</v>
      </c>
      <c r="B337">
        <v>81580.5</v>
      </c>
      <c r="C337">
        <v>0</v>
      </c>
      <c r="D337">
        <v>0</v>
      </c>
    </row>
    <row r="338" spans="1:4" x14ac:dyDescent="0.25">
      <c r="A338">
        <v>108000</v>
      </c>
      <c r="B338">
        <v>176760</v>
      </c>
      <c r="C338">
        <v>0</v>
      </c>
      <c r="D338">
        <v>0</v>
      </c>
    </row>
    <row r="339" spans="1:4" x14ac:dyDescent="0.25">
      <c r="A339">
        <v>135000</v>
      </c>
      <c r="B339">
        <v>62901</v>
      </c>
      <c r="C339">
        <v>0</v>
      </c>
      <c r="D339">
        <v>0</v>
      </c>
    </row>
    <row r="340" spans="1:4" x14ac:dyDescent="0.25">
      <c r="A340">
        <v>67500</v>
      </c>
      <c r="B340">
        <v>91800</v>
      </c>
      <c r="C340">
        <v>9180</v>
      </c>
      <c r="D340">
        <v>0</v>
      </c>
    </row>
    <row r="341" spans="1:4" x14ac:dyDescent="0.25">
      <c r="A341">
        <v>180000</v>
      </c>
      <c r="B341">
        <v>62491.5</v>
      </c>
      <c r="C341">
        <v>0</v>
      </c>
      <c r="D341">
        <v>0</v>
      </c>
    </row>
    <row r="342" spans="1:4" x14ac:dyDescent="0.25">
      <c r="A342">
        <v>180000</v>
      </c>
      <c r="B342">
        <v>27400.5</v>
      </c>
      <c r="C342">
        <v>2740.5</v>
      </c>
      <c r="D342">
        <v>0</v>
      </c>
    </row>
    <row r="343" spans="1:4" x14ac:dyDescent="0.25">
      <c r="A343">
        <v>112500</v>
      </c>
      <c r="B343">
        <v>47160</v>
      </c>
      <c r="C343">
        <v>4716</v>
      </c>
      <c r="D343">
        <v>0</v>
      </c>
    </row>
    <row r="344" spans="1:4" x14ac:dyDescent="0.25">
      <c r="A344">
        <v>135000</v>
      </c>
      <c r="B344">
        <v>66555</v>
      </c>
      <c r="C344">
        <v>6655.5</v>
      </c>
      <c r="D344">
        <v>0</v>
      </c>
    </row>
    <row r="345" spans="1:4" x14ac:dyDescent="0.25">
      <c r="A345">
        <v>180000</v>
      </c>
      <c r="B345">
        <v>102928.5</v>
      </c>
      <c r="C345">
        <v>10296</v>
      </c>
      <c r="D345">
        <v>0</v>
      </c>
    </row>
    <row r="346" spans="1:4" x14ac:dyDescent="0.25">
      <c r="A346">
        <v>112500</v>
      </c>
      <c r="B346">
        <v>157815</v>
      </c>
      <c r="C346">
        <v>13500</v>
      </c>
      <c r="D346">
        <v>0</v>
      </c>
    </row>
    <row r="347" spans="1:4" x14ac:dyDescent="0.25">
      <c r="A347">
        <v>112500</v>
      </c>
      <c r="B347">
        <v>34473.599999999999</v>
      </c>
      <c r="C347">
        <v>3451.5</v>
      </c>
      <c r="D347">
        <v>0</v>
      </c>
    </row>
    <row r="348" spans="1:4" x14ac:dyDescent="0.25">
      <c r="A348">
        <v>121500</v>
      </c>
      <c r="B348">
        <v>47385</v>
      </c>
      <c r="C348">
        <v>0</v>
      </c>
      <c r="D348">
        <v>0</v>
      </c>
    </row>
    <row r="349" spans="1:4" x14ac:dyDescent="0.25">
      <c r="A349">
        <v>202500</v>
      </c>
      <c r="B349">
        <v>139050</v>
      </c>
      <c r="C349">
        <v>13905</v>
      </c>
      <c r="D349">
        <v>0</v>
      </c>
    </row>
    <row r="350" spans="1:4" x14ac:dyDescent="0.25">
      <c r="A350">
        <v>157500</v>
      </c>
      <c r="B350">
        <v>142785</v>
      </c>
      <c r="C350">
        <v>13500</v>
      </c>
      <c r="D350">
        <v>1</v>
      </c>
    </row>
    <row r="351" spans="1:4" x14ac:dyDescent="0.25">
      <c r="A351">
        <v>157500</v>
      </c>
      <c r="B351">
        <v>132106.5</v>
      </c>
      <c r="C351">
        <v>18000</v>
      </c>
      <c r="D351">
        <v>0</v>
      </c>
    </row>
    <row r="352" spans="1:4" x14ac:dyDescent="0.25">
      <c r="A352">
        <v>157500</v>
      </c>
      <c r="B352">
        <v>143460</v>
      </c>
      <c r="C352">
        <v>71730</v>
      </c>
      <c r="D352">
        <v>1</v>
      </c>
    </row>
    <row r="353" spans="1:4" x14ac:dyDescent="0.25">
      <c r="A353">
        <v>202500</v>
      </c>
      <c r="B353">
        <v>25744.5</v>
      </c>
      <c r="C353">
        <v>0</v>
      </c>
      <c r="D353">
        <v>0</v>
      </c>
    </row>
    <row r="354" spans="1:4" x14ac:dyDescent="0.25">
      <c r="A354">
        <v>202500</v>
      </c>
      <c r="B354">
        <v>142812</v>
      </c>
      <c r="C354">
        <v>0</v>
      </c>
      <c r="D354">
        <v>0</v>
      </c>
    </row>
    <row r="355" spans="1:4" x14ac:dyDescent="0.25">
      <c r="A355">
        <v>135000</v>
      </c>
      <c r="B355">
        <v>39091.5</v>
      </c>
      <c r="C355">
        <v>3910.5</v>
      </c>
      <c r="D355">
        <v>0</v>
      </c>
    </row>
    <row r="356" spans="1:4" x14ac:dyDescent="0.25">
      <c r="A356">
        <v>153000</v>
      </c>
      <c r="B356">
        <v>49500</v>
      </c>
      <c r="C356">
        <v>9900</v>
      </c>
      <c r="D356">
        <v>0</v>
      </c>
    </row>
    <row r="357" spans="1:4" x14ac:dyDescent="0.25">
      <c r="A357">
        <v>153000</v>
      </c>
      <c r="B357">
        <v>32625</v>
      </c>
      <c r="C357">
        <v>3262.5</v>
      </c>
      <c r="D357">
        <v>0</v>
      </c>
    </row>
    <row r="358" spans="1:4" x14ac:dyDescent="0.25">
      <c r="A358">
        <v>202500</v>
      </c>
      <c r="B358">
        <v>274500</v>
      </c>
      <c r="C358">
        <v>0</v>
      </c>
      <c r="D358">
        <v>0</v>
      </c>
    </row>
    <row r="359" spans="1:4" x14ac:dyDescent="0.25">
      <c r="A359">
        <v>157500</v>
      </c>
      <c r="B359">
        <v>31756.5</v>
      </c>
      <c r="C359">
        <v>3195</v>
      </c>
      <c r="D359">
        <v>0</v>
      </c>
    </row>
    <row r="360" spans="1:4" x14ac:dyDescent="0.25">
      <c r="A360">
        <v>135000</v>
      </c>
      <c r="B360">
        <v>111195</v>
      </c>
      <c r="C360">
        <v>0</v>
      </c>
      <c r="D360">
        <v>0</v>
      </c>
    </row>
    <row r="361" spans="1:4" x14ac:dyDescent="0.25">
      <c r="A361">
        <v>135000</v>
      </c>
      <c r="B361">
        <v>121639.5</v>
      </c>
      <c r="C361">
        <v>12168</v>
      </c>
      <c r="D361">
        <v>0</v>
      </c>
    </row>
    <row r="362" spans="1:4" x14ac:dyDescent="0.25">
      <c r="A362">
        <v>135000</v>
      </c>
      <c r="B362">
        <v>55773</v>
      </c>
      <c r="C362">
        <v>0</v>
      </c>
      <c r="D362">
        <v>1</v>
      </c>
    </row>
    <row r="363" spans="1:4" x14ac:dyDescent="0.25">
      <c r="A363">
        <v>270000</v>
      </c>
      <c r="B363">
        <v>155749.5</v>
      </c>
      <c r="C363">
        <v>15579</v>
      </c>
      <c r="D363">
        <v>0</v>
      </c>
    </row>
    <row r="364" spans="1:4" x14ac:dyDescent="0.25">
      <c r="A364">
        <v>270000</v>
      </c>
      <c r="B364">
        <v>38245.5</v>
      </c>
      <c r="C364">
        <v>18000</v>
      </c>
      <c r="D364">
        <v>0</v>
      </c>
    </row>
    <row r="365" spans="1:4" x14ac:dyDescent="0.25">
      <c r="A365">
        <v>112500</v>
      </c>
      <c r="B365">
        <v>135000</v>
      </c>
      <c r="C365">
        <v>0</v>
      </c>
      <c r="D365">
        <v>0</v>
      </c>
    </row>
    <row r="366" spans="1:4" x14ac:dyDescent="0.25">
      <c r="A366">
        <v>112500</v>
      </c>
      <c r="B366">
        <v>185935.14</v>
      </c>
      <c r="C366">
        <v>4.1399999999999997</v>
      </c>
      <c r="D366">
        <v>1</v>
      </c>
    </row>
    <row r="367" spans="1:4" x14ac:dyDescent="0.25">
      <c r="A367">
        <v>112500</v>
      </c>
      <c r="B367">
        <v>185935.14</v>
      </c>
      <c r="C367">
        <v>4.1399999999999997</v>
      </c>
      <c r="D367">
        <v>1</v>
      </c>
    </row>
    <row r="368" spans="1:4" x14ac:dyDescent="0.25">
      <c r="A368">
        <v>112500</v>
      </c>
      <c r="B368">
        <v>127741.27499999999</v>
      </c>
      <c r="C368">
        <v>4.2750000000000004</v>
      </c>
      <c r="D368">
        <v>1</v>
      </c>
    </row>
    <row r="369" spans="1:4" x14ac:dyDescent="0.25">
      <c r="A369">
        <v>112500</v>
      </c>
      <c r="B369">
        <v>121455</v>
      </c>
      <c r="C369">
        <v>22500</v>
      </c>
      <c r="D369">
        <v>0</v>
      </c>
    </row>
    <row r="370" spans="1:4" x14ac:dyDescent="0.25">
      <c r="A370">
        <v>180000</v>
      </c>
      <c r="B370">
        <v>23575.5</v>
      </c>
      <c r="C370">
        <v>0</v>
      </c>
      <c r="D370">
        <v>0</v>
      </c>
    </row>
    <row r="371" spans="1:4" x14ac:dyDescent="0.25">
      <c r="A371">
        <v>180000</v>
      </c>
      <c r="B371">
        <v>81346.5</v>
      </c>
      <c r="C371">
        <v>0</v>
      </c>
      <c r="D371">
        <v>1</v>
      </c>
    </row>
    <row r="372" spans="1:4" x14ac:dyDescent="0.25">
      <c r="A372">
        <v>180000</v>
      </c>
      <c r="B372">
        <v>80955</v>
      </c>
      <c r="C372">
        <v>0</v>
      </c>
      <c r="D372">
        <v>0</v>
      </c>
    </row>
    <row r="373" spans="1:4" x14ac:dyDescent="0.25">
      <c r="A373">
        <v>292500</v>
      </c>
      <c r="B373">
        <v>180000</v>
      </c>
      <c r="C373">
        <v>0</v>
      </c>
      <c r="D373">
        <v>0</v>
      </c>
    </row>
    <row r="374" spans="1:4" x14ac:dyDescent="0.25">
      <c r="A374">
        <v>292500</v>
      </c>
      <c r="B374">
        <v>45000</v>
      </c>
      <c r="C374">
        <v>0</v>
      </c>
      <c r="D374">
        <v>0</v>
      </c>
    </row>
    <row r="375" spans="1:4" x14ac:dyDescent="0.25">
      <c r="A375">
        <v>292500</v>
      </c>
      <c r="B375">
        <v>31455</v>
      </c>
      <c r="C375">
        <v>3145.5</v>
      </c>
      <c r="D375">
        <v>0</v>
      </c>
    </row>
    <row r="376" spans="1:4" x14ac:dyDescent="0.25">
      <c r="A376">
        <v>225000</v>
      </c>
      <c r="B376">
        <v>118633.5</v>
      </c>
      <c r="C376">
        <v>0</v>
      </c>
      <c r="D376">
        <v>0</v>
      </c>
    </row>
    <row r="377" spans="1:4" x14ac:dyDescent="0.25">
      <c r="A377">
        <v>135000</v>
      </c>
      <c r="B377">
        <v>109710</v>
      </c>
      <c r="C377">
        <v>0</v>
      </c>
      <c r="D377">
        <v>0</v>
      </c>
    </row>
    <row r="378" spans="1:4" x14ac:dyDescent="0.25">
      <c r="A378">
        <v>225000</v>
      </c>
      <c r="B378">
        <v>67500</v>
      </c>
      <c r="C378">
        <v>0</v>
      </c>
      <c r="D378">
        <v>0</v>
      </c>
    </row>
    <row r="379" spans="1:4" x14ac:dyDescent="0.25">
      <c r="A379">
        <v>225000</v>
      </c>
      <c r="B379">
        <v>76410</v>
      </c>
      <c r="C379">
        <v>7641</v>
      </c>
      <c r="D379">
        <v>0</v>
      </c>
    </row>
    <row r="380" spans="1:4" x14ac:dyDescent="0.25">
      <c r="A380">
        <v>225000</v>
      </c>
      <c r="B380">
        <v>225000</v>
      </c>
      <c r="C380">
        <v>0</v>
      </c>
      <c r="D380">
        <v>0</v>
      </c>
    </row>
    <row r="381" spans="1:4" x14ac:dyDescent="0.25">
      <c r="A381">
        <v>157500</v>
      </c>
      <c r="B381">
        <v>58900.5</v>
      </c>
      <c r="C381">
        <v>5890.5</v>
      </c>
      <c r="D381">
        <v>0</v>
      </c>
    </row>
    <row r="382" spans="1:4" x14ac:dyDescent="0.25">
      <c r="A382">
        <v>157500</v>
      </c>
      <c r="B382">
        <v>195291</v>
      </c>
      <c r="C382">
        <v>23436</v>
      </c>
      <c r="D382">
        <v>0</v>
      </c>
    </row>
    <row r="383" spans="1:4" x14ac:dyDescent="0.25">
      <c r="A383">
        <v>157500</v>
      </c>
      <c r="B383">
        <v>103459.5</v>
      </c>
      <c r="C383">
        <v>0</v>
      </c>
      <c r="D383">
        <v>1</v>
      </c>
    </row>
    <row r="384" spans="1:4" x14ac:dyDescent="0.25">
      <c r="A384">
        <v>157500</v>
      </c>
      <c r="B384">
        <v>89901</v>
      </c>
      <c r="C384">
        <v>0</v>
      </c>
      <c r="D384">
        <v>0</v>
      </c>
    </row>
    <row r="385" spans="1:4" x14ac:dyDescent="0.25">
      <c r="A385">
        <v>180000</v>
      </c>
      <c r="B385">
        <v>147582</v>
      </c>
      <c r="C385">
        <v>90000</v>
      </c>
      <c r="D385">
        <v>1</v>
      </c>
    </row>
    <row r="386" spans="1:4" x14ac:dyDescent="0.25">
      <c r="A386">
        <v>180000</v>
      </c>
      <c r="B386">
        <v>136107</v>
      </c>
      <c r="C386">
        <v>0</v>
      </c>
      <c r="D386">
        <v>0</v>
      </c>
    </row>
    <row r="387" spans="1:4" x14ac:dyDescent="0.25">
      <c r="A387">
        <v>180000</v>
      </c>
      <c r="B387">
        <v>180841.5</v>
      </c>
      <c r="C387">
        <v>0</v>
      </c>
      <c r="D387">
        <v>0</v>
      </c>
    </row>
    <row r="388" spans="1:4" x14ac:dyDescent="0.25">
      <c r="A388">
        <v>180000</v>
      </c>
      <c r="B388">
        <v>154341</v>
      </c>
      <c r="C388">
        <v>30870</v>
      </c>
      <c r="D388">
        <v>0</v>
      </c>
    </row>
    <row r="389" spans="1:4" x14ac:dyDescent="0.25">
      <c r="A389">
        <v>180000</v>
      </c>
      <c r="B389">
        <v>87295.5</v>
      </c>
      <c r="C389">
        <v>0</v>
      </c>
      <c r="D389">
        <v>0</v>
      </c>
    </row>
    <row r="390" spans="1:4" x14ac:dyDescent="0.25">
      <c r="A390">
        <v>87750</v>
      </c>
      <c r="B390">
        <v>46305.9</v>
      </c>
      <c r="C390">
        <v>4631.3999999999996</v>
      </c>
      <c r="D390">
        <v>0</v>
      </c>
    </row>
    <row r="391" spans="1:4" x14ac:dyDescent="0.25">
      <c r="A391">
        <v>292500</v>
      </c>
      <c r="B391">
        <v>129105</v>
      </c>
      <c r="C391">
        <v>9000</v>
      </c>
      <c r="D391">
        <v>0</v>
      </c>
    </row>
    <row r="392" spans="1:4" x14ac:dyDescent="0.25">
      <c r="A392">
        <v>292500</v>
      </c>
      <c r="B392">
        <v>225000</v>
      </c>
      <c r="C392">
        <v>0</v>
      </c>
      <c r="D392">
        <v>1</v>
      </c>
    </row>
    <row r="393" spans="1:4" x14ac:dyDescent="0.25">
      <c r="A393">
        <v>292500</v>
      </c>
      <c r="B393">
        <v>90000</v>
      </c>
      <c r="C393">
        <v>0</v>
      </c>
      <c r="D393">
        <v>0</v>
      </c>
    </row>
    <row r="394" spans="1:4" x14ac:dyDescent="0.25">
      <c r="A394">
        <v>121500</v>
      </c>
      <c r="B394">
        <v>25200</v>
      </c>
      <c r="C394">
        <v>0</v>
      </c>
      <c r="D394">
        <v>0</v>
      </c>
    </row>
    <row r="395" spans="1:4" x14ac:dyDescent="0.25">
      <c r="A395">
        <v>121500</v>
      </c>
      <c r="B395">
        <v>68760</v>
      </c>
      <c r="C395">
        <v>6876</v>
      </c>
      <c r="D395">
        <v>0</v>
      </c>
    </row>
    <row r="396" spans="1:4" x14ac:dyDescent="0.25">
      <c r="A396">
        <v>121500</v>
      </c>
      <c r="B396">
        <v>24700.95</v>
      </c>
      <c r="C396">
        <v>0</v>
      </c>
      <c r="D396">
        <v>0</v>
      </c>
    </row>
    <row r="397" spans="1:4" x14ac:dyDescent="0.25">
      <c r="A397">
        <v>67500</v>
      </c>
      <c r="B397">
        <v>24705</v>
      </c>
      <c r="C397">
        <v>2475</v>
      </c>
      <c r="D397">
        <v>0</v>
      </c>
    </row>
    <row r="398" spans="1:4" x14ac:dyDescent="0.25">
      <c r="A398">
        <v>180000</v>
      </c>
      <c r="B398">
        <v>108000</v>
      </c>
      <c r="C398">
        <v>0</v>
      </c>
      <c r="D398">
        <v>0</v>
      </c>
    </row>
    <row r="399" spans="1:4" x14ac:dyDescent="0.25">
      <c r="A399">
        <v>180000</v>
      </c>
      <c r="B399">
        <v>180000</v>
      </c>
      <c r="C399">
        <v>0</v>
      </c>
      <c r="D399">
        <v>0</v>
      </c>
    </row>
    <row r="400" spans="1:4" x14ac:dyDescent="0.25">
      <c r="A400">
        <v>180000</v>
      </c>
      <c r="B400">
        <v>90000</v>
      </c>
      <c r="C400">
        <v>0</v>
      </c>
      <c r="D400">
        <v>0</v>
      </c>
    </row>
    <row r="401" spans="1:4" x14ac:dyDescent="0.25">
      <c r="A401">
        <v>180000</v>
      </c>
      <c r="B401">
        <v>180000</v>
      </c>
      <c r="C401">
        <v>0</v>
      </c>
      <c r="D401">
        <v>0</v>
      </c>
    </row>
    <row r="402" spans="1:4" x14ac:dyDescent="0.25">
      <c r="A402">
        <v>225000</v>
      </c>
      <c r="B402">
        <v>34609.095000000001</v>
      </c>
      <c r="C402">
        <v>6929.5950000000003</v>
      </c>
      <c r="D402">
        <v>0</v>
      </c>
    </row>
    <row r="403" spans="1:4" x14ac:dyDescent="0.25">
      <c r="A403">
        <v>270000</v>
      </c>
      <c r="B403">
        <v>22216.5</v>
      </c>
      <c r="C403">
        <v>4500</v>
      </c>
      <c r="D403">
        <v>0</v>
      </c>
    </row>
    <row r="404" spans="1:4" x14ac:dyDescent="0.25">
      <c r="A404">
        <v>450000</v>
      </c>
      <c r="B404">
        <v>67437</v>
      </c>
      <c r="C404">
        <v>0</v>
      </c>
      <c r="D404">
        <v>0</v>
      </c>
    </row>
    <row r="405" spans="1:4" x14ac:dyDescent="0.25">
      <c r="A405">
        <v>112500</v>
      </c>
      <c r="B405">
        <v>109300.5</v>
      </c>
      <c r="C405">
        <v>0</v>
      </c>
      <c r="D405">
        <v>1</v>
      </c>
    </row>
    <row r="406" spans="1:4" x14ac:dyDescent="0.25">
      <c r="A406">
        <v>112500</v>
      </c>
      <c r="B406">
        <v>121455</v>
      </c>
      <c r="C406">
        <v>0</v>
      </c>
      <c r="D406">
        <v>1</v>
      </c>
    </row>
    <row r="407" spans="1:4" x14ac:dyDescent="0.25">
      <c r="A407">
        <v>36000</v>
      </c>
      <c r="B407">
        <v>98775</v>
      </c>
      <c r="C407">
        <v>22500</v>
      </c>
      <c r="D407">
        <v>0</v>
      </c>
    </row>
    <row r="408" spans="1:4" x14ac:dyDescent="0.25">
      <c r="A408">
        <v>180000</v>
      </c>
      <c r="B408">
        <v>180000</v>
      </c>
      <c r="C408">
        <v>0</v>
      </c>
      <c r="D408">
        <v>0</v>
      </c>
    </row>
    <row r="409" spans="1:4" x14ac:dyDescent="0.25">
      <c r="A409">
        <v>180000</v>
      </c>
      <c r="B409">
        <v>79798.5</v>
      </c>
      <c r="C409">
        <v>0</v>
      </c>
      <c r="D409">
        <v>0</v>
      </c>
    </row>
    <row r="410" spans="1:4" x14ac:dyDescent="0.25">
      <c r="A410">
        <v>171000</v>
      </c>
      <c r="B410">
        <v>236925</v>
      </c>
      <c r="C410">
        <v>0</v>
      </c>
      <c r="D410">
        <v>0</v>
      </c>
    </row>
    <row r="411" spans="1:4" x14ac:dyDescent="0.25">
      <c r="A411">
        <v>171000</v>
      </c>
      <c r="B411">
        <v>144504</v>
      </c>
      <c r="C411">
        <v>14454</v>
      </c>
      <c r="D411">
        <v>0</v>
      </c>
    </row>
    <row r="412" spans="1:4" x14ac:dyDescent="0.25">
      <c r="A412">
        <v>157500</v>
      </c>
      <c r="B412">
        <v>170977.5</v>
      </c>
      <c r="C412">
        <v>63000</v>
      </c>
      <c r="D412">
        <v>1</v>
      </c>
    </row>
    <row r="413" spans="1:4" x14ac:dyDescent="0.25">
      <c r="A413">
        <v>382500</v>
      </c>
      <c r="B413">
        <v>56655</v>
      </c>
      <c r="C413">
        <v>22500</v>
      </c>
      <c r="D413">
        <v>1</v>
      </c>
    </row>
    <row r="414" spans="1:4" x14ac:dyDescent="0.25">
      <c r="A414">
        <v>382500</v>
      </c>
      <c r="B414">
        <v>76491</v>
      </c>
      <c r="C414">
        <v>7650</v>
      </c>
      <c r="D414">
        <v>0</v>
      </c>
    </row>
    <row r="415" spans="1:4" x14ac:dyDescent="0.25">
      <c r="A415">
        <v>382500</v>
      </c>
      <c r="B415">
        <v>40356</v>
      </c>
      <c r="C415">
        <v>0</v>
      </c>
      <c r="D415">
        <v>0</v>
      </c>
    </row>
    <row r="416" spans="1:4" x14ac:dyDescent="0.25">
      <c r="A416">
        <v>63000</v>
      </c>
      <c r="B416">
        <v>104724</v>
      </c>
      <c r="C416">
        <v>0</v>
      </c>
      <c r="D416">
        <v>0</v>
      </c>
    </row>
    <row r="417" spans="1:4" x14ac:dyDescent="0.25">
      <c r="A417">
        <v>157500</v>
      </c>
      <c r="B417">
        <v>32557.5</v>
      </c>
      <c r="C417">
        <v>0</v>
      </c>
      <c r="D417">
        <v>0</v>
      </c>
    </row>
    <row r="418" spans="1:4" x14ac:dyDescent="0.25">
      <c r="A418">
        <v>76500</v>
      </c>
      <c r="B418">
        <v>33736.5</v>
      </c>
      <c r="C418">
        <v>0</v>
      </c>
      <c r="D418">
        <v>0</v>
      </c>
    </row>
    <row r="419" spans="1:4" x14ac:dyDescent="0.25">
      <c r="A419">
        <v>76500</v>
      </c>
      <c r="B419">
        <v>98145</v>
      </c>
      <c r="C419">
        <v>5890.5</v>
      </c>
      <c r="D419">
        <v>0</v>
      </c>
    </row>
    <row r="420" spans="1:4" x14ac:dyDescent="0.25">
      <c r="A420">
        <v>90000</v>
      </c>
      <c r="B420">
        <v>150025.5</v>
      </c>
      <c r="C420">
        <v>0</v>
      </c>
      <c r="D420">
        <v>0</v>
      </c>
    </row>
    <row r="421" spans="1:4" x14ac:dyDescent="0.25">
      <c r="A421">
        <v>315000</v>
      </c>
      <c r="B421">
        <v>76455</v>
      </c>
      <c r="C421">
        <v>0</v>
      </c>
      <c r="D421">
        <v>0</v>
      </c>
    </row>
    <row r="422" spans="1:4" x14ac:dyDescent="0.25">
      <c r="A422">
        <v>315000</v>
      </c>
      <c r="B422">
        <v>66105</v>
      </c>
      <c r="C422">
        <v>6610.5</v>
      </c>
      <c r="D422">
        <v>0</v>
      </c>
    </row>
    <row r="423" spans="1:4" x14ac:dyDescent="0.25">
      <c r="A423">
        <v>112500</v>
      </c>
      <c r="B423">
        <v>40455</v>
      </c>
      <c r="C423">
        <v>4050</v>
      </c>
      <c r="D423">
        <v>0</v>
      </c>
    </row>
    <row r="424" spans="1:4" x14ac:dyDescent="0.25">
      <c r="A424">
        <v>112500</v>
      </c>
      <c r="B424">
        <v>42210</v>
      </c>
      <c r="C424">
        <v>4500</v>
      </c>
      <c r="D424">
        <v>0</v>
      </c>
    </row>
    <row r="425" spans="1:4" x14ac:dyDescent="0.25">
      <c r="A425">
        <v>112500</v>
      </c>
      <c r="B425">
        <v>52245</v>
      </c>
      <c r="C425">
        <v>9000</v>
      </c>
      <c r="D425">
        <v>0</v>
      </c>
    </row>
    <row r="426" spans="1:4" x14ac:dyDescent="0.25">
      <c r="A426">
        <v>157500</v>
      </c>
      <c r="B426">
        <v>222075</v>
      </c>
      <c r="C426">
        <v>0</v>
      </c>
      <c r="D426">
        <v>0</v>
      </c>
    </row>
    <row r="427" spans="1:4" x14ac:dyDescent="0.25">
      <c r="A427">
        <v>180000</v>
      </c>
      <c r="B427">
        <v>67500</v>
      </c>
      <c r="C427">
        <v>0</v>
      </c>
      <c r="D427">
        <v>0</v>
      </c>
    </row>
    <row r="428" spans="1:4" x14ac:dyDescent="0.25">
      <c r="A428">
        <v>180000</v>
      </c>
      <c r="B428">
        <v>45000</v>
      </c>
      <c r="C428">
        <v>0</v>
      </c>
      <c r="D428">
        <v>0</v>
      </c>
    </row>
    <row r="429" spans="1:4" x14ac:dyDescent="0.25">
      <c r="A429">
        <v>180000</v>
      </c>
      <c r="B429">
        <v>157500</v>
      </c>
      <c r="C429">
        <v>0</v>
      </c>
      <c r="D429">
        <v>0</v>
      </c>
    </row>
    <row r="430" spans="1:4" x14ac:dyDescent="0.25">
      <c r="A430">
        <v>81000</v>
      </c>
      <c r="B430">
        <v>76045.5</v>
      </c>
      <c r="C430">
        <v>7605</v>
      </c>
      <c r="D430">
        <v>0</v>
      </c>
    </row>
    <row r="431" spans="1:4" x14ac:dyDescent="0.25">
      <c r="A431">
        <v>69750</v>
      </c>
      <c r="B431">
        <v>265144.5</v>
      </c>
      <c r="C431">
        <v>0</v>
      </c>
      <c r="D431">
        <v>0</v>
      </c>
    </row>
    <row r="432" spans="1:4" x14ac:dyDescent="0.25">
      <c r="A432">
        <v>81000</v>
      </c>
      <c r="B432">
        <v>33196.5</v>
      </c>
      <c r="C432">
        <v>0</v>
      </c>
      <c r="D432">
        <v>0</v>
      </c>
    </row>
    <row r="433" spans="1:4" x14ac:dyDescent="0.25">
      <c r="A433">
        <v>315000</v>
      </c>
      <c r="B433">
        <v>98955</v>
      </c>
      <c r="C433">
        <v>9895.5</v>
      </c>
      <c r="D433">
        <v>0</v>
      </c>
    </row>
    <row r="434" spans="1:4" x14ac:dyDescent="0.25">
      <c r="A434">
        <v>315000</v>
      </c>
      <c r="B434">
        <v>85351.5</v>
      </c>
      <c r="C434">
        <v>45000</v>
      </c>
      <c r="D434">
        <v>0</v>
      </c>
    </row>
    <row r="435" spans="1:4" x14ac:dyDescent="0.25">
      <c r="A435">
        <v>180000</v>
      </c>
      <c r="B435">
        <v>40167</v>
      </c>
      <c r="C435">
        <v>4018.5</v>
      </c>
      <c r="D435">
        <v>0</v>
      </c>
    </row>
    <row r="436" spans="1:4" x14ac:dyDescent="0.25">
      <c r="A436">
        <v>112500</v>
      </c>
      <c r="B436">
        <v>40491</v>
      </c>
      <c r="C436">
        <v>0</v>
      </c>
      <c r="D436">
        <v>1</v>
      </c>
    </row>
    <row r="437" spans="1:4" x14ac:dyDescent="0.25">
      <c r="A437">
        <v>67500</v>
      </c>
      <c r="B437">
        <v>54000</v>
      </c>
      <c r="C437">
        <v>5400</v>
      </c>
      <c r="D437">
        <v>0</v>
      </c>
    </row>
    <row r="438" spans="1:4" x14ac:dyDescent="0.25">
      <c r="A438">
        <v>157500</v>
      </c>
      <c r="B438">
        <v>210622.5</v>
      </c>
      <c r="C438">
        <v>21064.5</v>
      </c>
      <c r="D438">
        <v>0</v>
      </c>
    </row>
    <row r="439" spans="1:4" x14ac:dyDescent="0.25">
      <c r="A439">
        <v>157500</v>
      </c>
      <c r="B439">
        <v>135000</v>
      </c>
      <c r="C439">
        <v>0</v>
      </c>
      <c r="D439">
        <v>0</v>
      </c>
    </row>
    <row r="440" spans="1:4" x14ac:dyDescent="0.25">
      <c r="A440">
        <v>157500</v>
      </c>
      <c r="B440">
        <v>180000</v>
      </c>
      <c r="C440">
        <v>0</v>
      </c>
      <c r="D440">
        <v>0</v>
      </c>
    </row>
    <row r="441" spans="1:4" x14ac:dyDescent="0.25">
      <c r="A441">
        <v>360000</v>
      </c>
      <c r="B441">
        <v>121410</v>
      </c>
      <c r="C441">
        <v>0</v>
      </c>
      <c r="D441">
        <v>0</v>
      </c>
    </row>
    <row r="442" spans="1:4" x14ac:dyDescent="0.25">
      <c r="A442">
        <v>360000</v>
      </c>
      <c r="B442">
        <v>108445.5</v>
      </c>
      <c r="C442">
        <v>0</v>
      </c>
      <c r="D442">
        <v>0</v>
      </c>
    </row>
    <row r="443" spans="1:4" x14ac:dyDescent="0.25">
      <c r="A443">
        <v>247500</v>
      </c>
      <c r="B443">
        <v>19615.5</v>
      </c>
      <c r="C443">
        <v>3924</v>
      </c>
      <c r="D443">
        <v>0</v>
      </c>
    </row>
    <row r="444" spans="1:4" x14ac:dyDescent="0.25">
      <c r="A444">
        <v>157500</v>
      </c>
      <c r="B444">
        <v>62955</v>
      </c>
      <c r="C444">
        <v>6295.5</v>
      </c>
      <c r="D444">
        <v>0</v>
      </c>
    </row>
    <row r="445" spans="1:4" x14ac:dyDescent="0.25">
      <c r="A445">
        <v>157500</v>
      </c>
      <c r="B445">
        <v>90886.5</v>
      </c>
      <c r="C445">
        <v>9090</v>
      </c>
      <c r="D445">
        <v>0</v>
      </c>
    </row>
    <row r="446" spans="1:4" x14ac:dyDescent="0.25">
      <c r="A446">
        <v>45000</v>
      </c>
      <c r="B446">
        <v>58275</v>
      </c>
      <c r="C446">
        <v>5827.5</v>
      </c>
      <c r="D446">
        <v>0</v>
      </c>
    </row>
    <row r="447" spans="1:4" x14ac:dyDescent="0.25">
      <c r="A447">
        <v>45000</v>
      </c>
      <c r="B447">
        <v>67500</v>
      </c>
      <c r="C447">
        <v>0</v>
      </c>
      <c r="D447">
        <v>0</v>
      </c>
    </row>
    <row r="448" spans="1:4" x14ac:dyDescent="0.25">
      <c r="A448">
        <v>45000</v>
      </c>
      <c r="B448">
        <v>48596.4</v>
      </c>
      <c r="C448">
        <v>4860.8999999999996</v>
      </c>
      <c r="D448">
        <v>0</v>
      </c>
    </row>
    <row r="449" spans="1:4" x14ac:dyDescent="0.25">
      <c r="A449">
        <v>45000</v>
      </c>
      <c r="B449">
        <v>45000</v>
      </c>
      <c r="C449">
        <v>0</v>
      </c>
      <c r="D449">
        <v>0</v>
      </c>
    </row>
    <row r="450" spans="1:4" x14ac:dyDescent="0.25">
      <c r="A450">
        <v>450000</v>
      </c>
      <c r="B450">
        <v>145557</v>
      </c>
      <c r="C450">
        <v>14557.5</v>
      </c>
      <c r="D450">
        <v>0</v>
      </c>
    </row>
    <row r="451" spans="1:4" x14ac:dyDescent="0.25">
      <c r="A451">
        <v>225000</v>
      </c>
      <c r="B451">
        <v>115695</v>
      </c>
      <c r="C451">
        <v>11569.5</v>
      </c>
      <c r="D451">
        <v>0</v>
      </c>
    </row>
    <row r="452" spans="1:4" x14ac:dyDescent="0.25">
      <c r="A452">
        <v>112500</v>
      </c>
      <c r="B452">
        <v>82017</v>
      </c>
      <c r="C452">
        <v>8203.5</v>
      </c>
      <c r="D452">
        <v>0</v>
      </c>
    </row>
    <row r="453" spans="1:4" x14ac:dyDescent="0.25">
      <c r="A453">
        <v>112500</v>
      </c>
      <c r="B453">
        <v>40320</v>
      </c>
      <c r="C453">
        <v>4050</v>
      </c>
      <c r="D453">
        <v>0</v>
      </c>
    </row>
    <row r="454" spans="1:4" x14ac:dyDescent="0.25">
      <c r="A454">
        <v>112500</v>
      </c>
      <c r="B454">
        <v>122377.5</v>
      </c>
      <c r="C454">
        <v>0</v>
      </c>
      <c r="D454">
        <v>1</v>
      </c>
    </row>
    <row r="455" spans="1:4" x14ac:dyDescent="0.25">
      <c r="A455">
        <v>180000</v>
      </c>
      <c r="B455">
        <v>76005</v>
      </c>
      <c r="C455">
        <v>0</v>
      </c>
      <c r="D455">
        <v>0</v>
      </c>
    </row>
    <row r="456" spans="1:4" x14ac:dyDescent="0.25">
      <c r="A456">
        <v>157500</v>
      </c>
      <c r="B456">
        <v>26190</v>
      </c>
      <c r="C456">
        <v>0</v>
      </c>
      <c r="D456">
        <v>0</v>
      </c>
    </row>
    <row r="457" spans="1:4" x14ac:dyDescent="0.25">
      <c r="A457">
        <v>157500</v>
      </c>
      <c r="B457">
        <v>164187</v>
      </c>
      <c r="C457">
        <v>0</v>
      </c>
      <c r="D457">
        <v>1</v>
      </c>
    </row>
    <row r="458" spans="1:4" x14ac:dyDescent="0.25">
      <c r="A458">
        <v>247500</v>
      </c>
      <c r="B458">
        <v>101817</v>
      </c>
      <c r="C458">
        <v>20367</v>
      </c>
      <c r="D458">
        <v>0</v>
      </c>
    </row>
    <row r="459" spans="1:4" x14ac:dyDescent="0.25">
      <c r="A459">
        <v>247500</v>
      </c>
      <c r="B459">
        <v>114633</v>
      </c>
      <c r="C459">
        <v>0</v>
      </c>
      <c r="D459">
        <v>1</v>
      </c>
    </row>
    <row r="460" spans="1:4" x14ac:dyDescent="0.25">
      <c r="A460">
        <v>112500</v>
      </c>
      <c r="B460">
        <v>42705</v>
      </c>
      <c r="C460">
        <v>4270.5</v>
      </c>
      <c r="D460">
        <v>0</v>
      </c>
    </row>
    <row r="461" spans="1:4" x14ac:dyDescent="0.25">
      <c r="A461">
        <v>112500</v>
      </c>
      <c r="B461">
        <v>191178</v>
      </c>
      <c r="C461">
        <v>38236.5</v>
      </c>
      <c r="D461">
        <v>0</v>
      </c>
    </row>
    <row r="462" spans="1:4" x14ac:dyDescent="0.25">
      <c r="A462">
        <v>630000</v>
      </c>
      <c r="B462">
        <v>62955</v>
      </c>
      <c r="C462">
        <v>6295.5</v>
      </c>
      <c r="D462">
        <v>0</v>
      </c>
    </row>
    <row r="463" spans="1:4" x14ac:dyDescent="0.25">
      <c r="A463">
        <v>180000</v>
      </c>
      <c r="B463">
        <v>72207</v>
      </c>
      <c r="C463">
        <v>5778</v>
      </c>
      <c r="D463">
        <v>0</v>
      </c>
    </row>
    <row r="464" spans="1:4" x14ac:dyDescent="0.25">
      <c r="A464">
        <v>180000</v>
      </c>
      <c r="B464">
        <v>43182</v>
      </c>
      <c r="C464">
        <v>0</v>
      </c>
      <c r="D464">
        <v>0</v>
      </c>
    </row>
    <row r="465" spans="1:4" x14ac:dyDescent="0.25">
      <c r="A465">
        <v>180000</v>
      </c>
      <c r="B465">
        <v>92655</v>
      </c>
      <c r="C465">
        <v>9265.5</v>
      </c>
      <c r="D465">
        <v>0</v>
      </c>
    </row>
    <row r="466" spans="1:4" x14ac:dyDescent="0.25">
      <c r="A466">
        <v>180000</v>
      </c>
      <c r="B466">
        <v>247500</v>
      </c>
      <c r="C466">
        <v>0</v>
      </c>
      <c r="D466">
        <v>0</v>
      </c>
    </row>
    <row r="467" spans="1:4" x14ac:dyDescent="0.25">
      <c r="A467">
        <v>292500</v>
      </c>
      <c r="B467">
        <v>132300</v>
      </c>
      <c r="C467">
        <v>0</v>
      </c>
      <c r="D467">
        <v>0</v>
      </c>
    </row>
    <row r="468" spans="1:4" x14ac:dyDescent="0.25">
      <c r="A468">
        <v>292500</v>
      </c>
      <c r="B468">
        <v>309240</v>
      </c>
      <c r="C468">
        <v>0</v>
      </c>
      <c r="D468">
        <v>0</v>
      </c>
    </row>
    <row r="469" spans="1:4" x14ac:dyDescent="0.25">
      <c r="A469">
        <v>292500</v>
      </c>
      <c r="B469">
        <v>286245</v>
      </c>
      <c r="C469">
        <v>0</v>
      </c>
      <c r="D469">
        <v>0</v>
      </c>
    </row>
    <row r="470" spans="1:4" x14ac:dyDescent="0.25">
      <c r="A470">
        <v>99000</v>
      </c>
      <c r="B470">
        <v>53955</v>
      </c>
      <c r="C470">
        <v>5395.5</v>
      </c>
      <c r="D470">
        <v>0</v>
      </c>
    </row>
    <row r="471" spans="1:4" x14ac:dyDescent="0.25">
      <c r="A471">
        <v>99000</v>
      </c>
      <c r="B471">
        <v>24705</v>
      </c>
      <c r="C471">
        <v>2470.5</v>
      </c>
      <c r="D471">
        <v>0</v>
      </c>
    </row>
    <row r="472" spans="1:4" x14ac:dyDescent="0.25">
      <c r="A472">
        <v>247500</v>
      </c>
      <c r="B472">
        <v>136750.5</v>
      </c>
      <c r="C472">
        <v>13675.5</v>
      </c>
      <c r="D472">
        <v>0</v>
      </c>
    </row>
    <row r="473" spans="1:4" x14ac:dyDescent="0.25">
      <c r="A473">
        <v>247500</v>
      </c>
      <c r="B473">
        <v>53356.5</v>
      </c>
      <c r="C473">
        <v>5337</v>
      </c>
      <c r="D473">
        <v>0</v>
      </c>
    </row>
    <row r="474" spans="1:4" x14ac:dyDescent="0.25">
      <c r="A474">
        <v>153000</v>
      </c>
      <c r="B474">
        <v>21465</v>
      </c>
      <c r="C474">
        <v>2578.5</v>
      </c>
      <c r="D474">
        <v>0</v>
      </c>
    </row>
    <row r="475" spans="1:4" x14ac:dyDescent="0.25">
      <c r="A475">
        <v>153000</v>
      </c>
      <c r="B475">
        <v>39015</v>
      </c>
      <c r="C475">
        <v>3901.5</v>
      </c>
      <c r="D475">
        <v>0</v>
      </c>
    </row>
    <row r="476" spans="1:4" x14ac:dyDescent="0.25">
      <c r="A476">
        <v>180000</v>
      </c>
      <c r="B476">
        <v>49275</v>
      </c>
      <c r="C476">
        <v>0</v>
      </c>
      <c r="D476">
        <v>0</v>
      </c>
    </row>
    <row r="477" spans="1:4" x14ac:dyDescent="0.25">
      <c r="A477">
        <v>112500</v>
      </c>
      <c r="B477">
        <v>59130</v>
      </c>
      <c r="C477">
        <v>5913</v>
      </c>
      <c r="D477">
        <v>0</v>
      </c>
    </row>
    <row r="478" spans="1:4" x14ac:dyDescent="0.25">
      <c r="A478">
        <v>225000</v>
      </c>
      <c r="B478">
        <v>56484</v>
      </c>
      <c r="C478">
        <v>5652</v>
      </c>
      <c r="D478">
        <v>0</v>
      </c>
    </row>
    <row r="479" spans="1:4" x14ac:dyDescent="0.25">
      <c r="A479">
        <v>112500</v>
      </c>
      <c r="B479">
        <v>17055</v>
      </c>
      <c r="C479">
        <v>2565</v>
      </c>
      <c r="D479">
        <v>0</v>
      </c>
    </row>
    <row r="480" spans="1:4" x14ac:dyDescent="0.25">
      <c r="A480">
        <v>81000</v>
      </c>
      <c r="B480">
        <v>19741.5</v>
      </c>
      <c r="C480">
        <v>0</v>
      </c>
      <c r="D480">
        <v>0</v>
      </c>
    </row>
    <row r="481" spans="1:4" x14ac:dyDescent="0.25">
      <c r="A481">
        <v>81000</v>
      </c>
      <c r="B481">
        <v>29830.5</v>
      </c>
      <c r="C481">
        <v>0</v>
      </c>
      <c r="D481">
        <v>0</v>
      </c>
    </row>
    <row r="482" spans="1:4" x14ac:dyDescent="0.25">
      <c r="A482">
        <v>81000</v>
      </c>
      <c r="B482">
        <v>21505.5</v>
      </c>
      <c r="C482">
        <v>0</v>
      </c>
      <c r="D482">
        <v>0</v>
      </c>
    </row>
    <row r="483" spans="1:4" x14ac:dyDescent="0.25">
      <c r="A483">
        <v>81000</v>
      </c>
      <c r="B483">
        <v>21600</v>
      </c>
      <c r="C483">
        <v>0</v>
      </c>
      <c r="D483">
        <v>0</v>
      </c>
    </row>
    <row r="484" spans="1:4" x14ac:dyDescent="0.25">
      <c r="A484">
        <v>81000</v>
      </c>
      <c r="B484">
        <v>38250</v>
      </c>
      <c r="C484">
        <v>3825</v>
      </c>
      <c r="D484">
        <v>0</v>
      </c>
    </row>
    <row r="485" spans="1:4" x14ac:dyDescent="0.25">
      <c r="A485">
        <v>270000</v>
      </c>
      <c r="B485">
        <v>104949</v>
      </c>
      <c r="C485">
        <v>0</v>
      </c>
      <c r="D485">
        <v>0</v>
      </c>
    </row>
    <row r="486" spans="1:4" x14ac:dyDescent="0.25">
      <c r="A486">
        <v>270000</v>
      </c>
      <c r="B486">
        <v>88020</v>
      </c>
      <c r="C486">
        <v>8802</v>
      </c>
      <c r="D486">
        <v>0</v>
      </c>
    </row>
    <row r="487" spans="1:4" x14ac:dyDescent="0.25">
      <c r="A487">
        <v>202500</v>
      </c>
      <c r="B487">
        <v>15178.5</v>
      </c>
      <c r="C487">
        <v>1521</v>
      </c>
      <c r="D487">
        <v>0</v>
      </c>
    </row>
    <row r="488" spans="1:4" x14ac:dyDescent="0.25">
      <c r="A488">
        <v>315000</v>
      </c>
      <c r="B488">
        <v>137529</v>
      </c>
      <c r="C488">
        <v>0</v>
      </c>
      <c r="D488">
        <v>0</v>
      </c>
    </row>
    <row r="489" spans="1:4" x14ac:dyDescent="0.25">
      <c r="A489">
        <v>180000</v>
      </c>
      <c r="B489">
        <v>89230.5</v>
      </c>
      <c r="C489">
        <v>0</v>
      </c>
      <c r="D489">
        <v>1</v>
      </c>
    </row>
    <row r="490" spans="1:4" x14ac:dyDescent="0.25">
      <c r="A490">
        <v>180000</v>
      </c>
      <c r="B490">
        <v>88555.5</v>
      </c>
      <c r="C490">
        <v>0</v>
      </c>
      <c r="D490">
        <v>1</v>
      </c>
    </row>
    <row r="491" spans="1:4" x14ac:dyDescent="0.25">
      <c r="A491">
        <v>180000</v>
      </c>
      <c r="B491">
        <v>97555.5</v>
      </c>
      <c r="C491">
        <v>0</v>
      </c>
      <c r="D491">
        <v>0</v>
      </c>
    </row>
    <row r="492" spans="1:4" x14ac:dyDescent="0.25">
      <c r="A492">
        <v>135000</v>
      </c>
      <c r="B492">
        <v>158310</v>
      </c>
      <c r="C492">
        <v>0</v>
      </c>
      <c r="D492">
        <v>1</v>
      </c>
    </row>
    <row r="493" spans="1:4" x14ac:dyDescent="0.25">
      <c r="A493">
        <v>135000</v>
      </c>
      <c r="B493">
        <v>88542</v>
      </c>
      <c r="C493">
        <v>0</v>
      </c>
      <c r="D493">
        <v>1</v>
      </c>
    </row>
    <row r="494" spans="1:4" x14ac:dyDescent="0.25">
      <c r="A494">
        <v>135000</v>
      </c>
      <c r="B494">
        <v>158283</v>
      </c>
      <c r="C494">
        <v>0</v>
      </c>
      <c r="D494">
        <v>1</v>
      </c>
    </row>
    <row r="495" spans="1:4" x14ac:dyDescent="0.25">
      <c r="A495">
        <v>81000</v>
      </c>
      <c r="B495">
        <v>37062</v>
      </c>
      <c r="C495">
        <v>3708</v>
      </c>
      <c r="D495">
        <v>0</v>
      </c>
    </row>
    <row r="496" spans="1:4" x14ac:dyDescent="0.25">
      <c r="A496">
        <v>81000</v>
      </c>
      <c r="B496">
        <v>131719.5</v>
      </c>
      <c r="C496">
        <v>0</v>
      </c>
      <c r="D496">
        <v>0</v>
      </c>
    </row>
    <row r="497" spans="1:4" x14ac:dyDescent="0.25">
      <c r="A497">
        <v>112500</v>
      </c>
      <c r="B497">
        <v>88875</v>
      </c>
      <c r="C497">
        <v>17775</v>
      </c>
      <c r="D497">
        <v>0</v>
      </c>
    </row>
    <row r="498" spans="1:4" x14ac:dyDescent="0.25">
      <c r="A498">
        <v>180000</v>
      </c>
      <c r="B498">
        <v>135000</v>
      </c>
      <c r="C498">
        <v>0</v>
      </c>
      <c r="D498">
        <v>0</v>
      </c>
    </row>
    <row r="499" spans="1:4" x14ac:dyDescent="0.25">
      <c r="A499">
        <v>180000</v>
      </c>
      <c r="B499">
        <v>31455</v>
      </c>
      <c r="C499">
        <v>0</v>
      </c>
      <c r="D499">
        <v>0</v>
      </c>
    </row>
    <row r="500" spans="1:4" x14ac:dyDescent="0.25">
      <c r="A500">
        <v>180000</v>
      </c>
      <c r="B500">
        <v>45000</v>
      </c>
      <c r="C500">
        <v>0</v>
      </c>
      <c r="D500">
        <v>1</v>
      </c>
    </row>
    <row r="501" spans="1:4" x14ac:dyDescent="0.25">
      <c r="A501">
        <v>450000</v>
      </c>
      <c r="B501">
        <v>98766</v>
      </c>
      <c r="C501">
        <v>9877.5</v>
      </c>
      <c r="D501">
        <v>0</v>
      </c>
    </row>
    <row r="502" spans="1:4" x14ac:dyDescent="0.25">
      <c r="A502">
        <v>135000</v>
      </c>
      <c r="B502">
        <v>90504</v>
      </c>
      <c r="C502">
        <v>0</v>
      </c>
      <c r="D502">
        <v>0</v>
      </c>
    </row>
    <row r="503" spans="1:4" x14ac:dyDescent="0.25">
      <c r="A503">
        <v>135000</v>
      </c>
      <c r="B503">
        <v>106020</v>
      </c>
      <c r="C503">
        <v>0</v>
      </c>
      <c r="D503">
        <v>0</v>
      </c>
    </row>
    <row r="504" spans="1:4" x14ac:dyDescent="0.25">
      <c r="A504">
        <v>90000</v>
      </c>
      <c r="B504">
        <v>46800</v>
      </c>
      <c r="C504">
        <v>0</v>
      </c>
      <c r="D504">
        <v>0</v>
      </c>
    </row>
    <row r="505" spans="1:4" x14ac:dyDescent="0.25">
      <c r="A505">
        <v>90000</v>
      </c>
      <c r="B505">
        <v>134505</v>
      </c>
      <c r="C505">
        <v>13450.5</v>
      </c>
      <c r="D505">
        <v>0</v>
      </c>
    </row>
    <row r="506" spans="1:4" x14ac:dyDescent="0.25">
      <c r="A506">
        <v>112500</v>
      </c>
      <c r="B506">
        <v>18801</v>
      </c>
      <c r="C506">
        <v>1890</v>
      </c>
      <c r="D506">
        <v>0</v>
      </c>
    </row>
    <row r="507" spans="1:4" x14ac:dyDescent="0.25">
      <c r="A507">
        <v>112500</v>
      </c>
      <c r="B507">
        <v>127993.5</v>
      </c>
      <c r="C507">
        <v>45000</v>
      </c>
      <c r="D507">
        <v>0</v>
      </c>
    </row>
    <row r="508" spans="1:4" x14ac:dyDescent="0.25">
      <c r="A508">
        <v>180000</v>
      </c>
      <c r="B508">
        <v>40455</v>
      </c>
      <c r="C508">
        <v>4500</v>
      </c>
      <c r="D508">
        <v>0</v>
      </c>
    </row>
    <row r="509" spans="1:4" x14ac:dyDescent="0.25">
      <c r="A509">
        <v>180000</v>
      </c>
      <c r="B509">
        <v>29160</v>
      </c>
      <c r="C509">
        <v>4500</v>
      </c>
      <c r="D509">
        <v>0</v>
      </c>
    </row>
    <row r="510" spans="1:4" x14ac:dyDescent="0.25">
      <c r="A510">
        <v>135000</v>
      </c>
      <c r="B510">
        <v>94500</v>
      </c>
      <c r="C510">
        <v>0</v>
      </c>
      <c r="D510">
        <v>0</v>
      </c>
    </row>
    <row r="511" spans="1:4" x14ac:dyDescent="0.25">
      <c r="A511">
        <v>135000</v>
      </c>
      <c r="B511">
        <v>33322.5</v>
      </c>
      <c r="C511">
        <v>3334.5</v>
      </c>
      <c r="D511">
        <v>0</v>
      </c>
    </row>
    <row r="512" spans="1:4" x14ac:dyDescent="0.25">
      <c r="A512">
        <v>112500</v>
      </c>
      <c r="B512">
        <v>37566</v>
      </c>
      <c r="C512">
        <v>3757.5</v>
      </c>
      <c r="D512">
        <v>0</v>
      </c>
    </row>
    <row r="513" spans="1:4" x14ac:dyDescent="0.25">
      <c r="A513">
        <v>450000</v>
      </c>
      <c r="B513">
        <v>77796.404999999999</v>
      </c>
      <c r="C513">
        <v>0.40500000000000003</v>
      </c>
      <c r="D513">
        <v>0</v>
      </c>
    </row>
    <row r="514" spans="1:4" x14ac:dyDescent="0.25">
      <c r="A514">
        <v>112500</v>
      </c>
      <c r="B514">
        <v>61362</v>
      </c>
      <c r="C514">
        <v>0</v>
      </c>
      <c r="D514">
        <v>0</v>
      </c>
    </row>
    <row r="515" spans="1:4" x14ac:dyDescent="0.25">
      <c r="A515">
        <v>90000</v>
      </c>
      <c r="B515">
        <v>120357</v>
      </c>
      <c r="C515">
        <v>0</v>
      </c>
      <c r="D515">
        <v>0</v>
      </c>
    </row>
    <row r="516" spans="1:4" x14ac:dyDescent="0.25">
      <c r="A516">
        <v>90000</v>
      </c>
      <c r="B516">
        <v>55300.5</v>
      </c>
      <c r="C516">
        <v>0</v>
      </c>
      <c r="D516">
        <v>0</v>
      </c>
    </row>
    <row r="517" spans="1:4" x14ac:dyDescent="0.25">
      <c r="A517">
        <v>90000</v>
      </c>
      <c r="B517">
        <v>30465</v>
      </c>
      <c r="C517">
        <v>0</v>
      </c>
      <c r="D517">
        <v>0</v>
      </c>
    </row>
    <row r="518" spans="1:4" x14ac:dyDescent="0.25">
      <c r="A518">
        <v>90000</v>
      </c>
      <c r="B518">
        <v>41917.5</v>
      </c>
      <c r="C518">
        <v>4500</v>
      </c>
      <c r="D518">
        <v>0</v>
      </c>
    </row>
    <row r="519" spans="1:4" x14ac:dyDescent="0.25">
      <c r="A519">
        <v>67500</v>
      </c>
      <c r="B519">
        <v>20205</v>
      </c>
      <c r="C519">
        <v>0</v>
      </c>
      <c r="D519">
        <v>0</v>
      </c>
    </row>
    <row r="520" spans="1:4" x14ac:dyDescent="0.25">
      <c r="A520">
        <v>180000</v>
      </c>
      <c r="B520">
        <v>27405</v>
      </c>
      <c r="C520">
        <v>2740.5</v>
      </c>
      <c r="D520">
        <v>0</v>
      </c>
    </row>
    <row r="521" spans="1:4" x14ac:dyDescent="0.25">
      <c r="A521">
        <v>180000</v>
      </c>
      <c r="B521">
        <v>102015</v>
      </c>
      <c r="C521">
        <v>0</v>
      </c>
      <c r="D521">
        <v>0</v>
      </c>
    </row>
    <row r="522" spans="1:4" x14ac:dyDescent="0.25">
      <c r="A522">
        <v>180000</v>
      </c>
      <c r="B522">
        <v>37710</v>
      </c>
      <c r="C522">
        <v>0</v>
      </c>
      <c r="D522">
        <v>0</v>
      </c>
    </row>
    <row r="523" spans="1:4" x14ac:dyDescent="0.25">
      <c r="A523">
        <v>90000</v>
      </c>
      <c r="B523">
        <v>38286</v>
      </c>
      <c r="C523">
        <v>0</v>
      </c>
      <c r="D523">
        <v>0</v>
      </c>
    </row>
    <row r="524" spans="1:4" x14ac:dyDescent="0.25">
      <c r="A524">
        <v>90000</v>
      </c>
      <c r="B524">
        <v>48010.5</v>
      </c>
      <c r="C524">
        <v>0</v>
      </c>
      <c r="D524">
        <v>0</v>
      </c>
    </row>
    <row r="525" spans="1:4" x14ac:dyDescent="0.25">
      <c r="A525">
        <v>90000</v>
      </c>
      <c r="B525">
        <v>20034</v>
      </c>
      <c r="C525">
        <v>2007</v>
      </c>
      <c r="D525">
        <v>0</v>
      </c>
    </row>
    <row r="526" spans="1:4" x14ac:dyDescent="0.25">
      <c r="A526">
        <v>157500</v>
      </c>
      <c r="B526">
        <v>16560</v>
      </c>
      <c r="C526">
        <v>1327.5</v>
      </c>
      <c r="D526">
        <v>0</v>
      </c>
    </row>
    <row r="527" spans="1:4" x14ac:dyDescent="0.25">
      <c r="A527">
        <v>90000</v>
      </c>
      <c r="B527">
        <v>35910</v>
      </c>
      <c r="C527">
        <v>0</v>
      </c>
      <c r="D527">
        <v>0</v>
      </c>
    </row>
    <row r="528" spans="1:4" x14ac:dyDescent="0.25">
      <c r="A528">
        <v>157500</v>
      </c>
      <c r="B528">
        <v>44806.5</v>
      </c>
      <c r="C528">
        <v>18000</v>
      </c>
      <c r="D528">
        <v>0</v>
      </c>
    </row>
    <row r="529" spans="1:4" x14ac:dyDescent="0.25">
      <c r="A529">
        <v>157500</v>
      </c>
      <c r="B529">
        <v>225000</v>
      </c>
      <c r="C529">
        <v>0</v>
      </c>
      <c r="D529">
        <v>0</v>
      </c>
    </row>
    <row r="530" spans="1:4" x14ac:dyDescent="0.25">
      <c r="A530">
        <v>157500</v>
      </c>
      <c r="B530">
        <v>135000</v>
      </c>
      <c r="C530">
        <v>0</v>
      </c>
      <c r="D530">
        <v>0</v>
      </c>
    </row>
    <row r="531" spans="1:4" x14ac:dyDescent="0.25">
      <c r="A531">
        <v>202500</v>
      </c>
      <c r="B531">
        <v>115110</v>
      </c>
      <c r="C531">
        <v>23022</v>
      </c>
      <c r="D531">
        <v>0</v>
      </c>
    </row>
    <row r="532" spans="1:4" x14ac:dyDescent="0.25">
      <c r="A532">
        <v>112500</v>
      </c>
      <c r="B532">
        <v>122958</v>
      </c>
      <c r="C532">
        <v>0</v>
      </c>
      <c r="D532">
        <v>0</v>
      </c>
    </row>
    <row r="533" spans="1:4" x14ac:dyDescent="0.25">
      <c r="A533">
        <v>112500</v>
      </c>
      <c r="B533">
        <v>69876</v>
      </c>
      <c r="C533">
        <v>6750</v>
      </c>
      <c r="D533">
        <v>0</v>
      </c>
    </row>
    <row r="534" spans="1:4" x14ac:dyDescent="0.25">
      <c r="A534">
        <v>112500</v>
      </c>
      <c r="B534">
        <v>81625.5</v>
      </c>
      <c r="C534">
        <v>9000</v>
      </c>
      <c r="D534">
        <v>0</v>
      </c>
    </row>
    <row r="535" spans="1:4" x14ac:dyDescent="0.25">
      <c r="A535">
        <v>112500</v>
      </c>
      <c r="B535">
        <v>74245.5</v>
      </c>
      <c r="C535">
        <v>0</v>
      </c>
      <c r="D535">
        <v>0</v>
      </c>
    </row>
    <row r="536" spans="1:4" x14ac:dyDescent="0.25">
      <c r="A536">
        <v>67500</v>
      </c>
      <c r="B536">
        <v>59256</v>
      </c>
      <c r="C536">
        <v>5926.5</v>
      </c>
      <c r="D536">
        <v>0</v>
      </c>
    </row>
    <row r="537" spans="1:4" x14ac:dyDescent="0.25">
      <c r="A537">
        <v>81000</v>
      </c>
      <c r="B537">
        <v>44622</v>
      </c>
      <c r="C537">
        <v>4464</v>
      </c>
      <c r="D537">
        <v>0</v>
      </c>
    </row>
    <row r="538" spans="1:4" x14ac:dyDescent="0.25">
      <c r="A538">
        <v>40500</v>
      </c>
      <c r="B538">
        <v>135360</v>
      </c>
      <c r="C538">
        <v>9000</v>
      </c>
      <c r="D538">
        <v>0</v>
      </c>
    </row>
    <row r="539" spans="1:4" x14ac:dyDescent="0.25">
      <c r="A539">
        <v>135000</v>
      </c>
      <c r="B539">
        <v>364500</v>
      </c>
      <c r="C539">
        <v>47250</v>
      </c>
      <c r="D539">
        <v>0</v>
      </c>
    </row>
    <row r="540" spans="1:4" x14ac:dyDescent="0.25">
      <c r="A540">
        <v>148500</v>
      </c>
      <c r="B540">
        <v>166455</v>
      </c>
      <c r="C540">
        <v>0</v>
      </c>
      <c r="D540">
        <v>0</v>
      </c>
    </row>
    <row r="541" spans="1:4" x14ac:dyDescent="0.25">
      <c r="A541">
        <v>148500</v>
      </c>
      <c r="B541">
        <v>176755.5</v>
      </c>
      <c r="C541">
        <v>0</v>
      </c>
      <c r="D541">
        <v>0</v>
      </c>
    </row>
    <row r="542" spans="1:4" x14ac:dyDescent="0.25">
      <c r="A542">
        <v>144000</v>
      </c>
      <c r="B542">
        <v>47250</v>
      </c>
      <c r="C542">
        <v>9450</v>
      </c>
      <c r="D542">
        <v>0</v>
      </c>
    </row>
    <row r="543" spans="1:4" x14ac:dyDescent="0.25">
      <c r="A543">
        <v>202500</v>
      </c>
      <c r="B543">
        <v>26950.5</v>
      </c>
      <c r="C543">
        <v>2695.5</v>
      </c>
      <c r="D543">
        <v>0</v>
      </c>
    </row>
    <row r="544" spans="1:4" x14ac:dyDescent="0.25">
      <c r="A544">
        <v>157500</v>
      </c>
      <c r="B544">
        <v>104400</v>
      </c>
      <c r="C544">
        <v>10440</v>
      </c>
      <c r="D544">
        <v>0</v>
      </c>
    </row>
    <row r="545" spans="1:4" x14ac:dyDescent="0.25">
      <c r="A545">
        <v>144000</v>
      </c>
      <c r="B545">
        <v>202500</v>
      </c>
      <c r="C545">
        <v>0</v>
      </c>
      <c r="D545">
        <v>0</v>
      </c>
    </row>
    <row r="546" spans="1:4" x14ac:dyDescent="0.25">
      <c r="A546">
        <v>144000</v>
      </c>
      <c r="B546">
        <v>41265</v>
      </c>
      <c r="C546">
        <v>9000</v>
      </c>
      <c r="D546">
        <v>0</v>
      </c>
    </row>
    <row r="547" spans="1:4" x14ac:dyDescent="0.25">
      <c r="A547">
        <v>171000</v>
      </c>
      <c r="B547">
        <v>13950</v>
      </c>
      <c r="C547">
        <v>0</v>
      </c>
      <c r="D547">
        <v>1</v>
      </c>
    </row>
    <row r="548" spans="1:4" x14ac:dyDescent="0.25">
      <c r="A548">
        <v>171000</v>
      </c>
      <c r="B548">
        <v>157725</v>
      </c>
      <c r="C548">
        <v>27000</v>
      </c>
      <c r="D548">
        <v>0</v>
      </c>
    </row>
    <row r="549" spans="1:4" x14ac:dyDescent="0.25">
      <c r="A549">
        <v>247500</v>
      </c>
      <c r="B549">
        <v>29610</v>
      </c>
      <c r="C549">
        <v>0</v>
      </c>
      <c r="D549">
        <v>0</v>
      </c>
    </row>
    <row r="550" spans="1:4" x14ac:dyDescent="0.25">
      <c r="A550">
        <v>247500</v>
      </c>
      <c r="B550">
        <v>29610</v>
      </c>
      <c r="C550">
        <v>4500</v>
      </c>
      <c r="D550">
        <v>0</v>
      </c>
    </row>
    <row r="551" spans="1:4" x14ac:dyDescent="0.25">
      <c r="A551">
        <v>135000</v>
      </c>
      <c r="B551">
        <v>175144.5</v>
      </c>
      <c r="C551">
        <v>0</v>
      </c>
      <c r="D551">
        <v>0</v>
      </c>
    </row>
    <row r="552" spans="1:4" x14ac:dyDescent="0.25">
      <c r="A552">
        <v>211500</v>
      </c>
      <c r="B552">
        <v>128470.5</v>
      </c>
      <c r="C552">
        <v>25695</v>
      </c>
      <c r="D552">
        <v>0</v>
      </c>
    </row>
    <row r="553" spans="1:4" x14ac:dyDescent="0.25">
      <c r="A553">
        <v>211500</v>
      </c>
      <c r="B553">
        <v>37755</v>
      </c>
      <c r="C553">
        <v>0</v>
      </c>
      <c r="D553">
        <v>1</v>
      </c>
    </row>
    <row r="554" spans="1:4" x14ac:dyDescent="0.25">
      <c r="A554">
        <v>211500</v>
      </c>
      <c r="B554">
        <v>122913</v>
      </c>
      <c r="C554">
        <v>0</v>
      </c>
      <c r="D554">
        <v>0</v>
      </c>
    </row>
    <row r="555" spans="1:4" x14ac:dyDescent="0.25">
      <c r="A555">
        <v>90000</v>
      </c>
      <c r="B555">
        <v>32962.5</v>
      </c>
      <c r="C555">
        <v>0</v>
      </c>
      <c r="D555">
        <v>0</v>
      </c>
    </row>
    <row r="556" spans="1:4" x14ac:dyDescent="0.25">
      <c r="A556">
        <v>270000</v>
      </c>
      <c r="B556">
        <v>99895.5</v>
      </c>
      <c r="C556">
        <v>0</v>
      </c>
      <c r="D556">
        <v>0</v>
      </c>
    </row>
    <row r="557" spans="1:4" x14ac:dyDescent="0.25">
      <c r="A557">
        <v>252000</v>
      </c>
      <c r="B557">
        <v>202500</v>
      </c>
      <c r="C557">
        <v>0</v>
      </c>
      <c r="D557">
        <v>0</v>
      </c>
    </row>
    <row r="558" spans="1:4" x14ac:dyDescent="0.25">
      <c r="A558">
        <v>111919.5</v>
      </c>
      <c r="B558">
        <v>40455</v>
      </c>
      <c r="C558">
        <v>0</v>
      </c>
      <c r="D558">
        <v>0</v>
      </c>
    </row>
    <row r="559" spans="1:4" x14ac:dyDescent="0.25">
      <c r="A559">
        <v>112500</v>
      </c>
      <c r="B559">
        <v>110610</v>
      </c>
      <c r="C559">
        <v>0</v>
      </c>
      <c r="D559">
        <v>0</v>
      </c>
    </row>
    <row r="560" spans="1:4" x14ac:dyDescent="0.25">
      <c r="A560">
        <v>112500</v>
      </c>
      <c r="B560">
        <v>106965</v>
      </c>
      <c r="C560">
        <v>0</v>
      </c>
      <c r="D560">
        <v>0</v>
      </c>
    </row>
    <row r="561" spans="1:4" x14ac:dyDescent="0.25">
      <c r="A561">
        <v>112500</v>
      </c>
      <c r="B561">
        <v>59130</v>
      </c>
      <c r="C561">
        <v>31500</v>
      </c>
      <c r="D561">
        <v>0</v>
      </c>
    </row>
    <row r="562" spans="1:4" x14ac:dyDescent="0.25">
      <c r="A562">
        <v>135000</v>
      </c>
      <c r="B562">
        <v>86940</v>
      </c>
      <c r="C562">
        <v>0</v>
      </c>
      <c r="D562">
        <v>0</v>
      </c>
    </row>
    <row r="563" spans="1:4" x14ac:dyDescent="0.25">
      <c r="A563">
        <v>112500</v>
      </c>
      <c r="B563">
        <v>116955</v>
      </c>
      <c r="C563">
        <v>28350</v>
      </c>
      <c r="D563">
        <v>0</v>
      </c>
    </row>
    <row r="564" spans="1:4" x14ac:dyDescent="0.25">
      <c r="A564">
        <v>225000</v>
      </c>
      <c r="B564">
        <v>22045.5</v>
      </c>
      <c r="C564">
        <v>0</v>
      </c>
      <c r="D564">
        <v>0</v>
      </c>
    </row>
    <row r="565" spans="1:4" x14ac:dyDescent="0.25">
      <c r="A565">
        <v>225000</v>
      </c>
      <c r="B565">
        <v>194409</v>
      </c>
      <c r="C565">
        <v>0</v>
      </c>
      <c r="D565">
        <v>0</v>
      </c>
    </row>
    <row r="566" spans="1:4" x14ac:dyDescent="0.25">
      <c r="A566">
        <v>225000</v>
      </c>
      <c r="B566">
        <v>110911.5</v>
      </c>
      <c r="C566">
        <v>0</v>
      </c>
      <c r="D566">
        <v>1</v>
      </c>
    </row>
    <row r="567" spans="1:4" x14ac:dyDescent="0.25">
      <c r="A567">
        <v>225000</v>
      </c>
      <c r="B567">
        <v>110911.5</v>
      </c>
      <c r="C567">
        <v>0</v>
      </c>
      <c r="D567">
        <v>1</v>
      </c>
    </row>
    <row r="568" spans="1:4" x14ac:dyDescent="0.25">
      <c r="A568">
        <v>112500</v>
      </c>
      <c r="B568">
        <v>202455</v>
      </c>
      <c r="C568">
        <v>0</v>
      </c>
      <c r="D568">
        <v>0</v>
      </c>
    </row>
    <row r="569" spans="1:4" x14ac:dyDescent="0.25">
      <c r="A569">
        <v>135000</v>
      </c>
      <c r="B569">
        <v>80955</v>
      </c>
      <c r="C569">
        <v>8095.5</v>
      </c>
      <c r="D569">
        <v>0</v>
      </c>
    </row>
    <row r="570" spans="1:4" x14ac:dyDescent="0.25">
      <c r="A570">
        <v>405000</v>
      </c>
      <c r="B570">
        <v>81360</v>
      </c>
      <c r="C570">
        <v>16272</v>
      </c>
      <c r="D570">
        <v>0</v>
      </c>
    </row>
    <row r="571" spans="1:4" x14ac:dyDescent="0.25">
      <c r="A571">
        <v>405000</v>
      </c>
      <c r="B571">
        <v>88609.5</v>
      </c>
      <c r="C571">
        <v>0</v>
      </c>
      <c r="D571">
        <v>0</v>
      </c>
    </row>
    <row r="572" spans="1:4" x14ac:dyDescent="0.25">
      <c r="A572">
        <v>225000</v>
      </c>
      <c r="B572">
        <v>20205</v>
      </c>
      <c r="C572">
        <v>2250</v>
      </c>
      <c r="D572">
        <v>0</v>
      </c>
    </row>
    <row r="573" spans="1:4" x14ac:dyDescent="0.25">
      <c r="A573">
        <v>90000</v>
      </c>
      <c r="B573">
        <v>46530</v>
      </c>
      <c r="C573">
        <v>4653</v>
      </c>
      <c r="D573">
        <v>0</v>
      </c>
    </row>
    <row r="574" spans="1:4" x14ac:dyDescent="0.25">
      <c r="A574">
        <v>90000</v>
      </c>
      <c r="B574">
        <v>107995.5</v>
      </c>
      <c r="C574">
        <v>10800</v>
      </c>
      <c r="D574">
        <v>0</v>
      </c>
    </row>
    <row r="575" spans="1:4" x14ac:dyDescent="0.25">
      <c r="A575">
        <v>90000</v>
      </c>
      <c r="B575">
        <v>46710</v>
      </c>
      <c r="C575">
        <v>4671</v>
      </c>
      <c r="D575">
        <v>0</v>
      </c>
    </row>
    <row r="576" spans="1:4" x14ac:dyDescent="0.25">
      <c r="A576">
        <v>90000</v>
      </c>
      <c r="B576">
        <v>121455</v>
      </c>
      <c r="C576">
        <v>0</v>
      </c>
      <c r="D576">
        <v>0</v>
      </c>
    </row>
    <row r="577" spans="1:4" x14ac:dyDescent="0.25">
      <c r="A577">
        <v>90000</v>
      </c>
      <c r="B577">
        <v>193455</v>
      </c>
      <c r="C577">
        <v>0</v>
      </c>
      <c r="D577">
        <v>0</v>
      </c>
    </row>
    <row r="578" spans="1:4" x14ac:dyDescent="0.25">
      <c r="A578">
        <v>90000</v>
      </c>
      <c r="B578">
        <v>53633.25</v>
      </c>
      <c r="C578">
        <v>5352.75</v>
      </c>
      <c r="D578">
        <v>0</v>
      </c>
    </row>
    <row r="579" spans="1:4" x14ac:dyDescent="0.25">
      <c r="A579">
        <v>450000</v>
      </c>
      <c r="B579">
        <v>147537</v>
      </c>
      <c r="C579">
        <v>14755.5</v>
      </c>
      <c r="D579">
        <v>0</v>
      </c>
    </row>
    <row r="580" spans="1:4" x14ac:dyDescent="0.25">
      <c r="A580">
        <v>180000</v>
      </c>
      <c r="B580">
        <v>134770.5</v>
      </c>
      <c r="C580">
        <v>0</v>
      </c>
      <c r="D580">
        <v>0</v>
      </c>
    </row>
    <row r="581" spans="1:4" x14ac:dyDescent="0.25">
      <c r="A581">
        <v>180000</v>
      </c>
      <c r="B581">
        <v>44955</v>
      </c>
      <c r="C581">
        <v>4495.5</v>
      </c>
      <c r="D581">
        <v>0</v>
      </c>
    </row>
    <row r="582" spans="1:4" x14ac:dyDescent="0.25">
      <c r="A582">
        <v>180000</v>
      </c>
      <c r="B582">
        <v>62424</v>
      </c>
      <c r="C582">
        <v>0</v>
      </c>
      <c r="D582">
        <v>0</v>
      </c>
    </row>
    <row r="583" spans="1:4" x14ac:dyDescent="0.25">
      <c r="A583">
        <v>180000</v>
      </c>
      <c r="B583">
        <v>77665.5</v>
      </c>
      <c r="C583">
        <v>15534</v>
      </c>
      <c r="D583">
        <v>0</v>
      </c>
    </row>
    <row r="584" spans="1:4" x14ac:dyDescent="0.25">
      <c r="A584">
        <v>180000</v>
      </c>
      <c r="B584">
        <v>15453</v>
      </c>
      <c r="C584">
        <v>1548</v>
      </c>
      <c r="D584">
        <v>0</v>
      </c>
    </row>
    <row r="585" spans="1:4" x14ac:dyDescent="0.25">
      <c r="A585">
        <v>112500</v>
      </c>
      <c r="B585">
        <v>68382</v>
      </c>
      <c r="C585">
        <v>0</v>
      </c>
      <c r="D585">
        <v>0</v>
      </c>
    </row>
    <row r="586" spans="1:4" x14ac:dyDescent="0.25">
      <c r="A586">
        <v>270000</v>
      </c>
      <c r="B586">
        <v>157500</v>
      </c>
      <c r="C586">
        <v>0</v>
      </c>
      <c r="D586">
        <v>1</v>
      </c>
    </row>
    <row r="587" spans="1:4" x14ac:dyDescent="0.25">
      <c r="A587">
        <v>270000</v>
      </c>
      <c r="B587">
        <v>62910</v>
      </c>
      <c r="C587">
        <v>0</v>
      </c>
      <c r="D587">
        <v>0</v>
      </c>
    </row>
    <row r="588" spans="1:4" x14ac:dyDescent="0.25">
      <c r="A588">
        <v>58500</v>
      </c>
      <c r="B588">
        <v>22275</v>
      </c>
      <c r="C588">
        <v>2385</v>
      </c>
      <c r="D588">
        <v>0</v>
      </c>
    </row>
    <row r="589" spans="1:4" x14ac:dyDescent="0.25">
      <c r="A589">
        <v>121500</v>
      </c>
      <c r="B589">
        <v>24705</v>
      </c>
      <c r="C589">
        <v>11205</v>
      </c>
      <c r="D589">
        <v>0</v>
      </c>
    </row>
    <row r="590" spans="1:4" x14ac:dyDescent="0.25">
      <c r="A590">
        <v>90000</v>
      </c>
      <c r="B590">
        <v>185508</v>
      </c>
      <c r="C590">
        <v>18553.5</v>
      </c>
      <c r="D590">
        <v>0</v>
      </c>
    </row>
    <row r="591" spans="1:4" x14ac:dyDescent="0.25">
      <c r="A591">
        <v>450000</v>
      </c>
      <c r="B591">
        <v>77035.5</v>
      </c>
      <c r="C591">
        <v>11250</v>
      </c>
      <c r="D591">
        <v>0</v>
      </c>
    </row>
    <row r="592" spans="1:4" x14ac:dyDescent="0.25">
      <c r="A592">
        <v>450000</v>
      </c>
      <c r="B592">
        <v>169636.5</v>
      </c>
      <c r="C592">
        <v>16965</v>
      </c>
      <c r="D592">
        <v>0</v>
      </c>
    </row>
    <row r="593" spans="1:4" x14ac:dyDescent="0.25">
      <c r="A593">
        <v>270000</v>
      </c>
      <c r="B593">
        <v>26695.17</v>
      </c>
      <c r="C593">
        <v>2669.67</v>
      </c>
      <c r="D593">
        <v>0</v>
      </c>
    </row>
    <row r="594" spans="1:4" x14ac:dyDescent="0.25">
      <c r="A594">
        <v>270000</v>
      </c>
      <c r="B594">
        <v>70380</v>
      </c>
      <c r="C594">
        <v>0</v>
      </c>
      <c r="D594">
        <v>1</v>
      </c>
    </row>
    <row r="595" spans="1:4" x14ac:dyDescent="0.25">
      <c r="A595">
        <v>450000</v>
      </c>
      <c r="B595">
        <v>223920</v>
      </c>
      <c r="C595">
        <v>23737.5</v>
      </c>
      <c r="D595">
        <v>0</v>
      </c>
    </row>
    <row r="596" spans="1:4" x14ac:dyDescent="0.25">
      <c r="A596">
        <v>450000</v>
      </c>
      <c r="B596">
        <v>65250</v>
      </c>
      <c r="C596">
        <v>0</v>
      </c>
      <c r="D596">
        <v>0</v>
      </c>
    </row>
    <row r="597" spans="1:4" x14ac:dyDescent="0.25">
      <c r="A597">
        <v>135000</v>
      </c>
      <c r="B597">
        <v>111915</v>
      </c>
      <c r="C597">
        <v>0</v>
      </c>
      <c r="D597">
        <v>0</v>
      </c>
    </row>
    <row r="598" spans="1:4" x14ac:dyDescent="0.25">
      <c r="A598">
        <v>112500</v>
      </c>
      <c r="B598">
        <v>152325</v>
      </c>
      <c r="C598">
        <v>0</v>
      </c>
      <c r="D598">
        <v>0</v>
      </c>
    </row>
    <row r="599" spans="1:4" x14ac:dyDescent="0.25">
      <c r="A599">
        <v>112500</v>
      </c>
      <c r="B599">
        <v>77580</v>
      </c>
      <c r="C599">
        <v>0</v>
      </c>
      <c r="D599">
        <v>0</v>
      </c>
    </row>
    <row r="600" spans="1:4" x14ac:dyDescent="0.25">
      <c r="A600">
        <v>112500</v>
      </c>
      <c r="B600">
        <v>84555</v>
      </c>
      <c r="C600">
        <v>0</v>
      </c>
      <c r="D600">
        <v>0</v>
      </c>
    </row>
    <row r="601" spans="1:4" x14ac:dyDescent="0.25">
      <c r="A601">
        <v>112500</v>
      </c>
      <c r="B601">
        <v>76320</v>
      </c>
      <c r="C601">
        <v>7650</v>
      </c>
      <c r="D601">
        <v>0</v>
      </c>
    </row>
    <row r="602" spans="1:4" x14ac:dyDescent="0.25">
      <c r="A602">
        <v>112500</v>
      </c>
      <c r="B602">
        <v>78705</v>
      </c>
      <c r="C602">
        <v>0</v>
      </c>
      <c r="D602">
        <v>0</v>
      </c>
    </row>
    <row r="603" spans="1:4" x14ac:dyDescent="0.25">
      <c r="A603">
        <v>225000</v>
      </c>
      <c r="B603">
        <v>278329.5</v>
      </c>
      <c r="C603">
        <v>0</v>
      </c>
      <c r="D603">
        <v>0</v>
      </c>
    </row>
    <row r="604" spans="1:4" x14ac:dyDescent="0.25">
      <c r="A604">
        <v>225000</v>
      </c>
      <c r="B604">
        <v>167161.5</v>
      </c>
      <c r="C604">
        <v>112500</v>
      </c>
      <c r="D604">
        <v>0</v>
      </c>
    </row>
    <row r="605" spans="1:4" x14ac:dyDescent="0.25">
      <c r="A605">
        <v>202500</v>
      </c>
      <c r="B605">
        <v>66600</v>
      </c>
      <c r="C605">
        <v>0</v>
      </c>
      <c r="D605">
        <v>0</v>
      </c>
    </row>
    <row r="606" spans="1:4" x14ac:dyDescent="0.25">
      <c r="A606">
        <v>202500</v>
      </c>
      <c r="B606">
        <v>62050.5</v>
      </c>
      <c r="C606">
        <v>22500</v>
      </c>
      <c r="D606">
        <v>1</v>
      </c>
    </row>
    <row r="607" spans="1:4" x14ac:dyDescent="0.25">
      <c r="A607">
        <v>202500</v>
      </c>
      <c r="B607">
        <v>124330.5</v>
      </c>
      <c r="C607">
        <v>0</v>
      </c>
      <c r="D607">
        <v>0</v>
      </c>
    </row>
    <row r="608" spans="1:4" x14ac:dyDescent="0.25">
      <c r="A608">
        <v>202500</v>
      </c>
      <c r="B608">
        <v>206280</v>
      </c>
      <c r="C608">
        <v>20628</v>
      </c>
      <c r="D608">
        <v>0</v>
      </c>
    </row>
    <row r="609" spans="1:4" x14ac:dyDescent="0.25">
      <c r="A609">
        <v>202500</v>
      </c>
      <c r="B609">
        <v>40455</v>
      </c>
      <c r="C609">
        <v>9000</v>
      </c>
      <c r="D609">
        <v>0</v>
      </c>
    </row>
    <row r="610" spans="1:4" x14ac:dyDescent="0.25">
      <c r="A610">
        <v>202500</v>
      </c>
      <c r="B610">
        <v>301500</v>
      </c>
      <c r="C610">
        <v>0</v>
      </c>
      <c r="D610">
        <v>0</v>
      </c>
    </row>
    <row r="611" spans="1:4" x14ac:dyDescent="0.25">
      <c r="A611">
        <v>189000</v>
      </c>
      <c r="B611">
        <v>25605</v>
      </c>
      <c r="C611">
        <v>0</v>
      </c>
      <c r="D611">
        <v>0</v>
      </c>
    </row>
    <row r="612" spans="1:4" x14ac:dyDescent="0.25">
      <c r="A612">
        <v>202500</v>
      </c>
      <c r="B612">
        <v>102960</v>
      </c>
      <c r="C612">
        <v>0</v>
      </c>
      <c r="D612">
        <v>1</v>
      </c>
    </row>
    <row r="613" spans="1:4" x14ac:dyDescent="0.25">
      <c r="A613">
        <v>202500</v>
      </c>
      <c r="B613">
        <v>139491</v>
      </c>
      <c r="C613">
        <v>0</v>
      </c>
      <c r="D613">
        <v>0</v>
      </c>
    </row>
    <row r="614" spans="1:4" x14ac:dyDescent="0.25">
      <c r="A614">
        <v>202500</v>
      </c>
      <c r="B614">
        <v>98518.5</v>
      </c>
      <c r="C614">
        <v>0</v>
      </c>
      <c r="D614">
        <v>0</v>
      </c>
    </row>
    <row r="615" spans="1:4" x14ac:dyDescent="0.25">
      <c r="A615">
        <v>202500</v>
      </c>
      <c r="B615">
        <v>108517.5</v>
      </c>
      <c r="C615">
        <v>21703.5</v>
      </c>
      <c r="D615">
        <v>0</v>
      </c>
    </row>
    <row r="616" spans="1:4" x14ac:dyDescent="0.25">
      <c r="A616">
        <v>202500</v>
      </c>
      <c r="B616">
        <v>102960</v>
      </c>
      <c r="C616">
        <v>0</v>
      </c>
      <c r="D616">
        <v>1</v>
      </c>
    </row>
    <row r="617" spans="1:4" x14ac:dyDescent="0.25">
      <c r="A617">
        <v>202500</v>
      </c>
      <c r="B617">
        <v>32836.5</v>
      </c>
      <c r="C617">
        <v>3285</v>
      </c>
      <c r="D617">
        <v>0</v>
      </c>
    </row>
    <row r="618" spans="1:4" x14ac:dyDescent="0.25">
      <c r="A618">
        <v>202500</v>
      </c>
      <c r="B618">
        <v>120285</v>
      </c>
      <c r="C618">
        <v>0</v>
      </c>
      <c r="D618">
        <v>0</v>
      </c>
    </row>
    <row r="619" spans="1:4" x14ac:dyDescent="0.25">
      <c r="A619">
        <v>202500</v>
      </c>
      <c r="B619">
        <v>101700</v>
      </c>
      <c r="C619">
        <v>0</v>
      </c>
      <c r="D619">
        <v>0</v>
      </c>
    </row>
    <row r="620" spans="1:4" x14ac:dyDescent="0.25">
      <c r="A620">
        <v>450000</v>
      </c>
      <c r="B620">
        <v>116928</v>
      </c>
      <c r="C620">
        <v>0</v>
      </c>
      <c r="D620">
        <v>0</v>
      </c>
    </row>
    <row r="621" spans="1:4" x14ac:dyDescent="0.25">
      <c r="A621">
        <v>450000</v>
      </c>
      <c r="B621">
        <v>260955</v>
      </c>
      <c r="C621">
        <v>0</v>
      </c>
      <c r="D621">
        <v>1</v>
      </c>
    </row>
    <row r="622" spans="1:4" x14ac:dyDescent="0.25">
      <c r="A622">
        <v>85500</v>
      </c>
      <c r="B622">
        <v>82440</v>
      </c>
      <c r="C622">
        <v>0</v>
      </c>
      <c r="D622">
        <v>0</v>
      </c>
    </row>
    <row r="623" spans="1:4" x14ac:dyDescent="0.25">
      <c r="A623">
        <v>180000</v>
      </c>
      <c r="B623">
        <v>117058.5</v>
      </c>
      <c r="C623">
        <v>0</v>
      </c>
      <c r="D623">
        <v>0</v>
      </c>
    </row>
    <row r="624" spans="1:4" x14ac:dyDescent="0.25">
      <c r="A624">
        <v>157500</v>
      </c>
      <c r="B624">
        <v>143955</v>
      </c>
      <c r="C624">
        <v>14395.5</v>
      </c>
      <c r="D624">
        <v>0</v>
      </c>
    </row>
    <row r="625" spans="1:4" x14ac:dyDescent="0.25">
      <c r="A625">
        <v>157500</v>
      </c>
      <c r="B625">
        <v>17055</v>
      </c>
      <c r="C625">
        <v>1800</v>
      </c>
      <c r="D625">
        <v>0</v>
      </c>
    </row>
    <row r="626" spans="1:4" x14ac:dyDescent="0.25">
      <c r="A626">
        <v>117000</v>
      </c>
      <c r="B626">
        <v>126886.5</v>
      </c>
      <c r="C626">
        <v>0</v>
      </c>
      <c r="D626">
        <v>0</v>
      </c>
    </row>
    <row r="627" spans="1:4" x14ac:dyDescent="0.25">
      <c r="A627">
        <v>112500</v>
      </c>
      <c r="B627">
        <v>62955</v>
      </c>
      <c r="C627">
        <v>12600</v>
      </c>
      <c r="D627">
        <v>0</v>
      </c>
    </row>
    <row r="628" spans="1:4" x14ac:dyDescent="0.25">
      <c r="A628">
        <v>135000</v>
      </c>
      <c r="B628">
        <v>96772.5</v>
      </c>
      <c r="C628">
        <v>0</v>
      </c>
      <c r="D628">
        <v>0</v>
      </c>
    </row>
    <row r="629" spans="1:4" x14ac:dyDescent="0.25">
      <c r="A629">
        <v>157500</v>
      </c>
      <c r="B629">
        <v>19305</v>
      </c>
      <c r="C629">
        <v>1930.5</v>
      </c>
      <c r="D629">
        <v>0</v>
      </c>
    </row>
    <row r="630" spans="1:4" x14ac:dyDescent="0.25">
      <c r="A630">
        <v>157500</v>
      </c>
      <c r="B630">
        <v>21771</v>
      </c>
      <c r="C630">
        <v>0</v>
      </c>
      <c r="D630">
        <v>0</v>
      </c>
    </row>
    <row r="631" spans="1:4" x14ac:dyDescent="0.25">
      <c r="A631">
        <v>180000</v>
      </c>
      <c r="B631">
        <v>25740</v>
      </c>
      <c r="C631">
        <v>0</v>
      </c>
      <c r="D631">
        <v>0</v>
      </c>
    </row>
    <row r="632" spans="1:4" x14ac:dyDescent="0.25">
      <c r="A632">
        <v>180000</v>
      </c>
      <c r="B632">
        <v>25740</v>
      </c>
      <c r="C632">
        <v>0</v>
      </c>
      <c r="D632">
        <v>0</v>
      </c>
    </row>
    <row r="633" spans="1:4" x14ac:dyDescent="0.25">
      <c r="A633">
        <v>180000</v>
      </c>
      <c r="B633">
        <v>59796</v>
      </c>
      <c r="C633">
        <v>0</v>
      </c>
      <c r="D633">
        <v>0</v>
      </c>
    </row>
    <row r="634" spans="1:4" x14ac:dyDescent="0.25">
      <c r="A634">
        <v>180000</v>
      </c>
      <c r="B634">
        <v>48375</v>
      </c>
      <c r="C634">
        <v>0</v>
      </c>
      <c r="D634">
        <v>0</v>
      </c>
    </row>
    <row r="635" spans="1:4" x14ac:dyDescent="0.25">
      <c r="A635">
        <v>225000</v>
      </c>
      <c r="B635">
        <v>64651.5</v>
      </c>
      <c r="C635">
        <v>0</v>
      </c>
      <c r="D635">
        <v>0</v>
      </c>
    </row>
    <row r="636" spans="1:4" x14ac:dyDescent="0.25">
      <c r="A636">
        <v>112500</v>
      </c>
      <c r="B636">
        <v>45850.5</v>
      </c>
      <c r="C636">
        <v>9000</v>
      </c>
      <c r="D636">
        <v>0</v>
      </c>
    </row>
    <row r="637" spans="1:4" x14ac:dyDescent="0.25">
      <c r="A637">
        <v>112500</v>
      </c>
      <c r="B637">
        <v>43987.5</v>
      </c>
      <c r="C637">
        <v>8797.5</v>
      </c>
      <c r="D637">
        <v>0</v>
      </c>
    </row>
    <row r="638" spans="1:4" x14ac:dyDescent="0.25">
      <c r="A638">
        <v>157500</v>
      </c>
      <c r="B638">
        <v>55345.5</v>
      </c>
      <c r="C638">
        <v>0</v>
      </c>
      <c r="D638">
        <v>0</v>
      </c>
    </row>
    <row r="639" spans="1:4" x14ac:dyDescent="0.25">
      <c r="A639">
        <v>144000</v>
      </c>
      <c r="B639">
        <v>89955</v>
      </c>
      <c r="C639">
        <v>8995.5</v>
      </c>
      <c r="D639">
        <v>0</v>
      </c>
    </row>
    <row r="640" spans="1:4" x14ac:dyDescent="0.25">
      <c r="A640">
        <v>144000</v>
      </c>
      <c r="B640">
        <v>240975</v>
      </c>
      <c r="C640">
        <v>0</v>
      </c>
      <c r="D640">
        <v>1</v>
      </c>
    </row>
    <row r="641" spans="1:4" x14ac:dyDescent="0.25">
      <c r="A641">
        <v>144000</v>
      </c>
      <c r="B641">
        <v>240975</v>
      </c>
      <c r="C641">
        <v>0</v>
      </c>
      <c r="D641">
        <v>0</v>
      </c>
    </row>
    <row r="642" spans="1:4" x14ac:dyDescent="0.25">
      <c r="A642">
        <v>112500</v>
      </c>
      <c r="B642">
        <v>50890.5</v>
      </c>
      <c r="C642">
        <v>10170</v>
      </c>
      <c r="D642">
        <v>0</v>
      </c>
    </row>
    <row r="643" spans="1:4" x14ac:dyDescent="0.25">
      <c r="A643">
        <v>90000</v>
      </c>
      <c r="B643">
        <v>28300.5</v>
      </c>
      <c r="C643">
        <v>1395</v>
      </c>
      <c r="D643">
        <v>0</v>
      </c>
    </row>
    <row r="644" spans="1:4" x14ac:dyDescent="0.25">
      <c r="A644">
        <v>90000</v>
      </c>
      <c r="B644">
        <v>19750.5</v>
      </c>
      <c r="C644">
        <v>0</v>
      </c>
      <c r="D644">
        <v>0</v>
      </c>
    </row>
    <row r="645" spans="1:4" x14ac:dyDescent="0.25">
      <c r="A645">
        <v>90000</v>
      </c>
      <c r="B645">
        <v>21550.5</v>
      </c>
      <c r="C645">
        <v>0</v>
      </c>
      <c r="D645">
        <v>0</v>
      </c>
    </row>
    <row r="646" spans="1:4" x14ac:dyDescent="0.25">
      <c r="A646">
        <v>135000</v>
      </c>
      <c r="B646">
        <v>86526</v>
      </c>
      <c r="C646">
        <v>0</v>
      </c>
      <c r="D646">
        <v>0</v>
      </c>
    </row>
    <row r="647" spans="1:4" x14ac:dyDescent="0.25">
      <c r="A647">
        <v>121500</v>
      </c>
      <c r="B647">
        <v>86355</v>
      </c>
      <c r="C647">
        <v>0</v>
      </c>
      <c r="D647">
        <v>0</v>
      </c>
    </row>
    <row r="648" spans="1:4" x14ac:dyDescent="0.25">
      <c r="A648">
        <v>157500</v>
      </c>
      <c r="B648">
        <v>51480</v>
      </c>
      <c r="C648">
        <v>5175</v>
      </c>
      <c r="D648">
        <v>0</v>
      </c>
    </row>
    <row r="649" spans="1:4" x14ac:dyDescent="0.25">
      <c r="A649">
        <v>90000</v>
      </c>
      <c r="B649">
        <v>105525</v>
      </c>
      <c r="C649">
        <v>0</v>
      </c>
      <c r="D649">
        <v>0</v>
      </c>
    </row>
    <row r="650" spans="1:4" x14ac:dyDescent="0.25">
      <c r="A650">
        <v>90000</v>
      </c>
      <c r="B650">
        <v>26955</v>
      </c>
      <c r="C650">
        <v>2700</v>
      </c>
      <c r="D650">
        <v>0</v>
      </c>
    </row>
    <row r="651" spans="1:4" x14ac:dyDescent="0.25">
      <c r="A651">
        <v>99000</v>
      </c>
      <c r="B651">
        <v>26325</v>
      </c>
      <c r="C651">
        <v>4500</v>
      </c>
      <c r="D651">
        <v>0</v>
      </c>
    </row>
    <row r="652" spans="1:4" x14ac:dyDescent="0.25">
      <c r="A652">
        <v>99000</v>
      </c>
      <c r="B652">
        <v>96097.5</v>
      </c>
      <c r="C652">
        <v>9612</v>
      </c>
      <c r="D652">
        <v>0</v>
      </c>
    </row>
    <row r="653" spans="1:4" x14ac:dyDescent="0.25">
      <c r="A653">
        <v>99000</v>
      </c>
      <c r="B653">
        <v>68755.5</v>
      </c>
      <c r="C653">
        <v>0</v>
      </c>
      <c r="D653">
        <v>0</v>
      </c>
    </row>
    <row r="654" spans="1:4" x14ac:dyDescent="0.25">
      <c r="A654">
        <v>99000</v>
      </c>
      <c r="B654">
        <v>22095</v>
      </c>
      <c r="C654">
        <v>0</v>
      </c>
      <c r="D654">
        <v>0</v>
      </c>
    </row>
    <row r="655" spans="1:4" x14ac:dyDescent="0.25">
      <c r="A655">
        <v>99000</v>
      </c>
      <c r="B655">
        <v>178965</v>
      </c>
      <c r="C655">
        <v>17896.5</v>
      </c>
      <c r="D655">
        <v>0</v>
      </c>
    </row>
    <row r="656" spans="1:4" x14ac:dyDescent="0.25">
      <c r="A656">
        <v>99000</v>
      </c>
      <c r="B656">
        <v>22401</v>
      </c>
      <c r="C656">
        <v>8901</v>
      </c>
      <c r="D656">
        <v>0</v>
      </c>
    </row>
    <row r="657" spans="1:4" x14ac:dyDescent="0.25">
      <c r="A657">
        <v>157500</v>
      </c>
      <c r="B657">
        <v>80005.5</v>
      </c>
      <c r="C657">
        <v>0</v>
      </c>
      <c r="D657">
        <v>0</v>
      </c>
    </row>
    <row r="658" spans="1:4" x14ac:dyDescent="0.25">
      <c r="A658">
        <v>184500</v>
      </c>
      <c r="B658">
        <v>89730</v>
      </c>
      <c r="C658">
        <v>13500</v>
      </c>
      <c r="D658">
        <v>0</v>
      </c>
    </row>
    <row r="659" spans="1:4" x14ac:dyDescent="0.25">
      <c r="A659">
        <v>184500</v>
      </c>
      <c r="B659">
        <v>122796</v>
      </c>
      <c r="C659">
        <v>0</v>
      </c>
      <c r="D659">
        <v>0</v>
      </c>
    </row>
    <row r="660" spans="1:4" x14ac:dyDescent="0.25">
      <c r="A660">
        <v>184500</v>
      </c>
      <c r="B660">
        <v>109080</v>
      </c>
      <c r="C660">
        <v>32580</v>
      </c>
      <c r="D660">
        <v>0</v>
      </c>
    </row>
    <row r="661" spans="1:4" x14ac:dyDescent="0.25">
      <c r="A661">
        <v>184500</v>
      </c>
      <c r="B661">
        <v>122499</v>
      </c>
      <c r="C661">
        <v>0</v>
      </c>
      <c r="D661">
        <v>0</v>
      </c>
    </row>
    <row r="662" spans="1:4" x14ac:dyDescent="0.25">
      <c r="A662">
        <v>184500</v>
      </c>
      <c r="B662">
        <v>121860</v>
      </c>
      <c r="C662">
        <v>49500</v>
      </c>
      <c r="D662">
        <v>0</v>
      </c>
    </row>
    <row r="663" spans="1:4" x14ac:dyDescent="0.25">
      <c r="A663">
        <v>184500</v>
      </c>
      <c r="B663">
        <v>83200.5</v>
      </c>
      <c r="C663">
        <v>36675</v>
      </c>
      <c r="D663">
        <v>0</v>
      </c>
    </row>
    <row r="664" spans="1:4" x14ac:dyDescent="0.25">
      <c r="A664">
        <v>184500</v>
      </c>
      <c r="B664">
        <v>107955</v>
      </c>
      <c r="C664">
        <v>27000</v>
      </c>
      <c r="D664">
        <v>0</v>
      </c>
    </row>
    <row r="665" spans="1:4" x14ac:dyDescent="0.25">
      <c r="A665">
        <v>184500</v>
      </c>
      <c r="B665">
        <v>47637</v>
      </c>
      <c r="C665">
        <v>22500</v>
      </c>
      <c r="D665">
        <v>0</v>
      </c>
    </row>
    <row r="666" spans="1:4" x14ac:dyDescent="0.25">
      <c r="A666">
        <v>157500</v>
      </c>
      <c r="B666">
        <v>33777</v>
      </c>
      <c r="C666">
        <v>0</v>
      </c>
      <c r="D666">
        <v>0</v>
      </c>
    </row>
    <row r="667" spans="1:4" x14ac:dyDescent="0.25">
      <c r="A667">
        <v>112500</v>
      </c>
      <c r="B667">
        <v>22896</v>
      </c>
      <c r="C667">
        <v>4500</v>
      </c>
      <c r="D667">
        <v>0</v>
      </c>
    </row>
    <row r="668" spans="1:4" x14ac:dyDescent="0.25">
      <c r="A668">
        <v>112500</v>
      </c>
      <c r="B668">
        <v>83700</v>
      </c>
      <c r="C668">
        <v>8370</v>
      </c>
      <c r="D668">
        <v>0</v>
      </c>
    </row>
    <row r="669" spans="1:4" x14ac:dyDescent="0.25">
      <c r="A669">
        <v>112500</v>
      </c>
      <c r="B669">
        <v>113445</v>
      </c>
      <c r="C669">
        <v>0</v>
      </c>
      <c r="D669">
        <v>0</v>
      </c>
    </row>
    <row r="670" spans="1:4" x14ac:dyDescent="0.25">
      <c r="A670">
        <v>144000</v>
      </c>
      <c r="B670">
        <v>147483</v>
      </c>
      <c r="C670">
        <v>14751</v>
      </c>
      <c r="D670">
        <v>0</v>
      </c>
    </row>
    <row r="671" spans="1:4" x14ac:dyDescent="0.25">
      <c r="A671">
        <v>144000</v>
      </c>
      <c r="B671">
        <v>119223</v>
      </c>
      <c r="C671">
        <v>11925</v>
      </c>
      <c r="D671">
        <v>0</v>
      </c>
    </row>
    <row r="672" spans="1:4" x14ac:dyDescent="0.25">
      <c r="A672">
        <v>144000</v>
      </c>
      <c r="B672">
        <v>148500</v>
      </c>
      <c r="C672">
        <v>0</v>
      </c>
      <c r="D672">
        <v>0</v>
      </c>
    </row>
    <row r="673" spans="1:4" x14ac:dyDescent="0.25">
      <c r="A673">
        <v>211500</v>
      </c>
      <c r="B673">
        <v>22999.5</v>
      </c>
      <c r="C673">
        <v>4603.5</v>
      </c>
      <c r="D673">
        <v>0</v>
      </c>
    </row>
    <row r="674" spans="1:4" x14ac:dyDescent="0.25">
      <c r="A674">
        <v>211500</v>
      </c>
      <c r="B674">
        <v>64890</v>
      </c>
      <c r="C674">
        <v>6489</v>
      </c>
      <c r="D674">
        <v>0</v>
      </c>
    </row>
    <row r="675" spans="1:4" x14ac:dyDescent="0.25">
      <c r="A675">
        <v>211500</v>
      </c>
      <c r="B675">
        <v>99999</v>
      </c>
      <c r="C675">
        <v>9999</v>
      </c>
      <c r="D675">
        <v>0</v>
      </c>
    </row>
    <row r="676" spans="1:4" x14ac:dyDescent="0.25">
      <c r="A676">
        <v>211500</v>
      </c>
      <c r="B676">
        <v>126216</v>
      </c>
      <c r="C676">
        <v>0</v>
      </c>
      <c r="D676">
        <v>0</v>
      </c>
    </row>
    <row r="677" spans="1:4" x14ac:dyDescent="0.25">
      <c r="A677">
        <v>211500</v>
      </c>
      <c r="B677">
        <v>135000</v>
      </c>
      <c r="C677">
        <v>0</v>
      </c>
      <c r="D677">
        <v>1</v>
      </c>
    </row>
    <row r="678" spans="1:4" x14ac:dyDescent="0.25">
      <c r="A678">
        <v>211500</v>
      </c>
      <c r="B678">
        <v>74763</v>
      </c>
      <c r="C678">
        <v>7479</v>
      </c>
      <c r="D678">
        <v>0</v>
      </c>
    </row>
    <row r="679" spans="1:4" x14ac:dyDescent="0.25">
      <c r="A679">
        <v>225000</v>
      </c>
      <c r="B679">
        <v>239827.5</v>
      </c>
      <c r="C679">
        <v>23985</v>
      </c>
      <c r="D679">
        <v>0</v>
      </c>
    </row>
    <row r="680" spans="1:4" x14ac:dyDescent="0.25">
      <c r="A680">
        <v>247500</v>
      </c>
      <c r="B680">
        <v>157495.5</v>
      </c>
      <c r="C680">
        <v>0</v>
      </c>
      <c r="D680">
        <v>0</v>
      </c>
    </row>
    <row r="681" spans="1:4" x14ac:dyDescent="0.25">
      <c r="A681">
        <v>112500</v>
      </c>
      <c r="B681">
        <v>28201.5</v>
      </c>
      <c r="C681">
        <v>0</v>
      </c>
      <c r="D681">
        <v>0</v>
      </c>
    </row>
    <row r="682" spans="1:4" x14ac:dyDescent="0.25">
      <c r="A682">
        <v>58500</v>
      </c>
      <c r="B682">
        <v>67495.5</v>
      </c>
      <c r="C682">
        <v>13500</v>
      </c>
      <c r="D682">
        <v>0</v>
      </c>
    </row>
    <row r="683" spans="1:4" x14ac:dyDescent="0.25">
      <c r="A683">
        <v>225000</v>
      </c>
      <c r="B683">
        <v>28665</v>
      </c>
      <c r="C683">
        <v>2880</v>
      </c>
      <c r="D683">
        <v>0</v>
      </c>
    </row>
    <row r="684" spans="1:4" x14ac:dyDescent="0.25">
      <c r="A684">
        <v>450000</v>
      </c>
      <c r="B684">
        <v>37440</v>
      </c>
      <c r="C684">
        <v>4500</v>
      </c>
      <c r="D684">
        <v>0</v>
      </c>
    </row>
    <row r="685" spans="1:4" x14ac:dyDescent="0.25">
      <c r="A685">
        <v>49500</v>
      </c>
      <c r="B685">
        <v>54450</v>
      </c>
      <c r="C685">
        <v>10890</v>
      </c>
      <c r="D685">
        <v>0</v>
      </c>
    </row>
    <row r="686" spans="1:4" x14ac:dyDescent="0.25">
      <c r="A686">
        <v>49500</v>
      </c>
      <c r="B686">
        <v>37197</v>
      </c>
      <c r="C686">
        <v>7425</v>
      </c>
      <c r="D686">
        <v>0</v>
      </c>
    </row>
    <row r="687" spans="1:4" x14ac:dyDescent="0.25">
      <c r="A687">
        <v>337500</v>
      </c>
      <c r="B687">
        <v>93528</v>
      </c>
      <c r="C687">
        <v>0</v>
      </c>
      <c r="D687">
        <v>0</v>
      </c>
    </row>
    <row r="688" spans="1:4" x14ac:dyDescent="0.25">
      <c r="A688">
        <v>337500</v>
      </c>
      <c r="B688">
        <v>126760.5</v>
      </c>
      <c r="C688">
        <v>18000</v>
      </c>
      <c r="D688">
        <v>0</v>
      </c>
    </row>
    <row r="689" spans="1:4" x14ac:dyDescent="0.25">
      <c r="A689">
        <v>180000</v>
      </c>
      <c r="B689">
        <v>93015</v>
      </c>
      <c r="C689">
        <v>9301.5</v>
      </c>
      <c r="D689">
        <v>0</v>
      </c>
    </row>
    <row r="690" spans="1:4" x14ac:dyDescent="0.25">
      <c r="A690">
        <v>112500</v>
      </c>
      <c r="B690">
        <v>45616.5</v>
      </c>
      <c r="C690">
        <v>0</v>
      </c>
      <c r="D690">
        <v>0</v>
      </c>
    </row>
    <row r="691" spans="1:4" x14ac:dyDescent="0.25">
      <c r="A691">
        <v>117000</v>
      </c>
      <c r="B691">
        <v>145494</v>
      </c>
      <c r="C691">
        <v>0</v>
      </c>
      <c r="D691">
        <v>0</v>
      </c>
    </row>
    <row r="692" spans="1:4" x14ac:dyDescent="0.25">
      <c r="A692">
        <v>117000</v>
      </c>
      <c r="B692">
        <v>123453</v>
      </c>
      <c r="C692">
        <v>0</v>
      </c>
      <c r="D692">
        <v>1</v>
      </c>
    </row>
    <row r="693" spans="1:4" x14ac:dyDescent="0.25">
      <c r="A693">
        <v>117000</v>
      </c>
      <c r="B693">
        <v>84420</v>
      </c>
      <c r="C693">
        <v>9000</v>
      </c>
      <c r="D693">
        <v>0</v>
      </c>
    </row>
    <row r="694" spans="1:4" x14ac:dyDescent="0.25">
      <c r="A694">
        <v>117000</v>
      </c>
      <c r="B694">
        <v>24840</v>
      </c>
      <c r="C694">
        <v>4725</v>
      </c>
      <c r="D694">
        <v>0</v>
      </c>
    </row>
    <row r="695" spans="1:4" x14ac:dyDescent="0.25">
      <c r="A695">
        <v>99000</v>
      </c>
      <c r="B695">
        <v>126810</v>
      </c>
      <c r="C695">
        <v>25362</v>
      </c>
      <c r="D695">
        <v>0</v>
      </c>
    </row>
    <row r="696" spans="1:4" x14ac:dyDescent="0.25">
      <c r="A696">
        <v>292500</v>
      </c>
      <c r="B696">
        <v>243000</v>
      </c>
      <c r="C696">
        <v>0</v>
      </c>
      <c r="D696">
        <v>0</v>
      </c>
    </row>
    <row r="697" spans="1:4" x14ac:dyDescent="0.25">
      <c r="A697">
        <v>31500</v>
      </c>
      <c r="B697">
        <v>90000</v>
      </c>
      <c r="C697">
        <v>0</v>
      </c>
      <c r="D697">
        <v>0</v>
      </c>
    </row>
    <row r="698" spans="1:4" x14ac:dyDescent="0.25">
      <c r="A698">
        <v>157500</v>
      </c>
      <c r="B698">
        <v>28608.345000000001</v>
      </c>
      <c r="C698">
        <v>5721.3450000000003</v>
      </c>
      <c r="D698">
        <v>0</v>
      </c>
    </row>
    <row r="699" spans="1:4" x14ac:dyDescent="0.25">
      <c r="A699">
        <v>108000</v>
      </c>
      <c r="B699">
        <v>111780</v>
      </c>
      <c r="C699">
        <v>0</v>
      </c>
      <c r="D699">
        <v>0</v>
      </c>
    </row>
    <row r="700" spans="1:4" x14ac:dyDescent="0.25">
      <c r="A700">
        <v>171000</v>
      </c>
      <c r="B700">
        <v>44752.5</v>
      </c>
      <c r="C700">
        <v>9000</v>
      </c>
      <c r="D700">
        <v>1</v>
      </c>
    </row>
    <row r="701" spans="1:4" x14ac:dyDescent="0.25">
      <c r="A701">
        <v>171000</v>
      </c>
      <c r="B701">
        <v>24745.5</v>
      </c>
      <c r="C701">
        <v>4950</v>
      </c>
      <c r="D701">
        <v>0</v>
      </c>
    </row>
    <row r="702" spans="1:4" x14ac:dyDescent="0.25">
      <c r="A702">
        <v>135000</v>
      </c>
      <c r="B702">
        <v>52897.5</v>
      </c>
      <c r="C702">
        <v>5292</v>
      </c>
      <c r="D702">
        <v>0</v>
      </c>
    </row>
    <row r="703" spans="1:4" x14ac:dyDescent="0.25">
      <c r="A703">
        <v>180000</v>
      </c>
      <c r="B703">
        <v>27675</v>
      </c>
      <c r="C703">
        <v>6750</v>
      </c>
      <c r="D703">
        <v>1</v>
      </c>
    </row>
    <row r="704" spans="1:4" x14ac:dyDescent="0.25">
      <c r="A704">
        <v>180000</v>
      </c>
      <c r="B704">
        <v>57555</v>
      </c>
      <c r="C704">
        <v>5755.5</v>
      </c>
      <c r="D704">
        <v>0</v>
      </c>
    </row>
    <row r="705" spans="1:4" x14ac:dyDescent="0.25">
      <c r="A705">
        <v>270000</v>
      </c>
      <c r="B705">
        <v>81216</v>
      </c>
      <c r="C705">
        <v>8100</v>
      </c>
      <c r="D705">
        <v>0</v>
      </c>
    </row>
    <row r="706" spans="1:4" x14ac:dyDescent="0.25">
      <c r="A706">
        <v>270000</v>
      </c>
      <c r="B706">
        <v>46116</v>
      </c>
      <c r="C706">
        <v>6750</v>
      </c>
      <c r="D706">
        <v>0</v>
      </c>
    </row>
    <row r="707" spans="1:4" x14ac:dyDescent="0.25">
      <c r="A707">
        <v>270000</v>
      </c>
      <c r="B707">
        <v>36846</v>
      </c>
      <c r="C707">
        <v>3685.5</v>
      </c>
      <c r="D707">
        <v>0</v>
      </c>
    </row>
    <row r="708" spans="1:4" x14ac:dyDescent="0.25">
      <c r="A708">
        <v>270000</v>
      </c>
      <c r="B708">
        <v>117562.5</v>
      </c>
      <c r="C708">
        <v>0</v>
      </c>
      <c r="D708">
        <v>0</v>
      </c>
    </row>
    <row r="709" spans="1:4" x14ac:dyDescent="0.25">
      <c r="A709">
        <v>135000</v>
      </c>
      <c r="B709">
        <v>17482.5</v>
      </c>
      <c r="C709">
        <v>1750.5</v>
      </c>
      <c r="D709">
        <v>0</v>
      </c>
    </row>
    <row r="710" spans="1:4" x14ac:dyDescent="0.25">
      <c r="A710">
        <v>126000</v>
      </c>
      <c r="B710">
        <v>22500</v>
      </c>
      <c r="C710">
        <v>2250</v>
      </c>
      <c r="D710">
        <v>0</v>
      </c>
    </row>
    <row r="711" spans="1:4" x14ac:dyDescent="0.25">
      <c r="A711">
        <v>85500</v>
      </c>
      <c r="B711">
        <v>60169.5</v>
      </c>
      <c r="C711">
        <v>0</v>
      </c>
      <c r="D711">
        <v>1</v>
      </c>
    </row>
    <row r="712" spans="1:4" x14ac:dyDescent="0.25">
      <c r="A712">
        <v>85500</v>
      </c>
      <c r="B712">
        <v>118075.5</v>
      </c>
      <c r="C712">
        <v>0</v>
      </c>
      <c r="D712">
        <v>0</v>
      </c>
    </row>
    <row r="713" spans="1:4" x14ac:dyDescent="0.25">
      <c r="A713">
        <v>85500</v>
      </c>
      <c r="B713">
        <v>141930</v>
      </c>
      <c r="C713">
        <v>14193</v>
      </c>
      <c r="D713">
        <v>0</v>
      </c>
    </row>
    <row r="714" spans="1:4" x14ac:dyDescent="0.25">
      <c r="A714">
        <v>85500</v>
      </c>
      <c r="B714">
        <v>68647.5</v>
      </c>
      <c r="C714">
        <v>6867</v>
      </c>
      <c r="D714">
        <v>0</v>
      </c>
    </row>
    <row r="715" spans="1:4" x14ac:dyDescent="0.25">
      <c r="A715">
        <v>85500</v>
      </c>
      <c r="B715">
        <v>118426.5</v>
      </c>
      <c r="C715">
        <v>0</v>
      </c>
      <c r="D715">
        <v>1</v>
      </c>
    </row>
    <row r="716" spans="1:4" x14ac:dyDescent="0.25">
      <c r="A716">
        <v>85500</v>
      </c>
      <c r="B716">
        <v>43645.5</v>
      </c>
      <c r="C716">
        <v>0</v>
      </c>
      <c r="D716">
        <v>0</v>
      </c>
    </row>
    <row r="717" spans="1:4" x14ac:dyDescent="0.25">
      <c r="A717">
        <v>85500</v>
      </c>
      <c r="B717">
        <v>118426.5</v>
      </c>
      <c r="C717">
        <v>0</v>
      </c>
      <c r="D717">
        <v>1</v>
      </c>
    </row>
    <row r="718" spans="1:4" x14ac:dyDescent="0.25">
      <c r="A718">
        <v>85500</v>
      </c>
      <c r="B718">
        <v>90432</v>
      </c>
      <c r="C718">
        <v>0</v>
      </c>
      <c r="D718">
        <v>0</v>
      </c>
    </row>
    <row r="719" spans="1:4" x14ac:dyDescent="0.25">
      <c r="A719">
        <v>103500</v>
      </c>
      <c r="B719">
        <v>88110</v>
      </c>
      <c r="C719">
        <v>18000</v>
      </c>
      <c r="D719">
        <v>0</v>
      </c>
    </row>
    <row r="720" spans="1:4" x14ac:dyDescent="0.25">
      <c r="A720">
        <v>103500</v>
      </c>
      <c r="B720">
        <v>67360.5</v>
      </c>
      <c r="C720">
        <v>6750</v>
      </c>
      <c r="D720">
        <v>0</v>
      </c>
    </row>
    <row r="721" spans="1:4" x14ac:dyDescent="0.25">
      <c r="A721">
        <v>225000</v>
      </c>
      <c r="B721">
        <v>563800.5</v>
      </c>
      <c r="C721">
        <v>0</v>
      </c>
      <c r="D721">
        <v>0</v>
      </c>
    </row>
    <row r="722" spans="1:4" x14ac:dyDescent="0.25">
      <c r="A722">
        <v>90000</v>
      </c>
      <c r="B722">
        <v>123831</v>
      </c>
      <c r="C722">
        <v>0</v>
      </c>
      <c r="D722">
        <v>0</v>
      </c>
    </row>
    <row r="723" spans="1:4" x14ac:dyDescent="0.25">
      <c r="A723">
        <v>106398</v>
      </c>
      <c r="B723">
        <v>22455</v>
      </c>
      <c r="C723">
        <v>4500</v>
      </c>
      <c r="D723">
        <v>0</v>
      </c>
    </row>
    <row r="724" spans="1:4" x14ac:dyDescent="0.25">
      <c r="A724">
        <v>106398</v>
      </c>
      <c r="B724">
        <v>67239</v>
      </c>
      <c r="C724">
        <v>6727.5</v>
      </c>
      <c r="D724">
        <v>0</v>
      </c>
    </row>
    <row r="725" spans="1:4" x14ac:dyDescent="0.25">
      <c r="A725">
        <v>106398</v>
      </c>
      <c r="B725">
        <v>76360.41</v>
      </c>
      <c r="C725">
        <v>7636.41</v>
      </c>
      <c r="D725">
        <v>0</v>
      </c>
    </row>
    <row r="726" spans="1:4" x14ac:dyDescent="0.25">
      <c r="A726">
        <v>106398</v>
      </c>
      <c r="B726">
        <v>30105</v>
      </c>
      <c r="C726">
        <v>0</v>
      </c>
      <c r="D726">
        <v>0</v>
      </c>
    </row>
    <row r="727" spans="1:4" x14ac:dyDescent="0.25">
      <c r="A727">
        <v>247500</v>
      </c>
      <c r="B727">
        <v>21303</v>
      </c>
      <c r="C727">
        <v>2250</v>
      </c>
      <c r="D727">
        <v>0</v>
      </c>
    </row>
    <row r="728" spans="1:4" x14ac:dyDescent="0.25">
      <c r="A728">
        <v>247500</v>
      </c>
      <c r="B728">
        <v>438750</v>
      </c>
      <c r="C728">
        <v>0</v>
      </c>
      <c r="D728">
        <v>1</v>
      </c>
    </row>
    <row r="729" spans="1:4" x14ac:dyDescent="0.25">
      <c r="A729">
        <v>247500</v>
      </c>
      <c r="B729">
        <v>64980</v>
      </c>
      <c r="C729">
        <v>6750</v>
      </c>
      <c r="D729">
        <v>0</v>
      </c>
    </row>
    <row r="730" spans="1:4" x14ac:dyDescent="0.25">
      <c r="A730">
        <v>202500</v>
      </c>
      <c r="B730">
        <v>76941</v>
      </c>
      <c r="C730">
        <v>0</v>
      </c>
      <c r="D730">
        <v>0</v>
      </c>
    </row>
    <row r="731" spans="1:4" x14ac:dyDescent="0.25">
      <c r="A731">
        <v>112500</v>
      </c>
      <c r="B731">
        <v>115650</v>
      </c>
      <c r="C731">
        <v>11565</v>
      </c>
      <c r="D731">
        <v>0</v>
      </c>
    </row>
    <row r="732" spans="1:4" x14ac:dyDescent="0.25">
      <c r="A732">
        <v>112500</v>
      </c>
      <c r="B732">
        <v>203539.5</v>
      </c>
      <c r="C732">
        <v>0</v>
      </c>
      <c r="D732">
        <v>0</v>
      </c>
    </row>
    <row r="733" spans="1:4" x14ac:dyDescent="0.25">
      <c r="A733">
        <v>112500</v>
      </c>
      <c r="B733">
        <v>73197</v>
      </c>
      <c r="C733">
        <v>7321.5</v>
      </c>
      <c r="D733">
        <v>0</v>
      </c>
    </row>
    <row r="734" spans="1:4" x14ac:dyDescent="0.25">
      <c r="A734">
        <v>112500</v>
      </c>
      <c r="B734">
        <v>229500</v>
      </c>
      <c r="C734">
        <v>0</v>
      </c>
      <c r="D734">
        <v>0</v>
      </c>
    </row>
    <row r="735" spans="1:4" x14ac:dyDescent="0.25">
      <c r="A735">
        <v>112500</v>
      </c>
      <c r="B735">
        <v>59715</v>
      </c>
      <c r="C735">
        <v>5971.5</v>
      </c>
      <c r="D735">
        <v>0</v>
      </c>
    </row>
    <row r="736" spans="1:4" x14ac:dyDescent="0.25">
      <c r="A736">
        <v>112500</v>
      </c>
      <c r="B736">
        <v>131157</v>
      </c>
      <c r="C736">
        <v>13117.5</v>
      </c>
      <c r="D736">
        <v>0</v>
      </c>
    </row>
    <row r="737" spans="1:4" x14ac:dyDescent="0.25">
      <c r="A737">
        <v>157500</v>
      </c>
      <c r="B737">
        <v>78255</v>
      </c>
      <c r="C737">
        <v>3915</v>
      </c>
      <c r="D737">
        <v>0</v>
      </c>
    </row>
    <row r="738" spans="1:4" x14ac:dyDescent="0.25">
      <c r="A738">
        <v>144000</v>
      </c>
      <c r="B738">
        <v>33466.5</v>
      </c>
      <c r="C738">
        <v>3600</v>
      </c>
      <c r="D738">
        <v>0</v>
      </c>
    </row>
    <row r="739" spans="1:4" x14ac:dyDescent="0.25">
      <c r="A739">
        <v>144000</v>
      </c>
      <c r="B739">
        <v>34875</v>
      </c>
      <c r="C739">
        <v>3487.5</v>
      </c>
      <c r="D739">
        <v>0</v>
      </c>
    </row>
    <row r="740" spans="1:4" x14ac:dyDescent="0.25">
      <c r="A740">
        <v>144000</v>
      </c>
      <c r="B740">
        <v>66352.5</v>
      </c>
      <c r="C740">
        <v>6637.5</v>
      </c>
      <c r="D740">
        <v>0</v>
      </c>
    </row>
    <row r="741" spans="1:4" x14ac:dyDescent="0.25">
      <c r="A741">
        <v>144000</v>
      </c>
      <c r="B741">
        <v>26726.400000000001</v>
      </c>
      <c r="C741">
        <v>0</v>
      </c>
      <c r="D741">
        <v>0</v>
      </c>
    </row>
    <row r="742" spans="1:4" x14ac:dyDescent="0.25">
      <c r="A742">
        <v>180000</v>
      </c>
      <c r="B742">
        <v>120582</v>
      </c>
      <c r="C742">
        <v>0</v>
      </c>
      <c r="D742">
        <v>0</v>
      </c>
    </row>
    <row r="743" spans="1:4" x14ac:dyDescent="0.25">
      <c r="A743">
        <v>229500</v>
      </c>
      <c r="B743">
        <v>82273.5</v>
      </c>
      <c r="C743">
        <v>0</v>
      </c>
      <c r="D743">
        <v>0</v>
      </c>
    </row>
    <row r="744" spans="1:4" x14ac:dyDescent="0.25">
      <c r="A744">
        <v>229500</v>
      </c>
      <c r="B744">
        <v>67761</v>
      </c>
      <c r="C744">
        <v>0</v>
      </c>
      <c r="D744">
        <v>0</v>
      </c>
    </row>
    <row r="745" spans="1:4" x14ac:dyDescent="0.25">
      <c r="A745">
        <v>229500</v>
      </c>
      <c r="B745">
        <v>91570.5</v>
      </c>
      <c r="C745">
        <v>0</v>
      </c>
      <c r="D745">
        <v>0</v>
      </c>
    </row>
    <row r="746" spans="1:4" x14ac:dyDescent="0.25">
      <c r="A746">
        <v>229500</v>
      </c>
      <c r="B746">
        <v>225000</v>
      </c>
      <c r="C746">
        <v>22500</v>
      </c>
      <c r="D746">
        <v>0</v>
      </c>
    </row>
    <row r="747" spans="1:4" x14ac:dyDescent="0.25">
      <c r="A747">
        <v>229500</v>
      </c>
      <c r="B747">
        <v>91570.5</v>
      </c>
      <c r="C747">
        <v>0</v>
      </c>
      <c r="D747">
        <v>1</v>
      </c>
    </row>
    <row r="748" spans="1:4" x14ac:dyDescent="0.25">
      <c r="A748">
        <v>229500</v>
      </c>
      <c r="B748">
        <v>76495.5</v>
      </c>
      <c r="C748">
        <v>0</v>
      </c>
      <c r="D748">
        <v>0</v>
      </c>
    </row>
    <row r="749" spans="1:4" x14ac:dyDescent="0.25">
      <c r="A749">
        <v>225000</v>
      </c>
      <c r="B749">
        <v>68040</v>
      </c>
      <c r="C749">
        <v>6804</v>
      </c>
      <c r="D749">
        <v>0</v>
      </c>
    </row>
    <row r="750" spans="1:4" x14ac:dyDescent="0.25">
      <c r="A750">
        <v>184500</v>
      </c>
      <c r="B750">
        <v>204277.5</v>
      </c>
      <c r="C750">
        <v>0</v>
      </c>
      <c r="D750">
        <v>0</v>
      </c>
    </row>
    <row r="751" spans="1:4" x14ac:dyDescent="0.25">
      <c r="A751">
        <v>180000</v>
      </c>
      <c r="B751">
        <v>182947.5</v>
      </c>
      <c r="C751">
        <v>18297</v>
      </c>
      <c r="D751">
        <v>0</v>
      </c>
    </row>
    <row r="752" spans="1:4" x14ac:dyDescent="0.25">
      <c r="A752">
        <v>292500</v>
      </c>
      <c r="B752">
        <v>124785</v>
      </c>
      <c r="C752">
        <v>13500</v>
      </c>
      <c r="D752">
        <v>0</v>
      </c>
    </row>
    <row r="753" spans="1:4" x14ac:dyDescent="0.25">
      <c r="A753">
        <v>135000</v>
      </c>
      <c r="B753">
        <v>62055</v>
      </c>
      <c r="C753">
        <v>11250</v>
      </c>
      <c r="D753">
        <v>0</v>
      </c>
    </row>
    <row r="754" spans="1:4" x14ac:dyDescent="0.25">
      <c r="A754">
        <v>135000</v>
      </c>
      <c r="B754">
        <v>29650.5</v>
      </c>
      <c r="C754">
        <v>2965.5</v>
      </c>
      <c r="D754">
        <v>0</v>
      </c>
    </row>
    <row r="755" spans="1:4" x14ac:dyDescent="0.25">
      <c r="A755">
        <v>90000</v>
      </c>
      <c r="B755">
        <v>69705</v>
      </c>
      <c r="C755">
        <v>0</v>
      </c>
      <c r="D755">
        <v>0</v>
      </c>
    </row>
    <row r="756" spans="1:4" x14ac:dyDescent="0.25">
      <c r="A756">
        <v>180000</v>
      </c>
      <c r="B756">
        <v>82818</v>
      </c>
      <c r="C756">
        <v>0</v>
      </c>
      <c r="D756">
        <v>0</v>
      </c>
    </row>
    <row r="757" spans="1:4" x14ac:dyDescent="0.25">
      <c r="A757">
        <v>180000</v>
      </c>
      <c r="B757">
        <v>45666</v>
      </c>
      <c r="C757">
        <v>4567.5</v>
      </c>
      <c r="D757">
        <v>0</v>
      </c>
    </row>
    <row r="758" spans="1:4" x14ac:dyDescent="0.25">
      <c r="A758">
        <v>180000</v>
      </c>
      <c r="B758">
        <v>155389.5</v>
      </c>
      <c r="C758">
        <v>0</v>
      </c>
      <c r="D758">
        <v>0</v>
      </c>
    </row>
    <row r="759" spans="1:4" x14ac:dyDescent="0.25">
      <c r="A759">
        <v>99000</v>
      </c>
      <c r="B759">
        <v>36135</v>
      </c>
      <c r="C759">
        <v>3613.5</v>
      </c>
      <c r="D759">
        <v>0</v>
      </c>
    </row>
    <row r="760" spans="1:4" x14ac:dyDescent="0.25">
      <c r="A760">
        <v>225000</v>
      </c>
      <c r="B760">
        <v>202689</v>
      </c>
      <c r="C760">
        <v>0</v>
      </c>
      <c r="D760">
        <v>0</v>
      </c>
    </row>
    <row r="761" spans="1:4" x14ac:dyDescent="0.25">
      <c r="A761">
        <v>450000</v>
      </c>
      <c r="B761">
        <v>38655</v>
      </c>
      <c r="C761">
        <v>4500</v>
      </c>
      <c r="D761">
        <v>0</v>
      </c>
    </row>
    <row r="762" spans="1:4" x14ac:dyDescent="0.25">
      <c r="A762">
        <v>207000</v>
      </c>
      <c r="B762">
        <v>82336.5</v>
      </c>
      <c r="C762">
        <v>0</v>
      </c>
      <c r="D762">
        <v>0</v>
      </c>
    </row>
    <row r="763" spans="1:4" x14ac:dyDescent="0.25">
      <c r="A763">
        <v>207000</v>
      </c>
      <c r="B763">
        <v>108927</v>
      </c>
      <c r="C763">
        <v>0</v>
      </c>
      <c r="D763">
        <v>0</v>
      </c>
    </row>
    <row r="764" spans="1:4" x14ac:dyDescent="0.25">
      <c r="A764">
        <v>99000</v>
      </c>
      <c r="B764">
        <v>130945.5</v>
      </c>
      <c r="C764">
        <v>13095</v>
      </c>
      <c r="D764">
        <v>0</v>
      </c>
    </row>
    <row r="765" spans="1:4" x14ac:dyDescent="0.25">
      <c r="A765">
        <v>99000</v>
      </c>
      <c r="B765">
        <v>112500</v>
      </c>
      <c r="C765">
        <v>0</v>
      </c>
      <c r="D765">
        <v>0</v>
      </c>
    </row>
    <row r="766" spans="1:4" x14ac:dyDescent="0.25">
      <c r="A766">
        <v>99000</v>
      </c>
      <c r="B766">
        <v>270000</v>
      </c>
      <c r="C766">
        <v>0</v>
      </c>
      <c r="D766">
        <v>0</v>
      </c>
    </row>
    <row r="767" spans="1:4" x14ac:dyDescent="0.25">
      <c r="A767">
        <v>112500</v>
      </c>
      <c r="B767">
        <v>40455</v>
      </c>
      <c r="C767">
        <v>9000</v>
      </c>
      <c r="D767">
        <v>0</v>
      </c>
    </row>
    <row r="768" spans="1:4" x14ac:dyDescent="0.25">
      <c r="A768">
        <v>202500</v>
      </c>
      <c r="B768">
        <v>128565</v>
      </c>
      <c r="C768">
        <v>0</v>
      </c>
      <c r="D768">
        <v>0</v>
      </c>
    </row>
    <row r="769" spans="1:4" x14ac:dyDescent="0.25">
      <c r="A769">
        <v>135000</v>
      </c>
      <c r="B769">
        <v>120105</v>
      </c>
      <c r="C769">
        <v>0</v>
      </c>
      <c r="D769">
        <v>0</v>
      </c>
    </row>
    <row r="770" spans="1:4" x14ac:dyDescent="0.25">
      <c r="A770">
        <v>247500</v>
      </c>
      <c r="B770">
        <v>36410.400000000001</v>
      </c>
      <c r="C770">
        <v>0</v>
      </c>
      <c r="D770">
        <v>0</v>
      </c>
    </row>
    <row r="771" spans="1:4" x14ac:dyDescent="0.25">
      <c r="A771">
        <v>108000</v>
      </c>
      <c r="B771">
        <v>143932.5</v>
      </c>
      <c r="C771">
        <v>14395.5</v>
      </c>
      <c r="D771">
        <v>0</v>
      </c>
    </row>
    <row r="772" spans="1:4" x14ac:dyDescent="0.25">
      <c r="A772">
        <v>108000</v>
      </c>
      <c r="B772">
        <v>107955</v>
      </c>
      <c r="C772">
        <v>0</v>
      </c>
      <c r="D772">
        <v>1</v>
      </c>
    </row>
    <row r="773" spans="1:4" x14ac:dyDescent="0.25">
      <c r="A773">
        <v>108000</v>
      </c>
      <c r="B773">
        <v>36706.5</v>
      </c>
      <c r="C773">
        <v>3672</v>
      </c>
      <c r="D773">
        <v>0</v>
      </c>
    </row>
    <row r="774" spans="1:4" x14ac:dyDescent="0.25">
      <c r="A774">
        <v>108000</v>
      </c>
      <c r="B774">
        <v>16110</v>
      </c>
      <c r="C774">
        <v>1620</v>
      </c>
      <c r="D774">
        <v>0</v>
      </c>
    </row>
    <row r="775" spans="1:4" x14ac:dyDescent="0.25">
      <c r="A775">
        <v>157500</v>
      </c>
      <c r="B775">
        <v>33210</v>
      </c>
      <c r="C775">
        <v>9967.5</v>
      </c>
      <c r="D775">
        <v>0</v>
      </c>
    </row>
    <row r="776" spans="1:4" x14ac:dyDescent="0.25">
      <c r="A776">
        <v>211500</v>
      </c>
      <c r="B776">
        <v>90220.5</v>
      </c>
      <c r="C776">
        <v>9022.5</v>
      </c>
      <c r="D776">
        <v>1</v>
      </c>
    </row>
    <row r="777" spans="1:4" x14ac:dyDescent="0.25">
      <c r="A777">
        <v>270000</v>
      </c>
      <c r="B777">
        <v>337950</v>
      </c>
      <c r="C777">
        <v>0</v>
      </c>
      <c r="D777">
        <v>0</v>
      </c>
    </row>
    <row r="778" spans="1:4" x14ac:dyDescent="0.25">
      <c r="A778">
        <v>135000</v>
      </c>
      <c r="B778">
        <v>120348</v>
      </c>
      <c r="C778">
        <v>12037.5</v>
      </c>
      <c r="D778">
        <v>0</v>
      </c>
    </row>
    <row r="779" spans="1:4" x14ac:dyDescent="0.25">
      <c r="A779">
        <v>90000</v>
      </c>
      <c r="B779">
        <v>38880</v>
      </c>
      <c r="C779">
        <v>19440</v>
      </c>
      <c r="D779">
        <v>0</v>
      </c>
    </row>
    <row r="780" spans="1:4" x14ac:dyDescent="0.25">
      <c r="A780">
        <v>90000</v>
      </c>
      <c r="B780">
        <v>119610</v>
      </c>
      <c r="C780">
        <v>67500</v>
      </c>
      <c r="D780">
        <v>0</v>
      </c>
    </row>
    <row r="781" spans="1:4" x14ac:dyDescent="0.25">
      <c r="A781">
        <v>90000</v>
      </c>
      <c r="B781">
        <v>97650</v>
      </c>
      <c r="C781">
        <v>0</v>
      </c>
      <c r="D781">
        <v>0</v>
      </c>
    </row>
    <row r="782" spans="1:4" x14ac:dyDescent="0.25">
      <c r="A782">
        <v>157500</v>
      </c>
      <c r="B782">
        <v>178402.5</v>
      </c>
      <c r="C782">
        <v>54000</v>
      </c>
      <c r="D782">
        <v>0</v>
      </c>
    </row>
    <row r="783" spans="1:4" x14ac:dyDescent="0.25">
      <c r="A783">
        <v>157500</v>
      </c>
      <c r="B783">
        <v>32350.5</v>
      </c>
      <c r="C783">
        <v>3235.5</v>
      </c>
      <c r="D783">
        <v>0</v>
      </c>
    </row>
    <row r="784" spans="1:4" x14ac:dyDescent="0.25">
      <c r="A784">
        <v>90000</v>
      </c>
      <c r="B784">
        <v>148365</v>
      </c>
      <c r="C784">
        <v>29700</v>
      </c>
      <c r="D784">
        <v>0</v>
      </c>
    </row>
    <row r="785" spans="1:4" x14ac:dyDescent="0.25">
      <c r="A785">
        <v>76500</v>
      </c>
      <c r="B785">
        <v>68773.5</v>
      </c>
      <c r="C785">
        <v>0</v>
      </c>
      <c r="D785">
        <v>0</v>
      </c>
    </row>
    <row r="786" spans="1:4" x14ac:dyDescent="0.25">
      <c r="A786">
        <v>247500</v>
      </c>
      <c r="B786">
        <v>71995.5</v>
      </c>
      <c r="C786">
        <v>0</v>
      </c>
      <c r="D786">
        <v>0</v>
      </c>
    </row>
    <row r="787" spans="1:4" x14ac:dyDescent="0.25">
      <c r="A787">
        <v>247500</v>
      </c>
      <c r="B787">
        <v>92146.5</v>
      </c>
      <c r="C787">
        <v>9216</v>
      </c>
      <c r="D787">
        <v>1</v>
      </c>
    </row>
    <row r="788" spans="1:4" x14ac:dyDescent="0.25">
      <c r="A788">
        <v>247500</v>
      </c>
      <c r="B788">
        <v>51300</v>
      </c>
      <c r="C788">
        <v>5130</v>
      </c>
      <c r="D788">
        <v>0</v>
      </c>
    </row>
    <row r="789" spans="1:4" x14ac:dyDescent="0.25">
      <c r="A789">
        <v>247500</v>
      </c>
      <c r="B789">
        <v>20475</v>
      </c>
      <c r="C789">
        <v>2047.5</v>
      </c>
      <c r="D789">
        <v>0</v>
      </c>
    </row>
    <row r="790" spans="1:4" x14ac:dyDescent="0.25">
      <c r="A790">
        <v>99000</v>
      </c>
      <c r="B790">
        <v>105363</v>
      </c>
      <c r="C790">
        <v>0</v>
      </c>
      <c r="D790">
        <v>0</v>
      </c>
    </row>
    <row r="791" spans="1:4" x14ac:dyDescent="0.25">
      <c r="A791">
        <v>67500</v>
      </c>
      <c r="B791">
        <v>34938</v>
      </c>
      <c r="C791">
        <v>0</v>
      </c>
      <c r="D791">
        <v>0</v>
      </c>
    </row>
    <row r="792" spans="1:4" x14ac:dyDescent="0.25">
      <c r="A792">
        <v>180000</v>
      </c>
      <c r="B792">
        <v>22455</v>
      </c>
      <c r="C792">
        <v>2245.5</v>
      </c>
      <c r="D792">
        <v>0</v>
      </c>
    </row>
    <row r="793" spans="1:4" x14ac:dyDescent="0.25">
      <c r="A793">
        <v>135000</v>
      </c>
      <c r="B793">
        <v>20025</v>
      </c>
      <c r="C793">
        <v>0</v>
      </c>
      <c r="D793">
        <v>0</v>
      </c>
    </row>
    <row r="794" spans="1:4" x14ac:dyDescent="0.25">
      <c r="A794">
        <v>157500</v>
      </c>
      <c r="B794">
        <v>43200</v>
      </c>
      <c r="C794">
        <v>0</v>
      </c>
      <c r="D794">
        <v>0</v>
      </c>
    </row>
    <row r="795" spans="1:4" x14ac:dyDescent="0.25">
      <c r="A795">
        <v>157500</v>
      </c>
      <c r="B795">
        <v>100188</v>
      </c>
      <c r="C795">
        <v>0</v>
      </c>
      <c r="D795">
        <v>0</v>
      </c>
    </row>
    <row r="796" spans="1:4" x14ac:dyDescent="0.25">
      <c r="A796">
        <v>157500</v>
      </c>
      <c r="B796">
        <v>40068</v>
      </c>
      <c r="C796">
        <v>0</v>
      </c>
      <c r="D796">
        <v>0</v>
      </c>
    </row>
    <row r="797" spans="1:4" x14ac:dyDescent="0.25">
      <c r="A797">
        <v>247500</v>
      </c>
      <c r="B797">
        <v>68080.5</v>
      </c>
      <c r="C797">
        <v>6808.5</v>
      </c>
      <c r="D797">
        <v>0</v>
      </c>
    </row>
    <row r="798" spans="1:4" x14ac:dyDescent="0.25">
      <c r="A798">
        <v>135000</v>
      </c>
      <c r="B798">
        <v>47866.5</v>
      </c>
      <c r="C798">
        <v>14364</v>
      </c>
      <c r="D798">
        <v>0</v>
      </c>
    </row>
    <row r="799" spans="1:4" x14ac:dyDescent="0.25">
      <c r="A799">
        <v>112500</v>
      </c>
      <c r="B799">
        <v>32940</v>
      </c>
      <c r="C799">
        <v>0</v>
      </c>
      <c r="D799">
        <v>0</v>
      </c>
    </row>
    <row r="800" spans="1:4" x14ac:dyDescent="0.25">
      <c r="A800">
        <v>54000</v>
      </c>
      <c r="B800">
        <v>96075</v>
      </c>
      <c r="C800">
        <v>19215</v>
      </c>
      <c r="D800">
        <v>0</v>
      </c>
    </row>
    <row r="801" spans="1:4" x14ac:dyDescent="0.25">
      <c r="A801">
        <v>54000</v>
      </c>
      <c r="B801">
        <v>85495.5</v>
      </c>
      <c r="C801">
        <v>0</v>
      </c>
      <c r="D801">
        <v>0</v>
      </c>
    </row>
    <row r="802" spans="1:4" x14ac:dyDescent="0.25">
      <c r="A802">
        <v>189000</v>
      </c>
      <c r="B802">
        <v>53190</v>
      </c>
      <c r="C802">
        <v>0</v>
      </c>
      <c r="D802">
        <v>0</v>
      </c>
    </row>
    <row r="803" spans="1:4" x14ac:dyDescent="0.25">
      <c r="A803">
        <v>202500</v>
      </c>
      <c r="B803">
        <v>128236.5</v>
      </c>
      <c r="C803">
        <v>25650</v>
      </c>
      <c r="D803">
        <v>0</v>
      </c>
    </row>
    <row r="804" spans="1:4" x14ac:dyDescent="0.25">
      <c r="A804">
        <v>202500</v>
      </c>
      <c r="B804">
        <v>96142.5</v>
      </c>
      <c r="C804">
        <v>0</v>
      </c>
      <c r="D804">
        <v>0</v>
      </c>
    </row>
    <row r="805" spans="1:4" x14ac:dyDescent="0.25">
      <c r="A805">
        <v>202500</v>
      </c>
      <c r="B805">
        <v>118395</v>
      </c>
      <c r="C805">
        <v>0</v>
      </c>
      <c r="D805">
        <v>0</v>
      </c>
    </row>
    <row r="806" spans="1:4" x14ac:dyDescent="0.25">
      <c r="A806">
        <v>202500</v>
      </c>
      <c r="B806">
        <v>118399.5</v>
      </c>
      <c r="C806">
        <v>47362.5</v>
      </c>
      <c r="D806">
        <v>1</v>
      </c>
    </row>
    <row r="807" spans="1:4" x14ac:dyDescent="0.25">
      <c r="A807">
        <v>67500</v>
      </c>
      <c r="B807">
        <v>87655.5</v>
      </c>
      <c r="C807">
        <v>22500</v>
      </c>
      <c r="D807">
        <v>0</v>
      </c>
    </row>
    <row r="808" spans="1:4" x14ac:dyDescent="0.25">
      <c r="A808">
        <v>67500</v>
      </c>
      <c r="B808">
        <v>335002.5</v>
      </c>
      <c r="C808">
        <v>0</v>
      </c>
      <c r="D808">
        <v>0</v>
      </c>
    </row>
    <row r="809" spans="1:4" x14ac:dyDescent="0.25">
      <c r="A809">
        <v>67500</v>
      </c>
      <c r="B809">
        <v>97154.865000000005</v>
      </c>
      <c r="C809">
        <v>4.3650000000000002</v>
      </c>
      <c r="D809">
        <v>0</v>
      </c>
    </row>
    <row r="810" spans="1:4" x14ac:dyDescent="0.25">
      <c r="A810">
        <v>112500</v>
      </c>
      <c r="B810">
        <v>44955</v>
      </c>
      <c r="C810">
        <v>4500</v>
      </c>
      <c r="D810">
        <v>0</v>
      </c>
    </row>
    <row r="811" spans="1:4" x14ac:dyDescent="0.25">
      <c r="A811">
        <v>112500</v>
      </c>
      <c r="B811">
        <v>22149</v>
      </c>
      <c r="C811">
        <v>0</v>
      </c>
      <c r="D811">
        <v>0</v>
      </c>
    </row>
    <row r="812" spans="1:4" x14ac:dyDescent="0.25">
      <c r="A812">
        <v>112500</v>
      </c>
      <c r="B812">
        <v>35833.5</v>
      </c>
      <c r="C812">
        <v>0</v>
      </c>
      <c r="D812">
        <v>0</v>
      </c>
    </row>
    <row r="813" spans="1:4" x14ac:dyDescent="0.25">
      <c r="A813">
        <v>112500</v>
      </c>
      <c r="B813">
        <v>132660</v>
      </c>
      <c r="C813">
        <v>0</v>
      </c>
      <c r="D813">
        <v>0</v>
      </c>
    </row>
    <row r="814" spans="1:4" x14ac:dyDescent="0.25">
      <c r="A814">
        <v>135000</v>
      </c>
      <c r="B814">
        <v>38610</v>
      </c>
      <c r="C814">
        <v>0</v>
      </c>
      <c r="D814">
        <v>1</v>
      </c>
    </row>
    <row r="815" spans="1:4" x14ac:dyDescent="0.25">
      <c r="A815">
        <v>135000</v>
      </c>
      <c r="B815">
        <v>28350</v>
      </c>
      <c r="C815">
        <v>2835</v>
      </c>
      <c r="D815">
        <v>0</v>
      </c>
    </row>
    <row r="816" spans="1:4" x14ac:dyDescent="0.25">
      <c r="A816">
        <v>135000</v>
      </c>
      <c r="B816">
        <v>38610</v>
      </c>
      <c r="C816">
        <v>0</v>
      </c>
      <c r="D816">
        <v>1</v>
      </c>
    </row>
    <row r="817" spans="1:4" x14ac:dyDescent="0.25">
      <c r="A817">
        <v>45000</v>
      </c>
      <c r="B817">
        <v>68490</v>
      </c>
      <c r="C817">
        <v>0</v>
      </c>
      <c r="D817">
        <v>0</v>
      </c>
    </row>
    <row r="818" spans="1:4" x14ac:dyDescent="0.25">
      <c r="A818">
        <v>112500</v>
      </c>
      <c r="B818">
        <v>70650</v>
      </c>
      <c r="C818">
        <v>0</v>
      </c>
      <c r="D818">
        <v>0</v>
      </c>
    </row>
    <row r="819" spans="1:4" x14ac:dyDescent="0.25">
      <c r="A819">
        <v>135000</v>
      </c>
      <c r="B819">
        <v>83245.5</v>
      </c>
      <c r="C819">
        <v>0</v>
      </c>
      <c r="D819">
        <v>0</v>
      </c>
    </row>
    <row r="820" spans="1:4" x14ac:dyDescent="0.25">
      <c r="A820">
        <v>135000</v>
      </c>
      <c r="B820">
        <v>199507.5</v>
      </c>
      <c r="C820">
        <v>0</v>
      </c>
      <c r="D820">
        <v>0</v>
      </c>
    </row>
    <row r="821" spans="1:4" x14ac:dyDescent="0.25">
      <c r="A821">
        <v>135000</v>
      </c>
      <c r="B821">
        <v>18445.5</v>
      </c>
      <c r="C821">
        <v>1845</v>
      </c>
      <c r="D821">
        <v>0</v>
      </c>
    </row>
    <row r="822" spans="1:4" x14ac:dyDescent="0.25">
      <c r="A822">
        <v>157500</v>
      </c>
      <c r="B822">
        <v>28350</v>
      </c>
      <c r="C822">
        <v>2835</v>
      </c>
      <c r="D822">
        <v>0</v>
      </c>
    </row>
    <row r="823" spans="1:4" x14ac:dyDescent="0.25">
      <c r="A823">
        <v>157500</v>
      </c>
      <c r="B823">
        <v>26325</v>
      </c>
      <c r="C823">
        <v>2700</v>
      </c>
      <c r="D823">
        <v>0</v>
      </c>
    </row>
    <row r="824" spans="1:4" x14ac:dyDescent="0.25">
      <c r="A824">
        <v>202500</v>
      </c>
      <c r="B824">
        <v>59611.5</v>
      </c>
      <c r="C824">
        <v>3150</v>
      </c>
      <c r="D824">
        <v>0</v>
      </c>
    </row>
    <row r="825" spans="1:4" x14ac:dyDescent="0.25">
      <c r="A825">
        <v>202500</v>
      </c>
      <c r="B825">
        <v>45450</v>
      </c>
      <c r="C825">
        <v>4545</v>
      </c>
      <c r="D825">
        <v>0</v>
      </c>
    </row>
    <row r="826" spans="1:4" x14ac:dyDescent="0.25">
      <c r="A826">
        <v>121500</v>
      </c>
      <c r="B826">
        <v>76995</v>
      </c>
      <c r="C826">
        <v>0</v>
      </c>
      <c r="D826">
        <v>0</v>
      </c>
    </row>
    <row r="827" spans="1:4" x14ac:dyDescent="0.25">
      <c r="A827">
        <v>121500</v>
      </c>
      <c r="B827">
        <v>36270</v>
      </c>
      <c r="C827">
        <v>0</v>
      </c>
      <c r="D827">
        <v>0</v>
      </c>
    </row>
    <row r="828" spans="1:4" x14ac:dyDescent="0.25">
      <c r="A828">
        <v>121500</v>
      </c>
      <c r="B828">
        <v>39420</v>
      </c>
      <c r="C828">
        <v>0</v>
      </c>
      <c r="D828">
        <v>0</v>
      </c>
    </row>
    <row r="829" spans="1:4" x14ac:dyDescent="0.25">
      <c r="A829">
        <v>121500</v>
      </c>
      <c r="B829">
        <v>85495.5</v>
      </c>
      <c r="C829">
        <v>27000</v>
      </c>
      <c r="D829">
        <v>0</v>
      </c>
    </row>
    <row r="830" spans="1:4" x14ac:dyDescent="0.25">
      <c r="A830">
        <v>184500</v>
      </c>
      <c r="B830">
        <v>24367.5</v>
      </c>
      <c r="C830">
        <v>3690</v>
      </c>
      <c r="D830">
        <v>0</v>
      </c>
    </row>
    <row r="831" spans="1:4" x14ac:dyDescent="0.25">
      <c r="A831">
        <v>90000</v>
      </c>
      <c r="B831">
        <v>48375</v>
      </c>
      <c r="C831">
        <v>4860</v>
      </c>
      <c r="D831">
        <v>0</v>
      </c>
    </row>
    <row r="832" spans="1:4" x14ac:dyDescent="0.25">
      <c r="A832">
        <v>180000</v>
      </c>
      <c r="B832">
        <v>87615</v>
      </c>
      <c r="C832">
        <v>45000</v>
      </c>
      <c r="D832">
        <v>0</v>
      </c>
    </row>
    <row r="833" spans="1:4" x14ac:dyDescent="0.25">
      <c r="A833">
        <v>180000</v>
      </c>
      <c r="B833">
        <v>90000</v>
      </c>
      <c r="C833">
        <v>45000</v>
      </c>
      <c r="D833">
        <v>0</v>
      </c>
    </row>
    <row r="834" spans="1:4" x14ac:dyDescent="0.25">
      <c r="A834">
        <v>157500</v>
      </c>
      <c r="B834">
        <v>86107.5</v>
      </c>
      <c r="C834">
        <v>8613</v>
      </c>
      <c r="D834">
        <v>0</v>
      </c>
    </row>
    <row r="835" spans="1:4" x14ac:dyDescent="0.25">
      <c r="A835">
        <v>225000</v>
      </c>
      <c r="B835">
        <v>61155</v>
      </c>
      <c r="C835">
        <v>16155</v>
      </c>
      <c r="D835">
        <v>0</v>
      </c>
    </row>
    <row r="836" spans="1:4" x14ac:dyDescent="0.25">
      <c r="A836">
        <v>265500</v>
      </c>
      <c r="B836">
        <v>174125.61</v>
      </c>
      <c r="C836">
        <v>17413.11</v>
      </c>
      <c r="D836">
        <v>0</v>
      </c>
    </row>
    <row r="837" spans="1:4" x14ac:dyDescent="0.25">
      <c r="A837">
        <v>265500</v>
      </c>
      <c r="B837">
        <v>86094</v>
      </c>
      <c r="C837">
        <v>17221.5</v>
      </c>
      <c r="D837">
        <v>0</v>
      </c>
    </row>
    <row r="838" spans="1:4" x14ac:dyDescent="0.25">
      <c r="A838">
        <v>135000</v>
      </c>
      <c r="B838">
        <v>61596</v>
      </c>
      <c r="C838">
        <v>0</v>
      </c>
      <c r="D838">
        <v>0</v>
      </c>
    </row>
    <row r="839" spans="1:4" x14ac:dyDescent="0.25">
      <c r="A839">
        <v>135000</v>
      </c>
      <c r="B839">
        <v>145219.5</v>
      </c>
      <c r="C839">
        <v>0</v>
      </c>
      <c r="D839">
        <v>0</v>
      </c>
    </row>
    <row r="840" spans="1:4" x14ac:dyDescent="0.25">
      <c r="A840">
        <v>135000</v>
      </c>
      <c r="B840">
        <v>171450</v>
      </c>
      <c r="C840">
        <v>0</v>
      </c>
      <c r="D840">
        <v>0</v>
      </c>
    </row>
    <row r="841" spans="1:4" x14ac:dyDescent="0.25">
      <c r="A841">
        <v>243000</v>
      </c>
      <c r="B841">
        <v>39555</v>
      </c>
      <c r="C841">
        <v>3955.5</v>
      </c>
      <c r="D841">
        <v>0</v>
      </c>
    </row>
    <row r="842" spans="1:4" x14ac:dyDescent="0.25">
      <c r="A842">
        <v>243000</v>
      </c>
      <c r="B842">
        <v>60939.45</v>
      </c>
      <c r="C842">
        <v>0</v>
      </c>
      <c r="D842">
        <v>0</v>
      </c>
    </row>
    <row r="843" spans="1:4" x14ac:dyDescent="0.25">
      <c r="A843">
        <v>135000</v>
      </c>
      <c r="B843">
        <v>129420</v>
      </c>
      <c r="C843">
        <v>0</v>
      </c>
      <c r="D843">
        <v>0</v>
      </c>
    </row>
    <row r="844" spans="1:4" x14ac:dyDescent="0.25">
      <c r="A844">
        <v>225000</v>
      </c>
      <c r="B844">
        <v>116491.5</v>
      </c>
      <c r="C844">
        <v>0</v>
      </c>
      <c r="D844">
        <v>0</v>
      </c>
    </row>
    <row r="845" spans="1:4" x14ac:dyDescent="0.25">
      <c r="A845">
        <v>81000</v>
      </c>
      <c r="B845">
        <v>73876.5</v>
      </c>
      <c r="C845">
        <v>7389</v>
      </c>
      <c r="D845">
        <v>0</v>
      </c>
    </row>
    <row r="846" spans="1:4" x14ac:dyDescent="0.25">
      <c r="A846">
        <v>90000</v>
      </c>
      <c r="B846">
        <v>25110</v>
      </c>
      <c r="C846">
        <v>2511</v>
      </c>
      <c r="D846">
        <v>0</v>
      </c>
    </row>
    <row r="847" spans="1:4" x14ac:dyDescent="0.25">
      <c r="A847">
        <v>135000</v>
      </c>
      <c r="B847">
        <v>119925</v>
      </c>
      <c r="C847">
        <v>0</v>
      </c>
      <c r="D847">
        <v>0</v>
      </c>
    </row>
    <row r="848" spans="1:4" x14ac:dyDescent="0.25">
      <c r="A848">
        <v>135000</v>
      </c>
      <c r="B848">
        <v>43560</v>
      </c>
      <c r="C848">
        <v>4356</v>
      </c>
      <c r="D848">
        <v>1</v>
      </c>
    </row>
    <row r="849" spans="1:4" x14ac:dyDescent="0.25">
      <c r="A849">
        <v>135000</v>
      </c>
      <c r="B849">
        <v>18855</v>
      </c>
      <c r="C849">
        <v>1885.5</v>
      </c>
      <c r="D849">
        <v>0</v>
      </c>
    </row>
    <row r="850" spans="1:4" x14ac:dyDescent="0.25">
      <c r="A850">
        <v>135000</v>
      </c>
      <c r="B850">
        <v>62055</v>
      </c>
      <c r="C850">
        <v>0</v>
      </c>
      <c r="D850">
        <v>0</v>
      </c>
    </row>
    <row r="851" spans="1:4" x14ac:dyDescent="0.25">
      <c r="A851">
        <v>135000</v>
      </c>
      <c r="B851">
        <v>19755</v>
      </c>
      <c r="C851">
        <v>2025</v>
      </c>
      <c r="D851">
        <v>0</v>
      </c>
    </row>
    <row r="852" spans="1:4" x14ac:dyDescent="0.25">
      <c r="A852">
        <v>157500</v>
      </c>
      <c r="B852">
        <v>384259.5</v>
      </c>
      <c r="C852">
        <v>0</v>
      </c>
      <c r="D852">
        <v>0</v>
      </c>
    </row>
    <row r="853" spans="1:4" x14ac:dyDescent="0.25">
      <c r="A853">
        <v>157500</v>
      </c>
      <c r="B853">
        <v>80955</v>
      </c>
      <c r="C853">
        <v>16191</v>
      </c>
      <c r="D853">
        <v>0</v>
      </c>
    </row>
    <row r="854" spans="1:4" x14ac:dyDescent="0.25">
      <c r="A854">
        <v>67500</v>
      </c>
      <c r="B854">
        <v>31405.5</v>
      </c>
      <c r="C854">
        <v>0</v>
      </c>
      <c r="D854">
        <v>1</v>
      </c>
    </row>
    <row r="855" spans="1:4" x14ac:dyDescent="0.25">
      <c r="A855">
        <v>112500</v>
      </c>
      <c r="B855">
        <v>134730</v>
      </c>
      <c r="C855">
        <v>9000</v>
      </c>
      <c r="D855">
        <v>0</v>
      </c>
    </row>
    <row r="856" spans="1:4" x14ac:dyDescent="0.25">
      <c r="A856">
        <v>112500</v>
      </c>
      <c r="B856">
        <v>80725.5</v>
      </c>
      <c r="C856">
        <v>8073</v>
      </c>
      <c r="D856">
        <v>0</v>
      </c>
    </row>
    <row r="857" spans="1:4" x14ac:dyDescent="0.25">
      <c r="A857">
        <v>90000</v>
      </c>
      <c r="B857">
        <v>54000</v>
      </c>
      <c r="C857">
        <v>5400</v>
      </c>
      <c r="D857">
        <v>0</v>
      </c>
    </row>
    <row r="858" spans="1:4" x14ac:dyDescent="0.25">
      <c r="A858">
        <v>135000</v>
      </c>
      <c r="B858">
        <v>112500</v>
      </c>
      <c r="C858">
        <v>0</v>
      </c>
      <c r="D858">
        <v>0</v>
      </c>
    </row>
    <row r="859" spans="1:4" x14ac:dyDescent="0.25">
      <c r="A859">
        <v>135000</v>
      </c>
      <c r="B859">
        <v>87165</v>
      </c>
      <c r="C859">
        <v>8721</v>
      </c>
      <c r="D859">
        <v>0</v>
      </c>
    </row>
    <row r="860" spans="1:4" x14ac:dyDescent="0.25">
      <c r="A860">
        <v>135000</v>
      </c>
      <c r="B860">
        <v>118782</v>
      </c>
      <c r="C860">
        <v>0</v>
      </c>
      <c r="D860">
        <v>0</v>
      </c>
    </row>
    <row r="861" spans="1:4" x14ac:dyDescent="0.25">
      <c r="A861">
        <v>135000</v>
      </c>
      <c r="B861">
        <v>118782</v>
      </c>
      <c r="C861">
        <v>11880</v>
      </c>
      <c r="D861">
        <v>0</v>
      </c>
    </row>
    <row r="862" spans="1:4" x14ac:dyDescent="0.25">
      <c r="A862">
        <v>135000</v>
      </c>
      <c r="B862">
        <v>36616.5</v>
      </c>
      <c r="C862">
        <v>3663</v>
      </c>
      <c r="D862">
        <v>0</v>
      </c>
    </row>
    <row r="863" spans="1:4" x14ac:dyDescent="0.25">
      <c r="A863">
        <v>135000</v>
      </c>
      <c r="B863">
        <v>46021.5</v>
      </c>
      <c r="C863">
        <v>2295</v>
      </c>
      <c r="D863">
        <v>0</v>
      </c>
    </row>
    <row r="864" spans="1:4" x14ac:dyDescent="0.25">
      <c r="A864">
        <v>135000</v>
      </c>
      <c r="B864">
        <v>132192</v>
      </c>
      <c r="C864">
        <v>0</v>
      </c>
      <c r="D864">
        <v>0</v>
      </c>
    </row>
    <row r="865" spans="1:4" x14ac:dyDescent="0.25">
      <c r="A865">
        <v>157500</v>
      </c>
      <c r="B865">
        <v>54634.5</v>
      </c>
      <c r="C865">
        <v>0</v>
      </c>
      <c r="D865">
        <v>0</v>
      </c>
    </row>
    <row r="866" spans="1:4" x14ac:dyDescent="0.25">
      <c r="A866">
        <v>157500</v>
      </c>
      <c r="B866">
        <v>37386</v>
      </c>
      <c r="C866">
        <v>0</v>
      </c>
      <c r="D866">
        <v>0</v>
      </c>
    </row>
    <row r="867" spans="1:4" x14ac:dyDescent="0.25">
      <c r="A867">
        <v>180000</v>
      </c>
      <c r="B867">
        <v>169884</v>
      </c>
      <c r="C867">
        <v>45000</v>
      </c>
      <c r="D867">
        <v>1</v>
      </c>
    </row>
    <row r="868" spans="1:4" x14ac:dyDescent="0.25">
      <c r="A868">
        <v>180000</v>
      </c>
      <c r="B868">
        <v>80149.5</v>
      </c>
      <c r="C868">
        <v>45000</v>
      </c>
      <c r="D868">
        <v>0</v>
      </c>
    </row>
    <row r="869" spans="1:4" x14ac:dyDescent="0.25">
      <c r="A869">
        <v>180000</v>
      </c>
      <c r="B869">
        <v>80149.5</v>
      </c>
      <c r="C869">
        <v>16033.5</v>
      </c>
      <c r="D869">
        <v>1</v>
      </c>
    </row>
    <row r="870" spans="1:4" x14ac:dyDescent="0.25">
      <c r="A870">
        <v>540000</v>
      </c>
      <c r="B870">
        <v>92596.5</v>
      </c>
      <c r="C870">
        <v>9261</v>
      </c>
      <c r="D870">
        <v>0</v>
      </c>
    </row>
    <row r="871" spans="1:4" x14ac:dyDescent="0.25">
      <c r="A871">
        <v>180000</v>
      </c>
      <c r="B871">
        <v>40005</v>
      </c>
      <c r="C871">
        <v>4005</v>
      </c>
      <c r="D871">
        <v>0</v>
      </c>
    </row>
    <row r="872" spans="1:4" x14ac:dyDescent="0.25">
      <c r="A872">
        <v>99000</v>
      </c>
      <c r="B872">
        <v>86940</v>
      </c>
      <c r="C872">
        <v>0</v>
      </c>
      <c r="D872">
        <v>0</v>
      </c>
    </row>
    <row r="873" spans="1:4" x14ac:dyDescent="0.25">
      <c r="A873">
        <v>99000</v>
      </c>
      <c r="B873">
        <v>72751.5</v>
      </c>
      <c r="C873">
        <v>0</v>
      </c>
      <c r="D873">
        <v>0</v>
      </c>
    </row>
    <row r="874" spans="1:4" x14ac:dyDescent="0.25">
      <c r="A874">
        <v>135000</v>
      </c>
      <c r="B874">
        <v>129825</v>
      </c>
      <c r="C874">
        <v>0</v>
      </c>
      <c r="D874">
        <v>0</v>
      </c>
    </row>
    <row r="875" spans="1:4" x14ac:dyDescent="0.25">
      <c r="A875">
        <v>135000</v>
      </c>
      <c r="B875">
        <v>65880</v>
      </c>
      <c r="C875">
        <v>6750</v>
      </c>
      <c r="D875">
        <v>0</v>
      </c>
    </row>
    <row r="876" spans="1:4" x14ac:dyDescent="0.25">
      <c r="A876">
        <v>135000</v>
      </c>
      <c r="B876">
        <v>161460</v>
      </c>
      <c r="C876">
        <v>0</v>
      </c>
      <c r="D876">
        <v>0</v>
      </c>
    </row>
    <row r="877" spans="1:4" x14ac:dyDescent="0.25">
      <c r="A877">
        <v>135000</v>
      </c>
      <c r="B877">
        <v>24255</v>
      </c>
      <c r="C877">
        <v>0</v>
      </c>
      <c r="D877">
        <v>0</v>
      </c>
    </row>
    <row r="878" spans="1:4" x14ac:dyDescent="0.25">
      <c r="A878">
        <v>135000</v>
      </c>
      <c r="B878">
        <v>79650</v>
      </c>
      <c r="C878">
        <v>0</v>
      </c>
      <c r="D878">
        <v>1</v>
      </c>
    </row>
    <row r="879" spans="1:4" x14ac:dyDescent="0.25">
      <c r="A879">
        <v>234000</v>
      </c>
      <c r="B879">
        <v>37255.5</v>
      </c>
      <c r="C879">
        <v>0</v>
      </c>
      <c r="D879">
        <v>0</v>
      </c>
    </row>
    <row r="880" spans="1:4" x14ac:dyDescent="0.25">
      <c r="A880">
        <v>90000</v>
      </c>
      <c r="B880">
        <v>44955</v>
      </c>
      <c r="C880">
        <v>0</v>
      </c>
      <c r="D880">
        <v>0</v>
      </c>
    </row>
    <row r="881" spans="1:4" x14ac:dyDescent="0.25">
      <c r="A881">
        <v>90000</v>
      </c>
      <c r="B881">
        <v>71280</v>
      </c>
      <c r="C881">
        <v>0</v>
      </c>
      <c r="D881">
        <v>0</v>
      </c>
    </row>
    <row r="882" spans="1:4" x14ac:dyDescent="0.25">
      <c r="A882">
        <v>216000</v>
      </c>
      <c r="B882">
        <v>152046</v>
      </c>
      <c r="C882">
        <v>0</v>
      </c>
      <c r="D882">
        <v>0</v>
      </c>
    </row>
    <row r="883" spans="1:4" x14ac:dyDescent="0.25">
      <c r="A883">
        <v>540000</v>
      </c>
      <c r="B883">
        <v>54202.5</v>
      </c>
      <c r="C883">
        <v>5422.5</v>
      </c>
      <c r="D883">
        <v>1</v>
      </c>
    </row>
    <row r="884" spans="1:4" x14ac:dyDescent="0.25">
      <c r="A884">
        <v>112500</v>
      </c>
      <c r="B884">
        <v>133006.5</v>
      </c>
      <c r="C884">
        <v>0</v>
      </c>
      <c r="D884">
        <v>0</v>
      </c>
    </row>
    <row r="885" spans="1:4" x14ac:dyDescent="0.25">
      <c r="A885">
        <v>202500</v>
      </c>
      <c r="B885">
        <v>32850</v>
      </c>
      <c r="C885">
        <v>0</v>
      </c>
      <c r="D885">
        <v>0</v>
      </c>
    </row>
    <row r="886" spans="1:4" x14ac:dyDescent="0.25">
      <c r="A886">
        <v>202500</v>
      </c>
      <c r="B886">
        <v>20340</v>
      </c>
      <c r="C886">
        <v>5085</v>
      </c>
      <c r="D886">
        <v>0</v>
      </c>
    </row>
    <row r="887" spans="1:4" x14ac:dyDescent="0.25">
      <c r="A887">
        <v>112500</v>
      </c>
      <c r="B887">
        <v>28755</v>
      </c>
      <c r="C887">
        <v>2880</v>
      </c>
      <c r="D887">
        <v>0</v>
      </c>
    </row>
    <row r="888" spans="1:4" x14ac:dyDescent="0.25">
      <c r="A888">
        <v>112500</v>
      </c>
      <c r="B888">
        <v>180000</v>
      </c>
      <c r="C888">
        <v>0</v>
      </c>
      <c r="D888">
        <v>0</v>
      </c>
    </row>
    <row r="889" spans="1:4" x14ac:dyDescent="0.25">
      <c r="A889">
        <v>112500</v>
      </c>
      <c r="B889">
        <v>180000</v>
      </c>
      <c r="C889">
        <v>0</v>
      </c>
      <c r="D889">
        <v>1</v>
      </c>
    </row>
    <row r="890" spans="1:4" x14ac:dyDescent="0.25">
      <c r="A890">
        <v>315000</v>
      </c>
      <c r="B890">
        <v>62955</v>
      </c>
      <c r="C890">
        <v>6295.5</v>
      </c>
      <c r="D890">
        <v>0</v>
      </c>
    </row>
    <row r="891" spans="1:4" x14ac:dyDescent="0.25">
      <c r="A891">
        <v>112500</v>
      </c>
      <c r="B891">
        <v>33210</v>
      </c>
      <c r="C891">
        <v>3330</v>
      </c>
      <c r="D891">
        <v>0</v>
      </c>
    </row>
    <row r="892" spans="1:4" x14ac:dyDescent="0.25">
      <c r="A892">
        <v>112500</v>
      </c>
      <c r="B892">
        <v>69216.615000000005</v>
      </c>
      <c r="C892">
        <v>0</v>
      </c>
      <c r="D892">
        <v>0</v>
      </c>
    </row>
    <row r="893" spans="1:4" x14ac:dyDescent="0.25">
      <c r="A893">
        <v>225000</v>
      </c>
      <c r="B893">
        <v>109894.5</v>
      </c>
      <c r="C893">
        <v>0</v>
      </c>
      <c r="D893">
        <v>0</v>
      </c>
    </row>
    <row r="894" spans="1:4" x14ac:dyDescent="0.25">
      <c r="A894">
        <v>157500</v>
      </c>
      <c r="B894">
        <v>76500</v>
      </c>
      <c r="C894">
        <v>22500</v>
      </c>
      <c r="D894">
        <v>0</v>
      </c>
    </row>
    <row r="895" spans="1:4" x14ac:dyDescent="0.25">
      <c r="A895">
        <v>157500</v>
      </c>
      <c r="B895">
        <v>41976</v>
      </c>
      <c r="C895">
        <v>0</v>
      </c>
      <c r="D895">
        <v>0</v>
      </c>
    </row>
    <row r="896" spans="1:4" x14ac:dyDescent="0.25">
      <c r="A896">
        <v>157500</v>
      </c>
      <c r="B896">
        <v>45000</v>
      </c>
      <c r="C896">
        <v>0</v>
      </c>
      <c r="D896">
        <v>0</v>
      </c>
    </row>
    <row r="897" spans="1:4" x14ac:dyDescent="0.25">
      <c r="A897">
        <v>157500</v>
      </c>
      <c r="B897">
        <v>26289</v>
      </c>
      <c r="C897">
        <v>0</v>
      </c>
      <c r="D897">
        <v>0</v>
      </c>
    </row>
    <row r="898" spans="1:4" x14ac:dyDescent="0.25">
      <c r="A898">
        <v>292500</v>
      </c>
      <c r="B898">
        <v>31306.5</v>
      </c>
      <c r="C898">
        <v>0</v>
      </c>
      <c r="D898">
        <v>0</v>
      </c>
    </row>
    <row r="899" spans="1:4" x14ac:dyDescent="0.25">
      <c r="A899">
        <v>112500</v>
      </c>
      <c r="B899">
        <v>62280</v>
      </c>
      <c r="C899">
        <v>6210</v>
      </c>
      <c r="D899">
        <v>0</v>
      </c>
    </row>
    <row r="900" spans="1:4" x14ac:dyDescent="0.25">
      <c r="A900">
        <v>112500</v>
      </c>
      <c r="B900">
        <v>44330.22</v>
      </c>
      <c r="C900">
        <v>4500.72</v>
      </c>
      <c r="D900">
        <v>0</v>
      </c>
    </row>
    <row r="901" spans="1:4" x14ac:dyDescent="0.25">
      <c r="A901">
        <v>112500</v>
      </c>
      <c r="B901">
        <v>43605</v>
      </c>
      <c r="C901">
        <v>9000</v>
      </c>
      <c r="D901">
        <v>0</v>
      </c>
    </row>
    <row r="902" spans="1:4" x14ac:dyDescent="0.25">
      <c r="A902">
        <v>112500</v>
      </c>
      <c r="B902">
        <v>41175</v>
      </c>
      <c r="C902">
        <v>0</v>
      </c>
      <c r="D902">
        <v>0</v>
      </c>
    </row>
    <row r="903" spans="1:4" x14ac:dyDescent="0.25">
      <c r="A903">
        <v>112500</v>
      </c>
      <c r="B903">
        <v>167377.5</v>
      </c>
      <c r="C903">
        <v>50215.5</v>
      </c>
      <c r="D903">
        <v>0</v>
      </c>
    </row>
    <row r="904" spans="1:4" x14ac:dyDescent="0.25">
      <c r="A904">
        <v>135000</v>
      </c>
      <c r="B904">
        <v>677601</v>
      </c>
      <c r="C904">
        <v>67761</v>
      </c>
      <c r="D904">
        <v>0</v>
      </c>
    </row>
    <row r="905" spans="1:4" x14ac:dyDescent="0.25">
      <c r="A905">
        <v>90000</v>
      </c>
      <c r="B905">
        <v>32535</v>
      </c>
      <c r="C905">
        <v>0</v>
      </c>
      <c r="D905">
        <v>0</v>
      </c>
    </row>
    <row r="906" spans="1:4" x14ac:dyDescent="0.25">
      <c r="A906">
        <v>90000</v>
      </c>
      <c r="B906">
        <v>15030</v>
      </c>
      <c r="C906">
        <v>0</v>
      </c>
      <c r="D906">
        <v>0</v>
      </c>
    </row>
    <row r="907" spans="1:4" x14ac:dyDescent="0.25">
      <c r="A907">
        <v>171000</v>
      </c>
      <c r="B907">
        <v>146265.61499999999</v>
      </c>
      <c r="C907">
        <v>2.1150000000000002</v>
      </c>
      <c r="D907">
        <v>0</v>
      </c>
    </row>
    <row r="908" spans="1:4" x14ac:dyDescent="0.25">
      <c r="A908">
        <v>171000</v>
      </c>
      <c r="B908">
        <v>32341.5</v>
      </c>
      <c r="C908">
        <v>3235.5</v>
      </c>
      <c r="D908">
        <v>1</v>
      </c>
    </row>
    <row r="909" spans="1:4" x14ac:dyDescent="0.25">
      <c r="A909">
        <v>171000</v>
      </c>
      <c r="B909">
        <v>26100</v>
      </c>
      <c r="C909">
        <v>2610</v>
      </c>
      <c r="D909">
        <v>0</v>
      </c>
    </row>
    <row r="910" spans="1:4" x14ac:dyDescent="0.25">
      <c r="A910">
        <v>171000</v>
      </c>
      <c r="B910">
        <v>55431</v>
      </c>
      <c r="C910">
        <v>0</v>
      </c>
      <c r="D910">
        <v>0</v>
      </c>
    </row>
    <row r="911" spans="1:4" x14ac:dyDescent="0.25">
      <c r="A911">
        <v>171000</v>
      </c>
      <c r="B911">
        <v>32341.5</v>
      </c>
      <c r="C911">
        <v>0</v>
      </c>
      <c r="D911">
        <v>1</v>
      </c>
    </row>
    <row r="912" spans="1:4" x14ac:dyDescent="0.25">
      <c r="A912">
        <v>103500</v>
      </c>
      <c r="B912">
        <v>53550</v>
      </c>
      <c r="C912">
        <v>5400</v>
      </c>
      <c r="D912">
        <v>0</v>
      </c>
    </row>
    <row r="913" spans="1:4" x14ac:dyDescent="0.25">
      <c r="A913">
        <v>103500</v>
      </c>
      <c r="B913">
        <v>143154</v>
      </c>
      <c r="C913">
        <v>0</v>
      </c>
      <c r="D913">
        <v>0</v>
      </c>
    </row>
    <row r="914" spans="1:4" x14ac:dyDescent="0.25">
      <c r="A914">
        <v>103500</v>
      </c>
      <c r="B914">
        <v>65695.5</v>
      </c>
      <c r="C914">
        <v>0</v>
      </c>
      <c r="D914">
        <v>1</v>
      </c>
    </row>
    <row r="915" spans="1:4" x14ac:dyDescent="0.25">
      <c r="A915">
        <v>103500</v>
      </c>
      <c r="B915">
        <v>65695.5</v>
      </c>
      <c r="C915">
        <v>0</v>
      </c>
      <c r="D915">
        <v>1</v>
      </c>
    </row>
    <row r="916" spans="1:4" x14ac:dyDescent="0.25">
      <c r="A916">
        <v>103500</v>
      </c>
      <c r="B916">
        <v>23962.5</v>
      </c>
      <c r="C916">
        <v>4792.5</v>
      </c>
      <c r="D916">
        <v>0</v>
      </c>
    </row>
    <row r="917" spans="1:4" x14ac:dyDescent="0.25">
      <c r="A917">
        <v>171000</v>
      </c>
      <c r="B917">
        <v>58014</v>
      </c>
      <c r="C917">
        <v>11605.5</v>
      </c>
      <c r="D917">
        <v>0</v>
      </c>
    </row>
    <row r="918" spans="1:4" x14ac:dyDescent="0.25">
      <c r="A918">
        <v>171000</v>
      </c>
      <c r="B918">
        <v>137700</v>
      </c>
      <c r="C918">
        <v>0</v>
      </c>
      <c r="D918">
        <v>0</v>
      </c>
    </row>
    <row r="919" spans="1:4" x14ac:dyDescent="0.25">
      <c r="A919">
        <v>121500</v>
      </c>
      <c r="B919">
        <v>53545.5</v>
      </c>
      <c r="C919">
        <v>0</v>
      </c>
      <c r="D919">
        <v>0</v>
      </c>
    </row>
    <row r="920" spans="1:4" x14ac:dyDescent="0.25">
      <c r="A920">
        <v>121500</v>
      </c>
      <c r="B920">
        <v>18981</v>
      </c>
      <c r="C920">
        <v>3798</v>
      </c>
      <c r="D920">
        <v>0</v>
      </c>
    </row>
    <row r="921" spans="1:4" x14ac:dyDescent="0.25">
      <c r="A921">
        <v>90000</v>
      </c>
      <c r="B921">
        <v>40500</v>
      </c>
      <c r="C921">
        <v>0</v>
      </c>
      <c r="D921">
        <v>0</v>
      </c>
    </row>
    <row r="922" spans="1:4" x14ac:dyDescent="0.25">
      <c r="A922">
        <v>202500</v>
      </c>
      <c r="B922">
        <v>78745.5</v>
      </c>
      <c r="C922">
        <v>0</v>
      </c>
      <c r="D922">
        <v>0</v>
      </c>
    </row>
    <row r="923" spans="1:4" x14ac:dyDescent="0.25">
      <c r="A923">
        <v>180000</v>
      </c>
      <c r="B923">
        <v>314820</v>
      </c>
      <c r="C923">
        <v>0</v>
      </c>
      <c r="D923">
        <v>0</v>
      </c>
    </row>
    <row r="924" spans="1:4" x14ac:dyDescent="0.25">
      <c r="A924">
        <v>225000</v>
      </c>
      <c r="B924">
        <v>179550</v>
      </c>
      <c r="C924">
        <v>45000</v>
      </c>
      <c r="D924">
        <v>0</v>
      </c>
    </row>
    <row r="925" spans="1:4" x14ac:dyDescent="0.25">
      <c r="A925">
        <v>135000</v>
      </c>
      <c r="B925">
        <v>89955</v>
      </c>
      <c r="C925">
        <v>17991</v>
      </c>
      <c r="D925">
        <v>0</v>
      </c>
    </row>
    <row r="926" spans="1:4" x14ac:dyDescent="0.25">
      <c r="A926">
        <v>126000</v>
      </c>
      <c r="B926">
        <v>49518</v>
      </c>
      <c r="C926">
        <v>0</v>
      </c>
      <c r="D926">
        <v>0</v>
      </c>
    </row>
    <row r="927" spans="1:4" x14ac:dyDescent="0.25">
      <c r="A927">
        <v>157500</v>
      </c>
      <c r="B927">
        <v>173610</v>
      </c>
      <c r="C927">
        <v>0</v>
      </c>
      <c r="D927">
        <v>1</v>
      </c>
    </row>
    <row r="928" spans="1:4" x14ac:dyDescent="0.25">
      <c r="A928">
        <v>112500</v>
      </c>
      <c r="B928">
        <v>21109.275000000001</v>
      </c>
      <c r="C928">
        <v>2114.7750000000001</v>
      </c>
      <c r="D928">
        <v>0</v>
      </c>
    </row>
    <row r="929" spans="1:4" x14ac:dyDescent="0.25">
      <c r="A929">
        <v>112500</v>
      </c>
      <c r="B929">
        <v>76369.5</v>
      </c>
      <c r="C929">
        <v>0</v>
      </c>
      <c r="D929">
        <v>0</v>
      </c>
    </row>
    <row r="930" spans="1:4" x14ac:dyDescent="0.25">
      <c r="A930">
        <v>112500</v>
      </c>
      <c r="B930">
        <v>63837</v>
      </c>
      <c r="C930">
        <v>3240</v>
      </c>
      <c r="D930">
        <v>0</v>
      </c>
    </row>
    <row r="931" spans="1:4" x14ac:dyDescent="0.25">
      <c r="A931">
        <v>247500</v>
      </c>
      <c r="B931">
        <v>118827.9</v>
      </c>
      <c r="C931">
        <v>0</v>
      </c>
      <c r="D931">
        <v>0</v>
      </c>
    </row>
    <row r="932" spans="1:4" x14ac:dyDescent="0.25">
      <c r="A932">
        <v>288000</v>
      </c>
      <c r="B932">
        <v>114480</v>
      </c>
      <c r="C932">
        <v>11448</v>
      </c>
      <c r="D932">
        <v>0</v>
      </c>
    </row>
    <row r="933" spans="1:4" x14ac:dyDescent="0.25">
      <c r="A933">
        <v>112500</v>
      </c>
      <c r="B933">
        <v>153495</v>
      </c>
      <c r="C933">
        <v>15349.5</v>
      </c>
      <c r="D933">
        <v>1</v>
      </c>
    </row>
    <row r="934" spans="1:4" x14ac:dyDescent="0.25">
      <c r="A934">
        <v>112500</v>
      </c>
      <c r="B934">
        <v>153495</v>
      </c>
      <c r="C934">
        <v>15349.5</v>
      </c>
      <c r="D934">
        <v>0</v>
      </c>
    </row>
    <row r="935" spans="1:4" x14ac:dyDescent="0.25">
      <c r="A935">
        <v>112500</v>
      </c>
      <c r="B935">
        <v>64722.15</v>
      </c>
      <c r="C935">
        <v>6474.15</v>
      </c>
      <c r="D935">
        <v>0</v>
      </c>
    </row>
    <row r="936" spans="1:4" x14ac:dyDescent="0.25">
      <c r="A936">
        <v>112500</v>
      </c>
      <c r="B936">
        <v>17415</v>
      </c>
      <c r="C936">
        <v>0</v>
      </c>
      <c r="D936">
        <v>0</v>
      </c>
    </row>
    <row r="937" spans="1:4" x14ac:dyDescent="0.25">
      <c r="A937">
        <v>90000</v>
      </c>
      <c r="B937">
        <v>143955</v>
      </c>
      <c r="C937">
        <v>28791</v>
      </c>
      <c r="D937">
        <v>0</v>
      </c>
    </row>
    <row r="938" spans="1:4" x14ac:dyDescent="0.25">
      <c r="A938">
        <v>90000</v>
      </c>
      <c r="B938">
        <v>25933.5</v>
      </c>
      <c r="C938">
        <v>2596.5</v>
      </c>
      <c r="D938">
        <v>0</v>
      </c>
    </row>
    <row r="939" spans="1:4" x14ac:dyDescent="0.25">
      <c r="A939">
        <v>112500</v>
      </c>
      <c r="B939">
        <v>31182.93</v>
      </c>
      <c r="C939">
        <v>0</v>
      </c>
      <c r="D939">
        <v>0</v>
      </c>
    </row>
    <row r="940" spans="1:4" x14ac:dyDescent="0.25">
      <c r="A940">
        <v>225000</v>
      </c>
      <c r="B940">
        <v>14530.5</v>
      </c>
      <c r="C940">
        <v>0</v>
      </c>
      <c r="D940">
        <v>0</v>
      </c>
    </row>
    <row r="941" spans="1:4" x14ac:dyDescent="0.25">
      <c r="A941">
        <v>225000</v>
      </c>
      <c r="B941">
        <v>64395</v>
      </c>
      <c r="C941">
        <v>0</v>
      </c>
      <c r="D941">
        <v>0</v>
      </c>
    </row>
    <row r="942" spans="1:4" x14ac:dyDescent="0.25">
      <c r="A942">
        <v>202500</v>
      </c>
      <c r="B942">
        <v>121716</v>
      </c>
      <c r="C942">
        <v>12172.5</v>
      </c>
      <c r="D942">
        <v>1</v>
      </c>
    </row>
    <row r="943" spans="1:4" x14ac:dyDescent="0.25">
      <c r="A943">
        <v>202500</v>
      </c>
      <c r="B943">
        <v>121716</v>
      </c>
      <c r="C943">
        <v>0</v>
      </c>
      <c r="D943">
        <v>1</v>
      </c>
    </row>
    <row r="944" spans="1:4" x14ac:dyDescent="0.25">
      <c r="A944">
        <v>135000</v>
      </c>
      <c r="B944">
        <v>21600</v>
      </c>
      <c r="C944">
        <v>2160</v>
      </c>
      <c r="D944">
        <v>0</v>
      </c>
    </row>
    <row r="945" spans="1:4" x14ac:dyDescent="0.25">
      <c r="A945">
        <v>112500</v>
      </c>
      <c r="B945">
        <v>153900</v>
      </c>
      <c r="C945">
        <v>0</v>
      </c>
      <c r="D945">
        <v>0</v>
      </c>
    </row>
    <row r="946" spans="1:4" x14ac:dyDescent="0.25">
      <c r="A946">
        <v>405000</v>
      </c>
      <c r="B946">
        <v>89995.5</v>
      </c>
      <c r="C946">
        <v>0</v>
      </c>
      <c r="D946">
        <v>0</v>
      </c>
    </row>
    <row r="947" spans="1:4" x14ac:dyDescent="0.25">
      <c r="A947">
        <v>225000</v>
      </c>
      <c r="B947">
        <v>45067.5</v>
      </c>
      <c r="C947">
        <v>13500</v>
      </c>
      <c r="D947">
        <v>0</v>
      </c>
    </row>
    <row r="948" spans="1:4" x14ac:dyDescent="0.25">
      <c r="A948">
        <v>225000</v>
      </c>
      <c r="B948">
        <v>19345.5</v>
      </c>
      <c r="C948">
        <v>2250</v>
      </c>
      <c r="D948">
        <v>0</v>
      </c>
    </row>
    <row r="949" spans="1:4" x14ac:dyDescent="0.25">
      <c r="A949">
        <v>135000</v>
      </c>
      <c r="B949">
        <v>54000</v>
      </c>
      <c r="C949">
        <v>5400</v>
      </c>
      <c r="D949">
        <v>0</v>
      </c>
    </row>
    <row r="950" spans="1:4" x14ac:dyDescent="0.25">
      <c r="A950">
        <v>54000</v>
      </c>
      <c r="B950">
        <v>157500</v>
      </c>
      <c r="C950">
        <v>0</v>
      </c>
      <c r="D950">
        <v>0</v>
      </c>
    </row>
    <row r="951" spans="1:4" x14ac:dyDescent="0.25">
      <c r="A951">
        <v>67500</v>
      </c>
      <c r="B951">
        <v>153000</v>
      </c>
      <c r="C951">
        <v>15300</v>
      </c>
      <c r="D951">
        <v>0</v>
      </c>
    </row>
    <row r="952" spans="1:4" x14ac:dyDescent="0.25">
      <c r="A952">
        <v>67500</v>
      </c>
      <c r="B952">
        <v>225000</v>
      </c>
      <c r="C952">
        <v>0</v>
      </c>
      <c r="D952">
        <v>0</v>
      </c>
    </row>
    <row r="953" spans="1:4" x14ac:dyDescent="0.25">
      <c r="A953">
        <v>270000</v>
      </c>
      <c r="B953">
        <v>137695.5</v>
      </c>
      <c r="C953">
        <v>27000</v>
      </c>
      <c r="D953">
        <v>0</v>
      </c>
    </row>
    <row r="954" spans="1:4" x14ac:dyDescent="0.25">
      <c r="A954">
        <v>270000</v>
      </c>
      <c r="B954">
        <v>95350.5</v>
      </c>
      <c r="C954">
        <v>9535.5</v>
      </c>
      <c r="D954">
        <v>1</v>
      </c>
    </row>
    <row r="955" spans="1:4" x14ac:dyDescent="0.25">
      <c r="A955">
        <v>270000</v>
      </c>
      <c r="B955">
        <v>107991</v>
      </c>
      <c r="C955">
        <v>10800</v>
      </c>
      <c r="D955">
        <v>1</v>
      </c>
    </row>
    <row r="956" spans="1:4" x14ac:dyDescent="0.25">
      <c r="A956">
        <v>270000</v>
      </c>
      <c r="B956">
        <v>95350.5</v>
      </c>
      <c r="C956">
        <v>9535.5</v>
      </c>
      <c r="D956">
        <v>1</v>
      </c>
    </row>
    <row r="957" spans="1:4" x14ac:dyDescent="0.25">
      <c r="A957">
        <v>112500</v>
      </c>
      <c r="B957">
        <v>142758</v>
      </c>
      <c r="C957">
        <v>0</v>
      </c>
      <c r="D957">
        <v>0</v>
      </c>
    </row>
    <row r="958" spans="1:4" x14ac:dyDescent="0.25">
      <c r="A958">
        <v>112500</v>
      </c>
      <c r="B958">
        <v>114372</v>
      </c>
      <c r="C958">
        <v>0</v>
      </c>
      <c r="D958">
        <v>0</v>
      </c>
    </row>
    <row r="959" spans="1:4" x14ac:dyDescent="0.25">
      <c r="A959">
        <v>112500</v>
      </c>
      <c r="B959">
        <v>111996</v>
      </c>
      <c r="C959">
        <v>11880</v>
      </c>
      <c r="D959">
        <v>0</v>
      </c>
    </row>
    <row r="960" spans="1:4" x14ac:dyDescent="0.25">
      <c r="A960">
        <v>157500</v>
      </c>
      <c r="B960">
        <v>50395.5</v>
      </c>
      <c r="C960">
        <v>0</v>
      </c>
      <c r="D960">
        <v>0</v>
      </c>
    </row>
    <row r="961" spans="1:4" x14ac:dyDescent="0.25">
      <c r="A961">
        <v>157500</v>
      </c>
      <c r="B961">
        <v>38196</v>
      </c>
      <c r="C961">
        <v>3825</v>
      </c>
      <c r="D961">
        <v>0</v>
      </c>
    </row>
    <row r="962" spans="1:4" x14ac:dyDescent="0.25">
      <c r="A962">
        <v>126000</v>
      </c>
      <c r="B962">
        <v>27000</v>
      </c>
      <c r="C962">
        <v>0</v>
      </c>
      <c r="D962">
        <v>0</v>
      </c>
    </row>
    <row r="963" spans="1:4" x14ac:dyDescent="0.25">
      <c r="A963">
        <v>126000</v>
      </c>
      <c r="B963">
        <v>113175</v>
      </c>
      <c r="C963">
        <v>0</v>
      </c>
      <c r="D963">
        <v>0</v>
      </c>
    </row>
    <row r="964" spans="1:4" x14ac:dyDescent="0.25">
      <c r="A964">
        <v>180000</v>
      </c>
      <c r="B964">
        <v>338400</v>
      </c>
      <c r="C964">
        <v>0</v>
      </c>
      <c r="D964">
        <v>0</v>
      </c>
    </row>
    <row r="965" spans="1:4" x14ac:dyDescent="0.25">
      <c r="A965">
        <v>180000</v>
      </c>
      <c r="B965">
        <v>279000</v>
      </c>
      <c r="C965">
        <v>0</v>
      </c>
      <c r="D965">
        <v>0</v>
      </c>
    </row>
    <row r="966" spans="1:4" x14ac:dyDescent="0.25">
      <c r="A966">
        <v>405000</v>
      </c>
      <c r="B966">
        <v>165033</v>
      </c>
      <c r="C966">
        <v>0</v>
      </c>
      <c r="D966">
        <v>0</v>
      </c>
    </row>
    <row r="967" spans="1:4" x14ac:dyDescent="0.25">
      <c r="A967">
        <v>405000</v>
      </c>
      <c r="B967">
        <v>118012.5</v>
      </c>
      <c r="C967">
        <v>11925</v>
      </c>
      <c r="D967">
        <v>0</v>
      </c>
    </row>
    <row r="968" spans="1:4" x14ac:dyDescent="0.25">
      <c r="A968">
        <v>405000</v>
      </c>
      <c r="B968">
        <v>18180</v>
      </c>
      <c r="C968">
        <v>1818</v>
      </c>
      <c r="D968">
        <v>0</v>
      </c>
    </row>
    <row r="969" spans="1:4" x14ac:dyDescent="0.25">
      <c r="A969">
        <v>81000</v>
      </c>
      <c r="B969">
        <v>58495.5</v>
      </c>
      <c r="C969">
        <v>5850</v>
      </c>
      <c r="D969">
        <v>0</v>
      </c>
    </row>
    <row r="970" spans="1:4" x14ac:dyDescent="0.25">
      <c r="A970">
        <v>81000</v>
      </c>
      <c r="B970">
        <v>44460</v>
      </c>
      <c r="C970">
        <v>4446</v>
      </c>
      <c r="D970">
        <v>0</v>
      </c>
    </row>
    <row r="971" spans="1:4" x14ac:dyDescent="0.25">
      <c r="A971">
        <v>103500</v>
      </c>
      <c r="B971">
        <v>112495.5</v>
      </c>
      <c r="C971">
        <v>0</v>
      </c>
      <c r="D971">
        <v>0</v>
      </c>
    </row>
    <row r="972" spans="1:4" x14ac:dyDescent="0.25">
      <c r="A972">
        <v>126000</v>
      </c>
      <c r="B972">
        <v>58608</v>
      </c>
      <c r="C972">
        <v>5863.5</v>
      </c>
      <c r="D972">
        <v>0</v>
      </c>
    </row>
    <row r="973" spans="1:4" x14ac:dyDescent="0.25">
      <c r="A973">
        <v>76500</v>
      </c>
      <c r="B973">
        <v>27855</v>
      </c>
      <c r="C973">
        <v>2790</v>
      </c>
      <c r="D973">
        <v>0</v>
      </c>
    </row>
    <row r="974" spans="1:4" x14ac:dyDescent="0.25">
      <c r="A974">
        <v>135000</v>
      </c>
      <c r="B974">
        <v>17325</v>
      </c>
      <c r="C974">
        <v>3465</v>
      </c>
      <c r="D974">
        <v>0</v>
      </c>
    </row>
    <row r="975" spans="1:4" x14ac:dyDescent="0.25">
      <c r="A975">
        <v>135000</v>
      </c>
      <c r="B975">
        <v>28575</v>
      </c>
      <c r="C975">
        <v>2857.5</v>
      </c>
      <c r="D975">
        <v>0</v>
      </c>
    </row>
    <row r="976" spans="1:4" x14ac:dyDescent="0.25">
      <c r="A976">
        <v>135000</v>
      </c>
      <c r="B976">
        <v>26838</v>
      </c>
      <c r="C976">
        <v>2686.5</v>
      </c>
      <c r="D976">
        <v>0</v>
      </c>
    </row>
    <row r="977" spans="1:4" x14ac:dyDescent="0.25">
      <c r="A977">
        <v>157500</v>
      </c>
      <c r="B977">
        <v>175864.5</v>
      </c>
      <c r="C977">
        <v>0</v>
      </c>
      <c r="D977">
        <v>0</v>
      </c>
    </row>
    <row r="978" spans="1:4" x14ac:dyDescent="0.25">
      <c r="A978">
        <v>270000</v>
      </c>
      <c r="B978">
        <v>126859.5</v>
      </c>
      <c r="C978">
        <v>12690</v>
      </c>
      <c r="D978">
        <v>0</v>
      </c>
    </row>
    <row r="979" spans="1:4" x14ac:dyDescent="0.25">
      <c r="A979">
        <v>270000</v>
      </c>
      <c r="B979">
        <v>105705</v>
      </c>
      <c r="C979">
        <v>10570.5</v>
      </c>
      <c r="D979">
        <v>0</v>
      </c>
    </row>
    <row r="980" spans="1:4" x14ac:dyDescent="0.25">
      <c r="A980">
        <v>135000</v>
      </c>
      <c r="B980">
        <v>37431</v>
      </c>
      <c r="C980">
        <v>3744</v>
      </c>
      <c r="D980">
        <v>0</v>
      </c>
    </row>
    <row r="981" spans="1:4" x14ac:dyDescent="0.25">
      <c r="A981">
        <v>135000</v>
      </c>
      <c r="B981">
        <v>26955</v>
      </c>
      <c r="C981">
        <v>11250</v>
      </c>
      <c r="D981">
        <v>1</v>
      </c>
    </row>
    <row r="982" spans="1:4" x14ac:dyDescent="0.25">
      <c r="A982">
        <v>135000</v>
      </c>
      <c r="B982">
        <v>21060</v>
      </c>
      <c r="C982">
        <v>0</v>
      </c>
      <c r="D982">
        <v>0</v>
      </c>
    </row>
    <row r="983" spans="1:4" x14ac:dyDescent="0.25">
      <c r="A983">
        <v>135000</v>
      </c>
      <c r="B983">
        <v>35635.5</v>
      </c>
      <c r="C983">
        <v>3600</v>
      </c>
      <c r="D983">
        <v>0</v>
      </c>
    </row>
    <row r="984" spans="1:4" x14ac:dyDescent="0.25">
      <c r="A984">
        <v>126000</v>
      </c>
      <c r="B984">
        <v>22995</v>
      </c>
      <c r="C984">
        <v>2299.5</v>
      </c>
      <c r="D984">
        <v>0</v>
      </c>
    </row>
    <row r="985" spans="1:4" x14ac:dyDescent="0.25">
      <c r="A985">
        <v>126000</v>
      </c>
      <c r="B985">
        <v>61506</v>
      </c>
      <c r="C985">
        <v>0</v>
      </c>
      <c r="D985">
        <v>0</v>
      </c>
    </row>
    <row r="986" spans="1:4" x14ac:dyDescent="0.25">
      <c r="A986">
        <v>112500</v>
      </c>
      <c r="B986">
        <v>99463.5</v>
      </c>
      <c r="C986">
        <v>9949.5</v>
      </c>
      <c r="D986">
        <v>0</v>
      </c>
    </row>
    <row r="987" spans="1:4" x14ac:dyDescent="0.25">
      <c r="A987">
        <v>157500</v>
      </c>
      <c r="B987">
        <v>97649.774999999994</v>
      </c>
      <c r="C987">
        <v>4.2750000000000004</v>
      </c>
      <c r="D987">
        <v>0</v>
      </c>
    </row>
    <row r="988" spans="1:4" x14ac:dyDescent="0.25">
      <c r="A988">
        <v>225000</v>
      </c>
      <c r="B988">
        <v>62955</v>
      </c>
      <c r="C988">
        <v>0</v>
      </c>
      <c r="D988">
        <v>0</v>
      </c>
    </row>
    <row r="989" spans="1:4" x14ac:dyDescent="0.25">
      <c r="A989">
        <v>225000</v>
      </c>
      <c r="B989">
        <v>62055</v>
      </c>
      <c r="C989">
        <v>6205.5</v>
      </c>
      <c r="D989">
        <v>0</v>
      </c>
    </row>
    <row r="990" spans="1:4" x14ac:dyDescent="0.25">
      <c r="A990">
        <v>225000</v>
      </c>
      <c r="B990">
        <v>53955</v>
      </c>
      <c r="C990">
        <v>13500</v>
      </c>
      <c r="D990">
        <v>0</v>
      </c>
    </row>
    <row r="991" spans="1:4" x14ac:dyDescent="0.25">
      <c r="A991">
        <v>157500</v>
      </c>
      <c r="B991">
        <v>53955</v>
      </c>
      <c r="C991">
        <v>6750</v>
      </c>
      <c r="D991">
        <v>0</v>
      </c>
    </row>
    <row r="992" spans="1:4" x14ac:dyDescent="0.25">
      <c r="A992">
        <v>180000</v>
      </c>
      <c r="B992">
        <v>114057</v>
      </c>
      <c r="C992">
        <v>0</v>
      </c>
      <c r="D992">
        <v>0</v>
      </c>
    </row>
    <row r="993" spans="1:4" x14ac:dyDescent="0.25">
      <c r="A993">
        <v>180000</v>
      </c>
      <c r="B993">
        <v>83088</v>
      </c>
      <c r="C993">
        <v>0</v>
      </c>
      <c r="D993">
        <v>0</v>
      </c>
    </row>
    <row r="994" spans="1:4" x14ac:dyDescent="0.25">
      <c r="A994">
        <v>225000</v>
      </c>
      <c r="B994">
        <v>134955</v>
      </c>
      <c r="C994">
        <v>0</v>
      </c>
      <c r="D994">
        <v>0</v>
      </c>
    </row>
    <row r="995" spans="1:4" x14ac:dyDescent="0.25">
      <c r="A995">
        <v>112500</v>
      </c>
      <c r="B995">
        <v>75429</v>
      </c>
      <c r="C995">
        <v>0</v>
      </c>
      <c r="D995">
        <v>0</v>
      </c>
    </row>
    <row r="996" spans="1:4" x14ac:dyDescent="0.25">
      <c r="A996">
        <v>225000</v>
      </c>
      <c r="B996">
        <v>174073.5</v>
      </c>
      <c r="C996">
        <v>17410.5</v>
      </c>
      <c r="D996">
        <v>0</v>
      </c>
    </row>
    <row r="997" spans="1:4" x14ac:dyDescent="0.25">
      <c r="A997">
        <v>225000</v>
      </c>
      <c r="B997">
        <v>201645</v>
      </c>
      <c r="C997">
        <v>40329</v>
      </c>
      <c r="D997">
        <v>0</v>
      </c>
    </row>
    <row r="998" spans="1:4" x14ac:dyDescent="0.25">
      <c r="A998">
        <v>117000</v>
      </c>
      <c r="B998">
        <v>83151</v>
      </c>
      <c r="C998">
        <v>0</v>
      </c>
      <c r="D998">
        <v>0</v>
      </c>
    </row>
    <row r="999" spans="1:4" x14ac:dyDescent="0.25">
      <c r="A999">
        <v>117000</v>
      </c>
      <c r="B999">
        <v>294300</v>
      </c>
      <c r="C999">
        <v>58860</v>
      </c>
      <c r="D999">
        <v>0</v>
      </c>
    </row>
    <row r="1000" spans="1:4" x14ac:dyDescent="0.25">
      <c r="A1000">
        <v>153000</v>
      </c>
      <c r="B1000">
        <v>52645.5</v>
      </c>
      <c r="C1000">
        <v>0</v>
      </c>
      <c r="D1000">
        <v>0</v>
      </c>
    </row>
    <row r="1001" spans="1:4" x14ac:dyDescent="0.25">
      <c r="A1001">
        <v>90000</v>
      </c>
      <c r="B1001">
        <v>106717.5</v>
      </c>
      <c r="C1001">
        <v>0</v>
      </c>
      <c r="D1001">
        <v>0</v>
      </c>
    </row>
    <row r="1002" spans="1:4" x14ac:dyDescent="0.25">
      <c r="A1002">
        <v>67500</v>
      </c>
      <c r="B1002">
        <v>88726.5</v>
      </c>
      <c r="C1002">
        <v>0</v>
      </c>
      <c r="D1002">
        <v>1</v>
      </c>
    </row>
    <row r="1003" spans="1:4" x14ac:dyDescent="0.25">
      <c r="A1003">
        <v>67500</v>
      </c>
      <c r="B1003">
        <v>75600</v>
      </c>
      <c r="C1003">
        <v>22500</v>
      </c>
      <c r="D1003">
        <v>0</v>
      </c>
    </row>
    <row r="1004" spans="1:4" x14ac:dyDescent="0.25">
      <c r="A1004">
        <v>67500</v>
      </c>
      <c r="B1004">
        <v>21645</v>
      </c>
      <c r="C1004">
        <v>0</v>
      </c>
      <c r="D1004">
        <v>1</v>
      </c>
    </row>
    <row r="1005" spans="1:4" x14ac:dyDescent="0.25">
      <c r="A1005">
        <v>67500</v>
      </c>
      <c r="B1005">
        <v>80955</v>
      </c>
      <c r="C1005">
        <v>9000</v>
      </c>
      <c r="D1005">
        <v>0</v>
      </c>
    </row>
    <row r="1006" spans="1:4" x14ac:dyDescent="0.25">
      <c r="A1006">
        <v>90000</v>
      </c>
      <c r="B1006">
        <v>66591</v>
      </c>
      <c r="C1006">
        <v>6660</v>
      </c>
      <c r="D1006">
        <v>0</v>
      </c>
    </row>
    <row r="1007" spans="1:4" x14ac:dyDescent="0.25">
      <c r="A1007">
        <v>121500</v>
      </c>
      <c r="B1007">
        <v>33975</v>
      </c>
      <c r="C1007">
        <v>3397.5</v>
      </c>
      <c r="D1007">
        <v>0</v>
      </c>
    </row>
    <row r="1008" spans="1:4" x14ac:dyDescent="0.25">
      <c r="A1008">
        <v>121500</v>
      </c>
      <c r="B1008">
        <v>99675</v>
      </c>
      <c r="C1008">
        <v>0</v>
      </c>
      <c r="D1008">
        <v>0</v>
      </c>
    </row>
    <row r="1009" spans="1:4" x14ac:dyDescent="0.25">
      <c r="A1009">
        <v>121500</v>
      </c>
      <c r="B1009">
        <v>28120.5</v>
      </c>
      <c r="C1009">
        <v>2812.5</v>
      </c>
      <c r="D1009">
        <v>0</v>
      </c>
    </row>
    <row r="1010" spans="1:4" x14ac:dyDescent="0.25">
      <c r="A1010">
        <v>202500</v>
      </c>
      <c r="B1010">
        <v>23044.5</v>
      </c>
      <c r="C1010">
        <v>0</v>
      </c>
      <c r="D1010">
        <v>0</v>
      </c>
    </row>
    <row r="1011" spans="1:4" x14ac:dyDescent="0.25">
      <c r="A1011">
        <v>337500</v>
      </c>
      <c r="B1011">
        <v>53325</v>
      </c>
      <c r="C1011">
        <v>10665</v>
      </c>
      <c r="D1011">
        <v>0</v>
      </c>
    </row>
    <row r="1012" spans="1:4" x14ac:dyDescent="0.25">
      <c r="A1012">
        <v>45000</v>
      </c>
      <c r="B1012">
        <v>67090.5</v>
      </c>
      <c r="C1012">
        <v>4500</v>
      </c>
      <c r="D1012">
        <v>0</v>
      </c>
    </row>
    <row r="1013" spans="1:4" x14ac:dyDescent="0.25">
      <c r="A1013">
        <v>45000</v>
      </c>
      <c r="B1013">
        <v>210204</v>
      </c>
      <c r="C1013">
        <v>0</v>
      </c>
      <c r="D1013">
        <v>0</v>
      </c>
    </row>
    <row r="1014" spans="1:4" x14ac:dyDescent="0.25">
      <c r="A1014">
        <v>81000</v>
      </c>
      <c r="B1014">
        <v>76495.5</v>
      </c>
      <c r="C1014">
        <v>7650</v>
      </c>
      <c r="D1014">
        <v>0</v>
      </c>
    </row>
    <row r="1015" spans="1:4" x14ac:dyDescent="0.25">
      <c r="A1015">
        <v>247500</v>
      </c>
      <c r="B1015">
        <v>152073</v>
      </c>
      <c r="C1015">
        <v>14850</v>
      </c>
      <c r="D1015">
        <v>0</v>
      </c>
    </row>
    <row r="1016" spans="1:4" x14ac:dyDescent="0.25">
      <c r="A1016">
        <v>247500</v>
      </c>
      <c r="B1016">
        <v>145660.5</v>
      </c>
      <c r="C1016">
        <v>14566.5</v>
      </c>
      <c r="D1016">
        <v>0</v>
      </c>
    </row>
    <row r="1017" spans="1:4" x14ac:dyDescent="0.25">
      <c r="A1017">
        <v>180000</v>
      </c>
      <c r="B1017">
        <v>47927.7</v>
      </c>
      <c r="C1017">
        <v>4795.2</v>
      </c>
      <c r="D1017">
        <v>0</v>
      </c>
    </row>
    <row r="1018" spans="1:4" x14ac:dyDescent="0.25">
      <c r="A1018">
        <v>67500</v>
      </c>
      <c r="B1018">
        <v>100743.3</v>
      </c>
      <c r="C1018">
        <v>1.8</v>
      </c>
      <c r="D1018">
        <v>0</v>
      </c>
    </row>
    <row r="1019" spans="1:4" x14ac:dyDescent="0.25">
      <c r="A1019">
        <v>58500</v>
      </c>
      <c r="B1019">
        <v>45000</v>
      </c>
      <c r="C1019">
        <v>0</v>
      </c>
      <c r="D1019">
        <v>0</v>
      </c>
    </row>
    <row r="1020" spans="1:4" x14ac:dyDescent="0.25">
      <c r="A1020">
        <v>112500</v>
      </c>
      <c r="B1020">
        <v>85045.5</v>
      </c>
      <c r="C1020">
        <v>8505</v>
      </c>
      <c r="D1020">
        <v>0</v>
      </c>
    </row>
    <row r="1021" spans="1:4" x14ac:dyDescent="0.25">
      <c r="A1021">
        <v>112500</v>
      </c>
      <c r="B1021">
        <v>37552.5</v>
      </c>
      <c r="C1021">
        <v>4500</v>
      </c>
      <c r="D1021">
        <v>0</v>
      </c>
    </row>
    <row r="1022" spans="1:4" x14ac:dyDescent="0.25">
      <c r="A1022">
        <v>157500</v>
      </c>
      <c r="B1022">
        <v>89995.5</v>
      </c>
      <c r="C1022">
        <v>0</v>
      </c>
      <c r="D1022">
        <v>0</v>
      </c>
    </row>
    <row r="1023" spans="1:4" x14ac:dyDescent="0.25">
      <c r="A1023">
        <v>225000</v>
      </c>
      <c r="B1023">
        <v>58324.5</v>
      </c>
      <c r="C1023">
        <v>0</v>
      </c>
      <c r="D1023">
        <v>1</v>
      </c>
    </row>
    <row r="1024" spans="1:4" x14ac:dyDescent="0.25">
      <c r="A1024">
        <v>225000</v>
      </c>
      <c r="B1024">
        <v>33255</v>
      </c>
      <c r="C1024">
        <v>3375</v>
      </c>
      <c r="D1024">
        <v>0</v>
      </c>
    </row>
    <row r="1025" spans="1:4" x14ac:dyDescent="0.25">
      <c r="A1025">
        <v>225000</v>
      </c>
      <c r="B1025">
        <v>39019.5</v>
      </c>
      <c r="C1025">
        <v>3915</v>
      </c>
      <c r="D1025">
        <v>0</v>
      </c>
    </row>
    <row r="1026" spans="1:4" x14ac:dyDescent="0.25">
      <c r="A1026">
        <v>67500</v>
      </c>
      <c r="B1026">
        <v>47965.5</v>
      </c>
      <c r="C1026">
        <v>0</v>
      </c>
      <c r="D1026">
        <v>0</v>
      </c>
    </row>
    <row r="1027" spans="1:4" x14ac:dyDescent="0.25">
      <c r="A1027">
        <v>157500</v>
      </c>
      <c r="B1027">
        <v>98545.5</v>
      </c>
      <c r="C1027">
        <v>0</v>
      </c>
      <c r="D1027">
        <v>0</v>
      </c>
    </row>
    <row r="1028" spans="1:4" x14ac:dyDescent="0.25">
      <c r="A1028">
        <v>117000</v>
      </c>
      <c r="B1028">
        <v>24696</v>
      </c>
      <c r="C1028">
        <v>2700</v>
      </c>
      <c r="D1028">
        <v>1</v>
      </c>
    </row>
    <row r="1029" spans="1:4" x14ac:dyDescent="0.25">
      <c r="A1029">
        <v>117000</v>
      </c>
      <c r="B1029">
        <v>23805</v>
      </c>
      <c r="C1029">
        <v>3150</v>
      </c>
      <c r="D1029">
        <v>0</v>
      </c>
    </row>
    <row r="1030" spans="1:4" x14ac:dyDescent="0.25">
      <c r="A1030">
        <v>117000</v>
      </c>
      <c r="B1030">
        <v>36382.5</v>
      </c>
      <c r="C1030">
        <v>13500</v>
      </c>
      <c r="D1030">
        <v>1</v>
      </c>
    </row>
    <row r="1031" spans="1:4" x14ac:dyDescent="0.25">
      <c r="A1031">
        <v>112500</v>
      </c>
      <c r="B1031">
        <v>71955</v>
      </c>
      <c r="C1031">
        <v>0</v>
      </c>
      <c r="D1031">
        <v>1</v>
      </c>
    </row>
    <row r="1032" spans="1:4" x14ac:dyDescent="0.25">
      <c r="A1032">
        <v>112500</v>
      </c>
      <c r="B1032">
        <v>45004.5</v>
      </c>
      <c r="C1032">
        <v>0</v>
      </c>
      <c r="D1032">
        <v>0</v>
      </c>
    </row>
    <row r="1033" spans="1:4" x14ac:dyDescent="0.25">
      <c r="A1033">
        <v>112500</v>
      </c>
      <c r="B1033">
        <v>42250.5</v>
      </c>
      <c r="C1033">
        <v>0</v>
      </c>
      <c r="D1033">
        <v>0</v>
      </c>
    </row>
    <row r="1034" spans="1:4" x14ac:dyDescent="0.25">
      <c r="A1034">
        <v>112500</v>
      </c>
      <c r="B1034">
        <v>71955</v>
      </c>
      <c r="C1034">
        <v>0</v>
      </c>
      <c r="D1034">
        <v>1</v>
      </c>
    </row>
    <row r="1035" spans="1:4" x14ac:dyDescent="0.25">
      <c r="A1035">
        <v>270000</v>
      </c>
      <c r="B1035">
        <v>62100</v>
      </c>
      <c r="C1035">
        <v>6210</v>
      </c>
      <c r="D1035">
        <v>0</v>
      </c>
    </row>
    <row r="1036" spans="1:4" x14ac:dyDescent="0.25">
      <c r="A1036">
        <v>270000</v>
      </c>
      <c r="B1036">
        <v>26955</v>
      </c>
      <c r="C1036">
        <v>2695.5</v>
      </c>
      <c r="D1036">
        <v>0</v>
      </c>
    </row>
    <row r="1037" spans="1:4" x14ac:dyDescent="0.25">
      <c r="A1037">
        <v>270000</v>
      </c>
      <c r="B1037">
        <v>449100</v>
      </c>
      <c r="C1037">
        <v>44910</v>
      </c>
      <c r="D1037">
        <v>0</v>
      </c>
    </row>
    <row r="1038" spans="1:4" x14ac:dyDescent="0.25">
      <c r="A1038">
        <v>180000</v>
      </c>
      <c r="B1038">
        <v>143910</v>
      </c>
      <c r="C1038">
        <v>22500</v>
      </c>
      <c r="D1038">
        <v>0</v>
      </c>
    </row>
    <row r="1039" spans="1:4" x14ac:dyDescent="0.25">
      <c r="A1039">
        <v>180000</v>
      </c>
      <c r="B1039">
        <v>116955</v>
      </c>
      <c r="C1039">
        <v>11695.5</v>
      </c>
      <c r="D1039">
        <v>0</v>
      </c>
    </row>
    <row r="1040" spans="1:4" x14ac:dyDescent="0.25">
      <c r="A1040">
        <v>306000</v>
      </c>
      <c r="B1040">
        <v>59355</v>
      </c>
      <c r="C1040">
        <v>22500</v>
      </c>
      <c r="D1040">
        <v>0</v>
      </c>
    </row>
    <row r="1041" spans="1:4" x14ac:dyDescent="0.25">
      <c r="A1041">
        <v>180000</v>
      </c>
      <c r="B1041">
        <v>71995.5</v>
      </c>
      <c r="C1041">
        <v>7200</v>
      </c>
      <c r="D1041">
        <v>0</v>
      </c>
    </row>
    <row r="1042" spans="1:4" x14ac:dyDescent="0.25">
      <c r="A1042">
        <v>180000</v>
      </c>
      <c r="B1042">
        <v>68400</v>
      </c>
      <c r="C1042">
        <v>36000</v>
      </c>
      <c r="D1042">
        <v>0</v>
      </c>
    </row>
    <row r="1043" spans="1:4" x14ac:dyDescent="0.25">
      <c r="A1043">
        <v>180000</v>
      </c>
      <c r="B1043">
        <v>87525</v>
      </c>
      <c r="C1043">
        <v>8752.5</v>
      </c>
      <c r="D1043">
        <v>0</v>
      </c>
    </row>
    <row r="1044" spans="1:4" x14ac:dyDescent="0.25">
      <c r="A1044">
        <v>180000</v>
      </c>
      <c r="B1044">
        <v>61155</v>
      </c>
      <c r="C1044">
        <v>6115.5</v>
      </c>
      <c r="D1044">
        <v>0</v>
      </c>
    </row>
    <row r="1045" spans="1:4" x14ac:dyDescent="0.25">
      <c r="A1045">
        <v>135000</v>
      </c>
      <c r="B1045">
        <v>41256</v>
      </c>
      <c r="C1045">
        <v>2610</v>
      </c>
      <c r="D1045">
        <v>0</v>
      </c>
    </row>
    <row r="1046" spans="1:4" x14ac:dyDescent="0.25">
      <c r="A1046">
        <v>135000</v>
      </c>
      <c r="B1046">
        <v>34515</v>
      </c>
      <c r="C1046">
        <v>3465</v>
      </c>
      <c r="D1046">
        <v>0</v>
      </c>
    </row>
    <row r="1047" spans="1:4" x14ac:dyDescent="0.25">
      <c r="A1047">
        <v>135000</v>
      </c>
      <c r="B1047">
        <v>66510</v>
      </c>
      <c r="C1047">
        <v>0</v>
      </c>
      <c r="D1047">
        <v>0</v>
      </c>
    </row>
    <row r="1048" spans="1:4" x14ac:dyDescent="0.25">
      <c r="A1048">
        <v>112500</v>
      </c>
      <c r="B1048">
        <v>42570</v>
      </c>
      <c r="C1048">
        <v>9000</v>
      </c>
      <c r="D1048">
        <v>1</v>
      </c>
    </row>
    <row r="1049" spans="1:4" x14ac:dyDescent="0.25">
      <c r="A1049">
        <v>112500</v>
      </c>
      <c r="B1049">
        <v>42570</v>
      </c>
      <c r="C1049">
        <v>4257</v>
      </c>
      <c r="D1049">
        <v>1</v>
      </c>
    </row>
    <row r="1050" spans="1:4" x14ac:dyDescent="0.25">
      <c r="A1050">
        <v>225000</v>
      </c>
      <c r="B1050">
        <v>41130</v>
      </c>
      <c r="C1050">
        <v>8235</v>
      </c>
      <c r="D1050">
        <v>0</v>
      </c>
    </row>
    <row r="1051" spans="1:4" x14ac:dyDescent="0.25">
      <c r="A1051">
        <v>225000</v>
      </c>
      <c r="B1051">
        <v>107185.5</v>
      </c>
      <c r="C1051">
        <v>0</v>
      </c>
      <c r="D1051">
        <v>1</v>
      </c>
    </row>
    <row r="1052" spans="1:4" x14ac:dyDescent="0.25">
      <c r="A1052">
        <v>180000</v>
      </c>
      <c r="B1052">
        <v>103455</v>
      </c>
      <c r="C1052">
        <v>23850</v>
      </c>
      <c r="D1052">
        <v>0</v>
      </c>
    </row>
    <row r="1053" spans="1:4" x14ac:dyDescent="0.25">
      <c r="A1053">
        <v>112500</v>
      </c>
      <c r="B1053">
        <v>37390.5</v>
      </c>
      <c r="C1053">
        <v>3739.5</v>
      </c>
      <c r="D1053">
        <v>0</v>
      </c>
    </row>
    <row r="1054" spans="1:4" x14ac:dyDescent="0.25">
      <c r="A1054">
        <v>112500</v>
      </c>
      <c r="B1054">
        <v>180000</v>
      </c>
      <c r="C1054">
        <v>0</v>
      </c>
      <c r="D1054">
        <v>1</v>
      </c>
    </row>
    <row r="1055" spans="1:4" x14ac:dyDescent="0.25">
      <c r="A1055">
        <v>90000</v>
      </c>
      <c r="B1055">
        <v>61042.5</v>
      </c>
      <c r="C1055">
        <v>6106.5</v>
      </c>
      <c r="D1055">
        <v>0</v>
      </c>
    </row>
    <row r="1056" spans="1:4" x14ac:dyDescent="0.25">
      <c r="A1056">
        <v>90000</v>
      </c>
      <c r="B1056">
        <v>51516</v>
      </c>
      <c r="C1056">
        <v>3600</v>
      </c>
      <c r="D1056">
        <v>0</v>
      </c>
    </row>
    <row r="1057" spans="1:4" x14ac:dyDescent="0.25">
      <c r="A1057">
        <v>90288</v>
      </c>
      <c r="B1057">
        <v>33075</v>
      </c>
      <c r="C1057">
        <v>0</v>
      </c>
      <c r="D1057">
        <v>0</v>
      </c>
    </row>
    <row r="1058" spans="1:4" x14ac:dyDescent="0.25">
      <c r="A1058">
        <v>360000</v>
      </c>
      <c r="B1058">
        <v>138262.5</v>
      </c>
      <c r="C1058">
        <v>0</v>
      </c>
      <c r="D1058">
        <v>0</v>
      </c>
    </row>
    <row r="1059" spans="1:4" x14ac:dyDescent="0.25">
      <c r="A1059">
        <v>90000</v>
      </c>
      <c r="B1059">
        <v>43155</v>
      </c>
      <c r="C1059">
        <v>4315.5</v>
      </c>
      <c r="D1059">
        <v>0</v>
      </c>
    </row>
    <row r="1060" spans="1:4" x14ac:dyDescent="0.25">
      <c r="A1060">
        <v>247500</v>
      </c>
      <c r="B1060">
        <v>28525.5</v>
      </c>
      <c r="C1060">
        <v>2853</v>
      </c>
      <c r="D1060">
        <v>0</v>
      </c>
    </row>
    <row r="1061" spans="1:4" x14ac:dyDescent="0.25">
      <c r="A1061">
        <v>450000</v>
      </c>
      <c r="B1061">
        <v>165105</v>
      </c>
      <c r="C1061">
        <v>0</v>
      </c>
      <c r="D1061">
        <v>0</v>
      </c>
    </row>
    <row r="1062" spans="1:4" x14ac:dyDescent="0.25">
      <c r="A1062">
        <v>450000</v>
      </c>
      <c r="B1062">
        <v>376731</v>
      </c>
      <c r="C1062">
        <v>0</v>
      </c>
      <c r="D1062">
        <v>1</v>
      </c>
    </row>
    <row r="1063" spans="1:4" x14ac:dyDescent="0.25">
      <c r="A1063">
        <v>450000</v>
      </c>
      <c r="B1063">
        <v>376731</v>
      </c>
      <c r="C1063">
        <v>0</v>
      </c>
      <c r="D1063">
        <v>1</v>
      </c>
    </row>
    <row r="1064" spans="1:4" x14ac:dyDescent="0.25">
      <c r="A1064">
        <v>67500</v>
      </c>
      <c r="B1064">
        <v>49428</v>
      </c>
      <c r="C1064">
        <v>0</v>
      </c>
      <c r="D1064">
        <v>0</v>
      </c>
    </row>
    <row r="1065" spans="1:4" x14ac:dyDescent="0.25">
      <c r="A1065">
        <v>67500</v>
      </c>
      <c r="B1065">
        <v>59539.5</v>
      </c>
      <c r="C1065">
        <v>5958</v>
      </c>
      <c r="D1065">
        <v>0</v>
      </c>
    </row>
    <row r="1066" spans="1:4" x14ac:dyDescent="0.25">
      <c r="A1066">
        <v>243000</v>
      </c>
      <c r="B1066">
        <v>134955</v>
      </c>
      <c r="C1066">
        <v>26991</v>
      </c>
      <c r="D1066">
        <v>0</v>
      </c>
    </row>
    <row r="1067" spans="1:4" x14ac:dyDescent="0.25">
      <c r="A1067">
        <v>243000</v>
      </c>
      <c r="B1067">
        <v>134955</v>
      </c>
      <c r="C1067">
        <v>0</v>
      </c>
      <c r="D1067">
        <v>0</v>
      </c>
    </row>
    <row r="1068" spans="1:4" x14ac:dyDescent="0.25">
      <c r="A1068">
        <v>157500</v>
      </c>
      <c r="B1068">
        <v>85905</v>
      </c>
      <c r="C1068">
        <v>8595</v>
      </c>
      <c r="D1068">
        <v>0</v>
      </c>
    </row>
    <row r="1069" spans="1:4" x14ac:dyDescent="0.25">
      <c r="A1069">
        <v>157500</v>
      </c>
      <c r="B1069">
        <v>129361.5</v>
      </c>
      <c r="C1069">
        <v>0</v>
      </c>
      <c r="D1069">
        <v>0</v>
      </c>
    </row>
    <row r="1070" spans="1:4" x14ac:dyDescent="0.25">
      <c r="A1070">
        <v>67500</v>
      </c>
      <c r="B1070">
        <v>58455</v>
      </c>
      <c r="C1070">
        <v>5845.5</v>
      </c>
      <c r="D1070">
        <v>0</v>
      </c>
    </row>
    <row r="1071" spans="1:4" x14ac:dyDescent="0.25">
      <c r="A1071">
        <v>67500</v>
      </c>
      <c r="B1071">
        <v>200997</v>
      </c>
      <c r="C1071">
        <v>40203</v>
      </c>
      <c r="D1071">
        <v>0</v>
      </c>
    </row>
    <row r="1072" spans="1:4" x14ac:dyDescent="0.25">
      <c r="A1072">
        <v>135000</v>
      </c>
      <c r="B1072">
        <v>360000</v>
      </c>
      <c r="C1072">
        <v>0</v>
      </c>
      <c r="D1072">
        <v>0</v>
      </c>
    </row>
    <row r="1073" spans="1:4" x14ac:dyDescent="0.25">
      <c r="A1073">
        <v>67500</v>
      </c>
      <c r="B1073">
        <v>106713</v>
      </c>
      <c r="C1073">
        <v>0</v>
      </c>
      <c r="D1073">
        <v>0</v>
      </c>
    </row>
    <row r="1074" spans="1:4" x14ac:dyDescent="0.25">
      <c r="A1074">
        <v>67500</v>
      </c>
      <c r="B1074">
        <v>266220</v>
      </c>
      <c r="C1074">
        <v>0</v>
      </c>
      <c r="D1074">
        <v>0</v>
      </c>
    </row>
    <row r="1075" spans="1:4" x14ac:dyDescent="0.25">
      <c r="A1075">
        <v>90000</v>
      </c>
      <c r="B1075">
        <v>111649.5</v>
      </c>
      <c r="C1075">
        <v>55827</v>
      </c>
      <c r="D1075">
        <v>0</v>
      </c>
    </row>
    <row r="1076" spans="1:4" x14ac:dyDescent="0.25">
      <c r="A1076">
        <v>90000</v>
      </c>
      <c r="B1076">
        <v>170100</v>
      </c>
      <c r="C1076">
        <v>17010</v>
      </c>
      <c r="D1076">
        <v>0</v>
      </c>
    </row>
    <row r="1077" spans="1:4" x14ac:dyDescent="0.25">
      <c r="A1077">
        <v>214650</v>
      </c>
      <c r="B1077">
        <v>171544.5</v>
      </c>
      <c r="C1077">
        <v>0</v>
      </c>
      <c r="D1077">
        <v>0</v>
      </c>
    </row>
    <row r="1078" spans="1:4" x14ac:dyDescent="0.25">
      <c r="A1078">
        <v>135000</v>
      </c>
      <c r="B1078">
        <v>25600.5</v>
      </c>
      <c r="C1078">
        <v>2560.5</v>
      </c>
      <c r="D1078">
        <v>0</v>
      </c>
    </row>
    <row r="1079" spans="1:4" x14ac:dyDescent="0.25">
      <c r="A1079">
        <v>135000</v>
      </c>
      <c r="B1079">
        <v>51705</v>
      </c>
      <c r="C1079">
        <v>10350</v>
      </c>
      <c r="D1079">
        <v>0</v>
      </c>
    </row>
    <row r="1080" spans="1:4" x14ac:dyDescent="0.25">
      <c r="A1080">
        <v>135000</v>
      </c>
      <c r="B1080">
        <v>23485.5</v>
      </c>
      <c r="C1080">
        <v>2349</v>
      </c>
      <c r="D1080">
        <v>0</v>
      </c>
    </row>
    <row r="1081" spans="1:4" x14ac:dyDescent="0.25">
      <c r="A1081">
        <v>112500</v>
      </c>
      <c r="B1081">
        <v>225000</v>
      </c>
      <c r="C1081">
        <v>0</v>
      </c>
      <c r="D1081">
        <v>1</v>
      </c>
    </row>
    <row r="1082" spans="1:4" x14ac:dyDescent="0.25">
      <c r="A1082">
        <v>112500</v>
      </c>
      <c r="B1082">
        <v>180000</v>
      </c>
      <c r="C1082">
        <v>0</v>
      </c>
      <c r="D1082">
        <v>0</v>
      </c>
    </row>
    <row r="1083" spans="1:4" x14ac:dyDescent="0.25">
      <c r="A1083">
        <v>135000</v>
      </c>
      <c r="B1083">
        <v>79920</v>
      </c>
      <c r="C1083">
        <v>0</v>
      </c>
      <c r="D1083">
        <v>1</v>
      </c>
    </row>
    <row r="1084" spans="1:4" x14ac:dyDescent="0.25">
      <c r="A1084">
        <v>135000</v>
      </c>
      <c r="B1084">
        <v>45630</v>
      </c>
      <c r="C1084">
        <v>0</v>
      </c>
      <c r="D1084">
        <v>0</v>
      </c>
    </row>
    <row r="1085" spans="1:4" x14ac:dyDescent="0.25">
      <c r="A1085">
        <v>112500</v>
      </c>
      <c r="B1085">
        <v>145269</v>
      </c>
      <c r="C1085">
        <v>0</v>
      </c>
      <c r="D1085">
        <v>0</v>
      </c>
    </row>
    <row r="1086" spans="1:4" x14ac:dyDescent="0.25">
      <c r="A1086">
        <v>67500</v>
      </c>
      <c r="B1086">
        <v>15277.5</v>
      </c>
      <c r="C1086">
        <v>1530</v>
      </c>
      <c r="D1086">
        <v>0</v>
      </c>
    </row>
    <row r="1087" spans="1:4" x14ac:dyDescent="0.25">
      <c r="A1087">
        <v>67500</v>
      </c>
      <c r="B1087">
        <v>58041</v>
      </c>
      <c r="C1087">
        <v>0</v>
      </c>
      <c r="D1087">
        <v>0</v>
      </c>
    </row>
    <row r="1088" spans="1:4" x14ac:dyDescent="0.25">
      <c r="A1088">
        <v>67500</v>
      </c>
      <c r="B1088">
        <v>31455</v>
      </c>
      <c r="C1088">
        <v>0</v>
      </c>
      <c r="D1088">
        <v>0</v>
      </c>
    </row>
    <row r="1089" spans="1:4" x14ac:dyDescent="0.25">
      <c r="A1089">
        <v>81000</v>
      </c>
      <c r="B1089">
        <v>129838.5</v>
      </c>
      <c r="C1089">
        <v>12987</v>
      </c>
      <c r="D1089">
        <v>0</v>
      </c>
    </row>
    <row r="1090" spans="1:4" x14ac:dyDescent="0.25">
      <c r="A1090">
        <v>81000</v>
      </c>
      <c r="B1090">
        <v>19800</v>
      </c>
      <c r="C1090">
        <v>1980</v>
      </c>
      <c r="D1090">
        <v>0</v>
      </c>
    </row>
    <row r="1091" spans="1:4" x14ac:dyDescent="0.25">
      <c r="A1091">
        <v>117000</v>
      </c>
      <c r="B1091">
        <v>149949</v>
      </c>
      <c r="C1091">
        <v>0</v>
      </c>
      <c r="D1091">
        <v>0</v>
      </c>
    </row>
    <row r="1092" spans="1:4" x14ac:dyDescent="0.25">
      <c r="A1092">
        <v>117000</v>
      </c>
      <c r="B1092">
        <v>85004.55</v>
      </c>
      <c r="C1092">
        <v>8504.5499999999993</v>
      </c>
      <c r="D1092">
        <v>1</v>
      </c>
    </row>
    <row r="1093" spans="1:4" x14ac:dyDescent="0.25">
      <c r="A1093">
        <v>45000</v>
      </c>
      <c r="B1093">
        <v>26703</v>
      </c>
      <c r="C1093">
        <v>0</v>
      </c>
      <c r="D1093">
        <v>0</v>
      </c>
    </row>
    <row r="1094" spans="1:4" x14ac:dyDescent="0.25">
      <c r="A1094">
        <v>337500</v>
      </c>
      <c r="B1094">
        <v>44505</v>
      </c>
      <c r="C1094">
        <v>9000</v>
      </c>
      <c r="D1094">
        <v>0</v>
      </c>
    </row>
    <row r="1095" spans="1:4" x14ac:dyDescent="0.25">
      <c r="A1095">
        <v>337500</v>
      </c>
      <c r="B1095">
        <v>270000</v>
      </c>
      <c r="C1095">
        <v>0</v>
      </c>
      <c r="D1095">
        <v>0</v>
      </c>
    </row>
    <row r="1096" spans="1:4" x14ac:dyDescent="0.25">
      <c r="A1096">
        <v>225000</v>
      </c>
      <c r="B1096">
        <v>84330</v>
      </c>
      <c r="C1096">
        <v>8550</v>
      </c>
      <c r="D1096">
        <v>0</v>
      </c>
    </row>
    <row r="1097" spans="1:4" x14ac:dyDescent="0.25">
      <c r="A1097">
        <v>360000</v>
      </c>
      <c r="B1097">
        <v>89838</v>
      </c>
      <c r="C1097">
        <v>0</v>
      </c>
      <c r="D1097">
        <v>0</v>
      </c>
    </row>
    <row r="1098" spans="1:4" x14ac:dyDescent="0.25">
      <c r="A1098">
        <v>360000</v>
      </c>
      <c r="B1098">
        <v>135378</v>
      </c>
      <c r="C1098">
        <v>0</v>
      </c>
      <c r="D1098">
        <v>0</v>
      </c>
    </row>
    <row r="1099" spans="1:4" x14ac:dyDescent="0.25">
      <c r="A1099">
        <v>225000</v>
      </c>
      <c r="B1099">
        <v>98311.5</v>
      </c>
      <c r="C1099">
        <v>11799</v>
      </c>
      <c r="D1099">
        <v>0</v>
      </c>
    </row>
    <row r="1100" spans="1:4" x14ac:dyDescent="0.25">
      <c r="A1100">
        <v>225000</v>
      </c>
      <c r="B1100">
        <v>89802</v>
      </c>
      <c r="C1100">
        <v>8982</v>
      </c>
      <c r="D1100">
        <v>1</v>
      </c>
    </row>
    <row r="1101" spans="1:4" x14ac:dyDescent="0.25">
      <c r="A1101">
        <v>225000</v>
      </c>
      <c r="B1101">
        <v>66181.5</v>
      </c>
      <c r="C1101">
        <v>0</v>
      </c>
      <c r="D1101">
        <v>0</v>
      </c>
    </row>
    <row r="1102" spans="1:4" x14ac:dyDescent="0.25">
      <c r="A1102">
        <v>225000</v>
      </c>
      <c r="B1102">
        <v>24255</v>
      </c>
      <c r="C1102">
        <v>2425.5</v>
      </c>
      <c r="D1102">
        <v>0</v>
      </c>
    </row>
    <row r="1103" spans="1:4" x14ac:dyDescent="0.25">
      <c r="A1103">
        <v>225000</v>
      </c>
      <c r="B1103">
        <v>101520</v>
      </c>
      <c r="C1103">
        <v>0</v>
      </c>
      <c r="D1103">
        <v>0</v>
      </c>
    </row>
    <row r="1104" spans="1:4" x14ac:dyDescent="0.25">
      <c r="A1104">
        <v>225000</v>
      </c>
      <c r="B1104">
        <v>153513</v>
      </c>
      <c r="C1104">
        <v>0</v>
      </c>
      <c r="D1104">
        <v>1</v>
      </c>
    </row>
    <row r="1105" spans="1:4" x14ac:dyDescent="0.25">
      <c r="A1105">
        <v>63000</v>
      </c>
      <c r="B1105">
        <v>53901</v>
      </c>
      <c r="C1105">
        <v>0</v>
      </c>
      <c r="D1105">
        <v>0</v>
      </c>
    </row>
    <row r="1106" spans="1:4" x14ac:dyDescent="0.25">
      <c r="A1106">
        <v>180000</v>
      </c>
      <c r="B1106">
        <v>100323</v>
      </c>
      <c r="C1106">
        <v>0</v>
      </c>
      <c r="D1106">
        <v>0</v>
      </c>
    </row>
    <row r="1107" spans="1:4" x14ac:dyDescent="0.25">
      <c r="A1107">
        <v>180000</v>
      </c>
      <c r="B1107">
        <v>143550</v>
      </c>
      <c r="C1107">
        <v>0</v>
      </c>
      <c r="D1107">
        <v>0</v>
      </c>
    </row>
    <row r="1108" spans="1:4" x14ac:dyDescent="0.25">
      <c r="A1108">
        <v>108000</v>
      </c>
      <c r="B1108">
        <v>43379.55</v>
      </c>
      <c r="C1108">
        <v>4342.05</v>
      </c>
      <c r="D1108">
        <v>0</v>
      </c>
    </row>
    <row r="1109" spans="1:4" x14ac:dyDescent="0.25">
      <c r="A1109">
        <v>108000</v>
      </c>
      <c r="B1109">
        <v>19755</v>
      </c>
      <c r="C1109">
        <v>1975.5</v>
      </c>
      <c r="D1109">
        <v>1</v>
      </c>
    </row>
    <row r="1110" spans="1:4" x14ac:dyDescent="0.25">
      <c r="A1110">
        <v>48600</v>
      </c>
      <c r="B1110">
        <v>42660</v>
      </c>
      <c r="C1110">
        <v>4266</v>
      </c>
      <c r="D1110">
        <v>0</v>
      </c>
    </row>
    <row r="1111" spans="1:4" x14ac:dyDescent="0.25">
      <c r="A1111">
        <v>48600</v>
      </c>
      <c r="B1111">
        <v>135000</v>
      </c>
      <c r="C1111">
        <v>0</v>
      </c>
      <c r="D1111">
        <v>0</v>
      </c>
    </row>
    <row r="1112" spans="1:4" x14ac:dyDescent="0.25">
      <c r="A1112">
        <v>48600</v>
      </c>
      <c r="B1112">
        <v>83430</v>
      </c>
      <c r="C1112">
        <v>40500</v>
      </c>
      <c r="D1112">
        <v>0</v>
      </c>
    </row>
    <row r="1113" spans="1:4" x14ac:dyDescent="0.25">
      <c r="A1113">
        <v>112500</v>
      </c>
      <c r="B1113">
        <v>39141</v>
      </c>
      <c r="C1113">
        <v>3915</v>
      </c>
      <c r="D1113">
        <v>0</v>
      </c>
    </row>
    <row r="1114" spans="1:4" x14ac:dyDescent="0.25">
      <c r="A1114">
        <v>112500</v>
      </c>
      <c r="B1114">
        <v>30068.73</v>
      </c>
      <c r="C1114">
        <v>3019.23</v>
      </c>
      <c r="D1114">
        <v>0</v>
      </c>
    </row>
    <row r="1115" spans="1:4" x14ac:dyDescent="0.25">
      <c r="A1115">
        <v>112500</v>
      </c>
      <c r="B1115">
        <v>35995.5</v>
      </c>
      <c r="C1115">
        <v>3600</v>
      </c>
      <c r="D1115">
        <v>0</v>
      </c>
    </row>
    <row r="1116" spans="1:4" x14ac:dyDescent="0.25">
      <c r="A1116">
        <v>112500</v>
      </c>
      <c r="B1116">
        <v>26010</v>
      </c>
      <c r="C1116">
        <v>0</v>
      </c>
      <c r="D1116">
        <v>0</v>
      </c>
    </row>
    <row r="1117" spans="1:4" x14ac:dyDescent="0.25">
      <c r="A1117">
        <v>270000</v>
      </c>
      <c r="B1117">
        <v>26770.5</v>
      </c>
      <c r="C1117">
        <v>2677.5</v>
      </c>
      <c r="D1117">
        <v>0</v>
      </c>
    </row>
    <row r="1118" spans="1:4" x14ac:dyDescent="0.25">
      <c r="A1118">
        <v>270000</v>
      </c>
      <c r="B1118">
        <v>138051</v>
      </c>
      <c r="C1118">
        <v>0</v>
      </c>
      <c r="D1118">
        <v>0</v>
      </c>
    </row>
    <row r="1119" spans="1:4" x14ac:dyDescent="0.25">
      <c r="A1119">
        <v>270000</v>
      </c>
      <c r="B1119">
        <v>158067</v>
      </c>
      <c r="C1119">
        <v>7920</v>
      </c>
      <c r="D1119">
        <v>0</v>
      </c>
    </row>
    <row r="1120" spans="1:4" x14ac:dyDescent="0.25">
      <c r="A1120">
        <v>270000</v>
      </c>
      <c r="B1120">
        <v>67410</v>
      </c>
      <c r="C1120">
        <v>6750</v>
      </c>
      <c r="D1120">
        <v>0</v>
      </c>
    </row>
    <row r="1121" spans="1:4" x14ac:dyDescent="0.25">
      <c r="A1121">
        <v>202500</v>
      </c>
      <c r="B1121">
        <v>22365</v>
      </c>
      <c r="C1121">
        <v>2250</v>
      </c>
      <c r="D1121">
        <v>0</v>
      </c>
    </row>
    <row r="1122" spans="1:4" x14ac:dyDescent="0.25">
      <c r="A1122">
        <v>202500</v>
      </c>
      <c r="B1122">
        <v>31230</v>
      </c>
      <c r="C1122">
        <v>0</v>
      </c>
      <c r="D1122">
        <v>0</v>
      </c>
    </row>
    <row r="1123" spans="1:4" x14ac:dyDescent="0.25">
      <c r="A1123">
        <v>99000</v>
      </c>
      <c r="B1123">
        <v>76455</v>
      </c>
      <c r="C1123">
        <v>22500</v>
      </c>
      <c r="D1123">
        <v>0</v>
      </c>
    </row>
    <row r="1124" spans="1:4" x14ac:dyDescent="0.25">
      <c r="A1124">
        <v>99000</v>
      </c>
      <c r="B1124">
        <v>146970</v>
      </c>
      <c r="C1124">
        <v>18000</v>
      </c>
      <c r="D1124">
        <v>0</v>
      </c>
    </row>
    <row r="1125" spans="1:4" x14ac:dyDescent="0.25">
      <c r="A1125">
        <v>99000</v>
      </c>
      <c r="B1125">
        <v>147114</v>
      </c>
      <c r="C1125">
        <v>0</v>
      </c>
      <c r="D1125">
        <v>0</v>
      </c>
    </row>
    <row r="1126" spans="1:4" x14ac:dyDescent="0.25">
      <c r="A1126">
        <v>90000</v>
      </c>
      <c r="B1126">
        <v>25870.5</v>
      </c>
      <c r="C1126">
        <v>0</v>
      </c>
      <c r="D1126">
        <v>0</v>
      </c>
    </row>
    <row r="1127" spans="1:4" x14ac:dyDescent="0.25">
      <c r="A1127">
        <v>90000</v>
      </c>
      <c r="B1127">
        <v>33390</v>
      </c>
      <c r="C1127">
        <v>3339</v>
      </c>
      <c r="D1127">
        <v>0</v>
      </c>
    </row>
    <row r="1128" spans="1:4" x14ac:dyDescent="0.25">
      <c r="A1128">
        <v>135000</v>
      </c>
      <c r="B1128">
        <v>34596</v>
      </c>
      <c r="C1128">
        <v>3672</v>
      </c>
      <c r="D1128">
        <v>0</v>
      </c>
    </row>
    <row r="1129" spans="1:4" x14ac:dyDescent="0.25">
      <c r="A1129">
        <v>135000</v>
      </c>
      <c r="B1129">
        <v>54162</v>
      </c>
      <c r="C1129">
        <v>5418</v>
      </c>
      <c r="D1129">
        <v>0</v>
      </c>
    </row>
    <row r="1130" spans="1:4" x14ac:dyDescent="0.25">
      <c r="A1130">
        <v>135000</v>
      </c>
      <c r="B1130">
        <v>168750</v>
      </c>
      <c r="C1130">
        <v>0</v>
      </c>
      <c r="D1130">
        <v>0</v>
      </c>
    </row>
    <row r="1131" spans="1:4" x14ac:dyDescent="0.25">
      <c r="A1131">
        <v>135000</v>
      </c>
      <c r="B1131">
        <v>58140</v>
      </c>
      <c r="C1131">
        <v>0</v>
      </c>
      <c r="D1131">
        <v>0</v>
      </c>
    </row>
    <row r="1132" spans="1:4" x14ac:dyDescent="0.25">
      <c r="A1132">
        <v>202500</v>
      </c>
      <c r="B1132">
        <v>39811.5</v>
      </c>
      <c r="C1132">
        <v>3982.5</v>
      </c>
      <c r="D1132">
        <v>0</v>
      </c>
    </row>
    <row r="1133" spans="1:4" x14ac:dyDescent="0.25">
      <c r="A1133">
        <v>112500</v>
      </c>
      <c r="B1133">
        <v>114701.4</v>
      </c>
      <c r="C1133">
        <v>11471.4</v>
      </c>
      <c r="D1133">
        <v>0</v>
      </c>
    </row>
    <row r="1134" spans="1:4" x14ac:dyDescent="0.25">
      <c r="A1134">
        <v>112500</v>
      </c>
      <c r="B1134">
        <v>36587.699999999997</v>
      </c>
      <c r="C1134">
        <v>3292.2</v>
      </c>
      <c r="D1134">
        <v>0</v>
      </c>
    </row>
    <row r="1135" spans="1:4" x14ac:dyDescent="0.25">
      <c r="A1135">
        <v>135000</v>
      </c>
      <c r="B1135">
        <v>29250</v>
      </c>
      <c r="C1135">
        <v>0</v>
      </c>
      <c r="D1135">
        <v>0</v>
      </c>
    </row>
    <row r="1136" spans="1:4" x14ac:dyDescent="0.25">
      <c r="A1136">
        <v>135000</v>
      </c>
      <c r="B1136">
        <v>69745.5</v>
      </c>
      <c r="C1136">
        <v>6975</v>
      </c>
      <c r="D1136">
        <v>0</v>
      </c>
    </row>
    <row r="1137" spans="1:4" x14ac:dyDescent="0.25">
      <c r="A1137">
        <v>225000</v>
      </c>
      <c r="B1137">
        <v>70758</v>
      </c>
      <c r="C1137">
        <v>7074</v>
      </c>
      <c r="D1137">
        <v>0</v>
      </c>
    </row>
    <row r="1138" spans="1:4" x14ac:dyDescent="0.25">
      <c r="A1138">
        <v>270000</v>
      </c>
      <c r="B1138">
        <v>40050</v>
      </c>
      <c r="C1138">
        <v>0</v>
      </c>
      <c r="D1138">
        <v>0</v>
      </c>
    </row>
    <row r="1139" spans="1:4" x14ac:dyDescent="0.25">
      <c r="A1139">
        <v>270000</v>
      </c>
      <c r="B1139">
        <v>44991</v>
      </c>
      <c r="C1139">
        <v>9000</v>
      </c>
      <c r="D1139">
        <v>0</v>
      </c>
    </row>
    <row r="1140" spans="1:4" x14ac:dyDescent="0.25">
      <c r="A1140">
        <v>112500</v>
      </c>
      <c r="B1140">
        <v>34141.5</v>
      </c>
      <c r="C1140">
        <v>0</v>
      </c>
      <c r="D1140">
        <v>0</v>
      </c>
    </row>
    <row r="1141" spans="1:4" x14ac:dyDescent="0.25">
      <c r="A1141">
        <v>112500</v>
      </c>
      <c r="B1141">
        <v>135000</v>
      </c>
      <c r="C1141">
        <v>0</v>
      </c>
      <c r="D1141">
        <v>0</v>
      </c>
    </row>
    <row r="1142" spans="1:4" x14ac:dyDescent="0.25">
      <c r="A1142">
        <v>112500</v>
      </c>
      <c r="B1142">
        <v>45000</v>
      </c>
      <c r="C1142">
        <v>0</v>
      </c>
      <c r="D1142">
        <v>0</v>
      </c>
    </row>
    <row r="1143" spans="1:4" x14ac:dyDescent="0.25">
      <c r="A1143">
        <v>67500</v>
      </c>
      <c r="B1143">
        <v>50350.5</v>
      </c>
      <c r="C1143">
        <v>7555.5</v>
      </c>
      <c r="D1143">
        <v>0</v>
      </c>
    </row>
    <row r="1144" spans="1:4" x14ac:dyDescent="0.25">
      <c r="A1144">
        <v>67500</v>
      </c>
      <c r="B1144">
        <v>34555.5</v>
      </c>
      <c r="C1144">
        <v>3465</v>
      </c>
      <c r="D1144">
        <v>0</v>
      </c>
    </row>
    <row r="1145" spans="1:4" x14ac:dyDescent="0.25">
      <c r="A1145">
        <v>67500</v>
      </c>
      <c r="B1145">
        <v>50962.5</v>
      </c>
      <c r="C1145">
        <v>0</v>
      </c>
      <c r="D1145">
        <v>0</v>
      </c>
    </row>
    <row r="1146" spans="1:4" x14ac:dyDescent="0.25">
      <c r="A1146">
        <v>54000</v>
      </c>
      <c r="B1146">
        <v>53257.5</v>
      </c>
      <c r="C1146">
        <v>3199.5</v>
      </c>
      <c r="D1146">
        <v>0</v>
      </c>
    </row>
    <row r="1147" spans="1:4" x14ac:dyDescent="0.25">
      <c r="A1147">
        <v>180000</v>
      </c>
      <c r="B1147">
        <v>183042</v>
      </c>
      <c r="C1147">
        <v>18306</v>
      </c>
      <c r="D1147">
        <v>0</v>
      </c>
    </row>
    <row r="1148" spans="1:4" x14ac:dyDescent="0.25">
      <c r="A1148">
        <v>261000</v>
      </c>
      <c r="B1148">
        <v>120240</v>
      </c>
      <c r="C1148">
        <v>24048</v>
      </c>
      <c r="D1148">
        <v>0</v>
      </c>
    </row>
    <row r="1149" spans="1:4" x14ac:dyDescent="0.25">
      <c r="A1149">
        <v>135000</v>
      </c>
      <c r="B1149">
        <v>103500</v>
      </c>
      <c r="C1149">
        <v>0</v>
      </c>
      <c r="D1149">
        <v>0</v>
      </c>
    </row>
    <row r="1150" spans="1:4" x14ac:dyDescent="0.25">
      <c r="A1150">
        <v>189000</v>
      </c>
      <c r="B1150">
        <v>121936.5</v>
      </c>
      <c r="C1150">
        <v>12195</v>
      </c>
      <c r="D1150">
        <v>0</v>
      </c>
    </row>
    <row r="1151" spans="1:4" x14ac:dyDescent="0.25">
      <c r="A1151">
        <v>202500</v>
      </c>
      <c r="B1151">
        <v>157500</v>
      </c>
      <c r="C1151">
        <v>0</v>
      </c>
      <c r="D1151">
        <v>0</v>
      </c>
    </row>
    <row r="1152" spans="1:4" x14ac:dyDescent="0.25">
      <c r="A1152">
        <v>202500</v>
      </c>
      <c r="B1152">
        <v>135000</v>
      </c>
      <c r="C1152">
        <v>0</v>
      </c>
      <c r="D1152">
        <v>0</v>
      </c>
    </row>
    <row r="1153" spans="1:4" x14ac:dyDescent="0.25">
      <c r="A1153">
        <v>202500</v>
      </c>
      <c r="B1153">
        <v>68186.25</v>
      </c>
      <c r="C1153">
        <v>13637.25</v>
      </c>
      <c r="D1153">
        <v>0</v>
      </c>
    </row>
    <row r="1154" spans="1:4" x14ac:dyDescent="0.25">
      <c r="A1154">
        <v>112500</v>
      </c>
      <c r="B1154">
        <v>87862.5</v>
      </c>
      <c r="C1154">
        <v>0</v>
      </c>
      <c r="D1154">
        <v>0</v>
      </c>
    </row>
    <row r="1155" spans="1:4" x14ac:dyDescent="0.25">
      <c r="A1155">
        <v>112500</v>
      </c>
      <c r="B1155">
        <v>97870.5</v>
      </c>
      <c r="C1155">
        <v>9787.5</v>
      </c>
      <c r="D1155">
        <v>0</v>
      </c>
    </row>
    <row r="1156" spans="1:4" x14ac:dyDescent="0.25">
      <c r="A1156">
        <v>153000</v>
      </c>
      <c r="B1156">
        <v>17996.400000000001</v>
      </c>
      <c r="C1156">
        <v>1800.9</v>
      </c>
      <c r="D1156">
        <v>0</v>
      </c>
    </row>
    <row r="1157" spans="1:4" x14ac:dyDescent="0.25">
      <c r="A1157">
        <v>153000</v>
      </c>
      <c r="B1157">
        <v>53820</v>
      </c>
      <c r="C1157">
        <v>0</v>
      </c>
      <c r="D1157">
        <v>0</v>
      </c>
    </row>
    <row r="1158" spans="1:4" x14ac:dyDescent="0.25">
      <c r="A1158">
        <v>112500</v>
      </c>
      <c r="B1158">
        <v>26505</v>
      </c>
      <c r="C1158">
        <v>0</v>
      </c>
      <c r="D1158">
        <v>1</v>
      </c>
    </row>
    <row r="1159" spans="1:4" x14ac:dyDescent="0.25">
      <c r="A1159">
        <v>315000</v>
      </c>
      <c r="B1159">
        <v>124582.5</v>
      </c>
      <c r="C1159">
        <v>0</v>
      </c>
      <c r="D1159">
        <v>0</v>
      </c>
    </row>
    <row r="1160" spans="1:4" x14ac:dyDescent="0.25">
      <c r="A1160">
        <v>315000</v>
      </c>
      <c r="B1160">
        <v>96525</v>
      </c>
      <c r="C1160">
        <v>0</v>
      </c>
      <c r="D1160">
        <v>0</v>
      </c>
    </row>
    <row r="1161" spans="1:4" x14ac:dyDescent="0.25">
      <c r="A1161">
        <v>315000</v>
      </c>
      <c r="B1161">
        <v>28705.5</v>
      </c>
      <c r="C1161">
        <v>9000</v>
      </c>
      <c r="D1161">
        <v>0</v>
      </c>
    </row>
    <row r="1162" spans="1:4" x14ac:dyDescent="0.25">
      <c r="A1162">
        <v>157500</v>
      </c>
      <c r="B1162">
        <v>40005</v>
      </c>
      <c r="C1162">
        <v>4000.5</v>
      </c>
      <c r="D1162">
        <v>0</v>
      </c>
    </row>
    <row r="1163" spans="1:4" x14ac:dyDescent="0.25">
      <c r="A1163">
        <v>157500</v>
      </c>
      <c r="B1163">
        <v>44788.5</v>
      </c>
      <c r="C1163">
        <v>0</v>
      </c>
      <c r="D1163">
        <v>1</v>
      </c>
    </row>
    <row r="1164" spans="1:4" x14ac:dyDescent="0.25">
      <c r="A1164">
        <v>157500</v>
      </c>
      <c r="B1164">
        <v>64215</v>
      </c>
      <c r="C1164">
        <v>22500</v>
      </c>
      <c r="D1164">
        <v>0</v>
      </c>
    </row>
    <row r="1165" spans="1:4" x14ac:dyDescent="0.25">
      <c r="A1165">
        <v>157500</v>
      </c>
      <c r="B1165">
        <v>62955</v>
      </c>
      <c r="C1165">
        <v>6300</v>
      </c>
      <c r="D1165">
        <v>0</v>
      </c>
    </row>
    <row r="1166" spans="1:4" x14ac:dyDescent="0.25">
      <c r="A1166">
        <v>112500</v>
      </c>
      <c r="B1166">
        <v>17802</v>
      </c>
      <c r="C1166">
        <v>1782</v>
      </c>
      <c r="D1166">
        <v>0</v>
      </c>
    </row>
    <row r="1167" spans="1:4" x14ac:dyDescent="0.25">
      <c r="A1167">
        <v>112500</v>
      </c>
      <c r="B1167">
        <v>101250</v>
      </c>
      <c r="C1167">
        <v>0</v>
      </c>
      <c r="D1167">
        <v>0</v>
      </c>
    </row>
    <row r="1168" spans="1:4" x14ac:dyDescent="0.25">
      <c r="A1168">
        <v>157500</v>
      </c>
      <c r="B1168">
        <v>20155.5</v>
      </c>
      <c r="C1168">
        <v>2016</v>
      </c>
      <c r="D1168">
        <v>0</v>
      </c>
    </row>
    <row r="1169" spans="1:4" x14ac:dyDescent="0.25">
      <c r="A1169">
        <v>315000</v>
      </c>
      <c r="B1169">
        <v>158953.5</v>
      </c>
      <c r="C1169">
        <v>0</v>
      </c>
      <c r="D1169">
        <v>0</v>
      </c>
    </row>
    <row r="1170" spans="1:4" x14ac:dyDescent="0.25">
      <c r="A1170">
        <v>135000</v>
      </c>
      <c r="B1170">
        <v>190557</v>
      </c>
      <c r="C1170">
        <v>0</v>
      </c>
      <c r="D1170">
        <v>0</v>
      </c>
    </row>
    <row r="1171" spans="1:4" x14ac:dyDescent="0.25">
      <c r="A1171">
        <v>135000</v>
      </c>
      <c r="B1171">
        <v>233964</v>
      </c>
      <c r="C1171">
        <v>0</v>
      </c>
      <c r="D1171">
        <v>0</v>
      </c>
    </row>
    <row r="1172" spans="1:4" x14ac:dyDescent="0.25">
      <c r="A1172">
        <v>90000</v>
      </c>
      <c r="B1172">
        <v>35500.5</v>
      </c>
      <c r="C1172">
        <v>3550.5</v>
      </c>
      <c r="D1172">
        <v>0</v>
      </c>
    </row>
    <row r="1173" spans="1:4" x14ac:dyDescent="0.25">
      <c r="A1173">
        <v>81000</v>
      </c>
      <c r="B1173">
        <v>50625</v>
      </c>
      <c r="C1173">
        <v>2520</v>
      </c>
      <c r="D1173">
        <v>0</v>
      </c>
    </row>
    <row r="1174" spans="1:4" x14ac:dyDescent="0.25">
      <c r="A1174">
        <v>135000</v>
      </c>
      <c r="B1174">
        <v>25191</v>
      </c>
      <c r="C1174">
        <v>0</v>
      </c>
      <c r="D1174">
        <v>0</v>
      </c>
    </row>
    <row r="1175" spans="1:4" x14ac:dyDescent="0.25">
      <c r="A1175">
        <v>135000</v>
      </c>
      <c r="B1175">
        <v>60507</v>
      </c>
      <c r="C1175">
        <v>6052.5</v>
      </c>
      <c r="D1175">
        <v>0</v>
      </c>
    </row>
    <row r="1176" spans="1:4" x14ac:dyDescent="0.25">
      <c r="A1176">
        <v>135000</v>
      </c>
      <c r="B1176">
        <v>78660</v>
      </c>
      <c r="C1176">
        <v>3915</v>
      </c>
      <c r="D1176">
        <v>0</v>
      </c>
    </row>
    <row r="1177" spans="1:4" x14ac:dyDescent="0.25">
      <c r="A1177">
        <v>112500</v>
      </c>
      <c r="B1177">
        <v>56655</v>
      </c>
      <c r="C1177">
        <v>0</v>
      </c>
      <c r="D1177">
        <v>0</v>
      </c>
    </row>
    <row r="1178" spans="1:4" x14ac:dyDescent="0.25">
      <c r="A1178">
        <v>112500</v>
      </c>
      <c r="B1178">
        <v>49045.5</v>
      </c>
      <c r="C1178">
        <v>0</v>
      </c>
      <c r="D1178">
        <v>0</v>
      </c>
    </row>
    <row r="1179" spans="1:4" x14ac:dyDescent="0.25">
      <c r="A1179">
        <v>63000</v>
      </c>
      <c r="B1179">
        <v>14773.5</v>
      </c>
      <c r="C1179">
        <v>2970</v>
      </c>
      <c r="D1179">
        <v>0</v>
      </c>
    </row>
    <row r="1180" spans="1:4" x14ac:dyDescent="0.25">
      <c r="A1180">
        <v>63000</v>
      </c>
      <c r="B1180">
        <v>22860</v>
      </c>
      <c r="C1180">
        <v>2286</v>
      </c>
      <c r="D1180">
        <v>0</v>
      </c>
    </row>
    <row r="1181" spans="1:4" x14ac:dyDescent="0.25">
      <c r="A1181">
        <v>283500</v>
      </c>
      <c r="B1181">
        <v>35617.5</v>
      </c>
      <c r="C1181">
        <v>2853</v>
      </c>
      <c r="D1181">
        <v>0</v>
      </c>
    </row>
    <row r="1182" spans="1:4" x14ac:dyDescent="0.25">
      <c r="A1182">
        <v>90000</v>
      </c>
      <c r="B1182">
        <v>102420</v>
      </c>
      <c r="C1182">
        <v>0</v>
      </c>
      <c r="D1182">
        <v>0</v>
      </c>
    </row>
    <row r="1183" spans="1:4" x14ac:dyDescent="0.25">
      <c r="A1183">
        <v>216000</v>
      </c>
      <c r="B1183">
        <v>231727.5</v>
      </c>
      <c r="C1183">
        <v>23175</v>
      </c>
      <c r="D1183">
        <v>0</v>
      </c>
    </row>
    <row r="1184" spans="1:4" x14ac:dyDescent="0.25">
      <c r="A1184">
        <v>180000</v>
      </c>
      <c r="B1184">
        <v>125941.5</v>
      </c>
      <c r="C1184">
        <v>13360.5</v>
      </c>
      <c r="D1184">
        <v>1</v>
      </c>
    </row>
    <row r="1185" spans="1:4" x14ac:dyDescent="0.25">
      <c r="A1185">
        <v>202500</v>
      </c>
      <c r="B1185">
        <v>26955</v>
      </c>
      <c r="C1185">
        <v>3375</v>
      </c>
      <c r="D1185">
        <v>0</v>
      </c>
    </row>
    <row r="1186" spans="1:4" x14ac:dyDescent="0.25">
      <c r="A1186">
        <v>202500</v>
      </c>
      <c r="B1186">
        <v>137025</v>
      </c>
      <c r="C1186">
        <v>0</v>
      </c>
      <c r="D1186">
        <v>0</v>
      </c>
    </row>
    <row r="1187" spans="1:4" x14ac:dyDescent="0.25">
      <c r="A1187">
        <v>135000</v>
      </c>
      <c r="B1187">
        <v>56205</v>
      </c>
      <c r="C1187">
        <v>5400</v>
      </c>
      <c r="D1187">
        <v>0</v>
      </c>
    </row>
    <row r="1188" spans="1:4" x14ac:dyDescent="0.25">
      <c r="A1188">
        <v>135000</v>
      </c>
      <c r="B1188">
        <v>75600</v>
      </c>
      <c r="C1188">
        <v>7560</v>
      </c>
      <c r="D1188">
        <v>0</v>
      </c>
    </row>
    <row r="1189" spans="1:4" x14ac:dyDescent="0.25">
      <c r="A1189">
        <v>157500</v>
      </c>
      <c r="B1189">
        <v>106312.5</v>
      </c>
      <c r="C1189">
        <v>0</v>
      </c>
      <c r="D1189">
        <v>0</v>
      </c>
    </row>
    <row r="1190" spans="1:4" x14ac:dyDescent="0.25">
      <c r="A1190">
        <v>157500</v>
      </c>
      <c r="B1190">
        <v>130032</v>
      </c>
      <c r="C1190">
        <v>13500</v>
      </c>
      <c r="D1190">
        <v>0</v>
      </c>
    </row>
    <row r="1191" spans="1:4" x14ac:dyDescent="0.25">
      <c r="A1191">
        <v>126000</v>
      </c>
      <c r="B1191">
        <v>47862</v>
      </c>
      <c r="C1191">
        <v>0</v>
      </c>
      <c r="D1191">
        <v>0</v>
      </c>
    </row>
    <row r="1192" spans="1:4" x14ac:dyDescent="0.25">
      <c r="A1192">
        <v>90000</v>
      </c>
      <c r="B1192">
        <v>122301</v>
      </c>
      <c r="C1192">
        <v>0</v>
      </c>
      <c r="D1192">
        <v>0</v>
      </c>
    </row>
    <row r="1193" spans="1:4" x14ac:dyDescent="0.25">
      <c r="A1193">
        <v>67500</v>
      </c>
      <c r="B1193">
        <v>117585</v>
      </c>
      <c r="C1193">
        <v>11758.5</v>
      </c>
      <c r="D1193">
        <v>0</v>
      </c>
    </row>
    <row r="1194" spans="1:4" x14ac:dyDescent="0.25">
      <c r="A1194">
        <v>157500</v>
      </c>
      <c r="B1194">
        <v>76455</v>
      </c>
      <c r="C1194">
        <v>0</v>
      </c>
      <c r="D1194">
        <v>0</v>
      </c>
    </row>
    <row r="1195" spans="1:4" x14ac:dyDescent="0.25">
      <c r="A1195">
        <v>81000</v>
      </c>
      <c r="B1195">
        <v>128340</v>
      </c>
      <c r="C1195">
        <v>0</v>
      </c>
      <c r="D1195">
        <v>0</v>
      </c>
    </row>
    <row r="1196" spans="1:4" x14ac:dyDescent="0.25">
      <c r="A1196">
        <v>81000</v>
      </c>
      <c r="B1196">
        <v>44887.5</v>
      </c>
      <c r="C1196">
        <v>13468.5</v>
      </c>
      <c r="D1196">
        <v>0</v>
      </c>
    </row>
    <row r="1197" spans="1:4" x14ac:dyDescent="0.25">
      <c r="A1197">
        <v>180000</v>
      </c>
      <c r="B1197">
        <v>150168.78</v>
      </c>
      <c r="C1197">
        <v>13062.78</v>
      </c>
      <c r="D1197">
        <v>0</v>
      </c>
    </row>
    <row r="1198" spans="1:4" x14ac:dyDescent="0.25">
      <c r="A1198">
        <v>180000</v>
      </c>
      <c r="B1198">
        <v>57285</v>
      </c>
      <c r="C1198">
        <v>0</v>
      </c>
      <c r="D1198">
        <v>0</v>
      </c>
    </row>
    <row r="1199" spans="1:4" x14ac:dyDescent="0.25">
      <c r="A1199">
        <v>112500</v>
      </c>
      <c r="B1199">
        <v>15525</v>
      </c>
      <c r="C1199">
        <v>2025</v>
      </c>
      <c r="D1199">
        <v>1</v>
      </c>
    </row>
    <row r="1200" spans="1:4" x14ac:dyDescent="0.25">
      <c r="A1200">
        <v>157500</v>
      </c>
      <c r="B1200">
        <v>113355</v>
      </c>
      <c r="C1200">
        <v>22671</v>
      </c>
      <c r="D1200">
        <v>0</v>
      </c>
    </row>
    <row r="1201" spans="1:4" x14ac:dyDescent="0.25">
      <c r="A1201">
        <v>157500</v>
      </c>
      <c r="B1201">
        <v>42750</v>
      </c>
      <c r="C1201">
        <v>4275</v>
      </c>
      <c r="D1201">
        <v>0</v>
      </c>
    </row>
    <row r="1202" spans="1:4" x14ac:dyDescent="0.25">
      <c r="A1202">
        <v>117000</v>
      </c>
      <c r="B1202">
        <v>35482.5</v>
      </c>
      <c r="C1202">
        <v>18000</v>
      </c>
      <c r="D1202">
        <v>0</v>
      </c>
    </row>
    <row r="1203" spans="1:4" x14ac:dyDescent="0.25">
      <c r="A1203">
        <v>117000</v>
      </c>
      <c r="B1203">
        <v>83650.5</v>
      </c>
      <c r="C1203">
        <v>9000</v>
      </c>
      <c r="D1203">
        <v>0</v>
      </c>
    </row>
    <row r="1204" spans="1:4" x14ac:dyDescent="0.25">
      <c r="A1204">
        <v>117000</v>
      </c>
      <c r="B1204">
        <v>30555</v>
      </c>
      <c r="C1204">
        <v>15750</v>
      </c>
      <c r="D1204">
        <v>0</v>
      </c>
    </row>
    <row r="1205" spans="1:4" x14ac:dyDescent="0.25">
      <c r="A1205">
        <v>135000</v>
      </c>
      <c r="B1205">
        <v>45405</v>
      </c>
      <c r="C1205">
        <v>0</v>
      </c>
      <c r="D1205">
        <v>0</v>
      </c>
    </row>
    <row r="1206" spans="1:4" x14ac:dyDescent="0.25">
      <c r="A1206">
        <v>135000</v>
      </c>
      <c r="B1206">
        <v>86400</v>
      </c>
      <c r="C1206">
        <v>0</v>
      </c>
      <c r="D1206">
        <v>0</v>
      </c>
    </row>
    <row r="1207" spans="1:4" x14ac:dyDescent="0.25">
      <c r="A1207">
        <v>135000</v>
      </c>
      <c r="B1207">
        <v>43605</v>
      </c>
      <c r="C1207">
        <v>0</v>
      </c>
      <c r="D1207">
        <v>0</v>
      </c>
    </row>
    <row r="1208" spans="1:4" x14ac:dyDescent="0.25">
      <c r="A1208">
        <v>112500</v>
      </c>
      <c r="B1208">
        <v>53977.5</v>
      </c>
      <c r="C1208">
        <v>5400</v>
      </c>
      <c r="D1208">
        <v>0</v>
      </c>
    </row>
    <row r="1209" spans="1:4" x14ac:dyDescent="0.25">
      <c r="A1209">
        <v>112500</v>
      </c>
      <c r="B1209">
        <v>161838</v>
      </c>
      <c r="C1209">
        <v>0</v>
      </c>
      <c r="D1209">
        <v>1</v>
      </c>
    </row>
    <row r="1210" spans="1:4" x14ac:dyDescent="0.25">
      <c r="A1210">
        <v>157500</v>
      </c>
      <c r="B1210">
        <v>45000</v>
      </c>
      <c r="C1210">
        <v>0</v>
      </c>
      <c r="D1210">
        <v>0</v>
      </c>
    </row>
    <row r="1211" spans="1:4" x14ac:dyDescent="0.25">
      <c r="A1211">
        <v>157500</v>
      </c>
      <c r="B1211">
        <v>360000</v>
      </c>
      <c r="C1211">
        <v>0</v>
      </c>
      <c r="D1211">
        <v>1</v>
      </c>
    </row>
    <row r="1212" spans="1:4" x14ac:dyDescent="0.25">
      <c r="A1212">
        <v>157500</v>
      </c>
      <c r="B1212">
        <v>115150.5</v>
      </c>
      <c r="C1212">
        <v>11515.5</v>
      </c>
      <c r="D1212">
        <v>0</v>
      </c>
    </row>
    <row r="1213" spans="1:4" x14ac:dyDescent="0.25">
      <c r="A1213">
        <v>157500</v>
      </c>
      <c r="B1213">
        <v>83205</v>
      </c>
      <c r="C1213">
        <v>16641</v>
      </c>
      <c r="D1213">
        <v>0</v>
      </c>
    </row>
    <row r="1214" spans="1:4" x14ac:dyDescent="0.25">
      <c r="A1214">
        <v>157500</v>
      </c>
      <c r="B1214">
        <v>59206.5</v>
      </c>
      <c r="C1214">
        <v>0</v>
      </c>
      <c r="D1214">
        <v>0</v>
      </c>
    </row>
    <row r="1215" spans="1:4" x14ac:dyDescent="0.25">
      <c r="A1215">
        <v>112500</v>
      </c>
      <c r="B1215">
        <v>22959</v>
      </c>
      <c r="C1215">
        <v>4594.5</v>
      </c>
      <c r="D1215">
        <v>0</v>
      </c>
    </row>
    <row r="1216" spans="1:4" x14ac:dyDescent="0.25">
      <c r="A1216">
        <v>112500</v>
      </c>
      <c r="B1216">
        <v>95710.5</v>
      </c>
      <c r="C1216">
        <v>0</v>
      </c>
      <c r="D1216">
        <v>1</v>
      </c>
    </row>
    <row r="1217" spans="1:4" x14ac:dyDescent="0.25">
      <c r="A1217">
        <v>180000</v>
      </c>
      <c r="B1217">
        <v>90000</v>
      </c>
      <c r="C1217">
        <v>0</v>
      </c>
      <c r="D1217">
        <v>1</v>
      </c>
    </row>
    <row r="1218" spans="1:4" x14ac:dyDescent="0.25">
      <c r="A1218">
        <v>180000</v>
      </c>
      <c r="B1218">
        <v>67500</v>
      </c>
      <c r="C1218">
        <v>0</v>
      </c>
      <c r="D1218">
        <v>1</v>
      </c>
    </row>
    <row r="1219" spans="1:4" x14ac:dyDescent="0.25">
      <c r="A1219">
        <v>90000</v>
      </c>
      <c r="B1219">
        <v>21168</v>
      </c>
      <c r="C1219">
        <v>0</v>
      </c>
      <c r="D1219">
        <v>0</v>
      </c>
    </row>
    <row r="1220" spans="1:4" x14ac:dyDescent="0.25">
      <c r="A1220">
        <v>67500</v>
      </c>
      <c r="B1220">
        <v>22140</v>
      </c>
      <c r="C1220">
        <v>2475</v>
      </c>
      <c r="D1220">
        <v>0</v>
      </c>
    </row>
    <row r="1221" spans="1:4" x14ac:dyDescent="0.25">
      <c r="A1221">
        <v>112500</v>
      </c>
      <c r="B1221">
        <v>65866.5</v>
      </c>
      <c r="C1221">
        <v>6588</v>
      </c>
      <c r="D1221">
        <v>0</v>
      </c>
    </row>
    <row r="1222" spans="1:4" x14ac:dyDescent="0.25">
      <c r="A1222">
        <v>112500</v>
      </c>
      <c r="B1222">
        <v>50350.5</v>
      </c>
      <c r="C1222">
        <v>10350</v>
      </c>
      <c r="D1222">
        <v>0</v>
      </c>
    </row>
    <row r="1223" spans="1:4" x14ac:dyDescent="0.25">
      <c r="A1223">
        <v>112500</v>
      </c>
      <c r="B1223">
        <v>122985</v>
      </c>
      <c r="C1223">
        <v>0</v>
      </c>
      <c r="D1223">
        <v>0</v>
      </c>
    </row>
    <row r="1224" spans="1:4" x14ac:dyDescent="0.25">
      <c r="A1224">
        <v>202500</v>
      </c>
      <c r="B1224">
        <v>38358</v>
      </c>
      <c r="C1224">
        <v>0</v>
      </c>
      <c r="D1224">
        <v>0</v>
      </c>
    </row>
    <row r="1225" spans="1:4" x14ac:dyDescent="0.25">
      <c r="A1225">
        <v>225000</v>
      </c>
      <c r="B1225">
        <v>138442.5</v>
      </c>
      <c r="C1225">
        <v>13846.5</v>
      </c>
      <c r="D1225">
        <v>0</v>
      </c>
    </row>
    <row r="1226" spans="1:4" x14ac:dyDescent="0.25">
      <c r="A1226">
        <v>225000</v>
      </c>
      <c r="B1226">
        <v>126270</v>
      </c>
      <c r="C1226">
        <v>12627</v>
      </c>
      <c r="D1226">
        <v>0</v>
      </c>
    </row>
    <row r="1227" spans="1:4" x14ac:dyDescent="0.25">
      <c r="A1227">
        <v>225000</v>
      </c>
      <c r="B1227">
        <v>106186.5</v>
      </c>
      <c r="C1227">
        <v>10620</v>
      </c>
      <c r="D1227">
        <v>0</v>
      </c>
    </row>
    <row r="1228" spans="1:4" x14ac:dyDescent="0.25">
      <c r="A1228">
        <v>225000</v>
      </c>
      <c r="B1228">
        <v>106186.5</v>
      </c>
      <c r="C1228">
        <v>10620</v>
      </c>
      <c r="D1228">
        <v>1</v>
      </c>
    </row>
    <row r="1229" spans="1:4" x14ac:dyDescent="0.25">
      <c r="A1229">
        <v>315000</v>
      </c>
      <c r="B1229">
        <v>191250</v>
      </c>
      <c r="C1229">
        <v>112500</v>
      </c>
      <c r="D1229">
        <v>0</v>
      </c>
    </row>
    <row r="1230" spans="1:4" x14ac:dyDescent="0.25">
      <c r="A1230">
        <v>135000</v>
      </c>
      <c r="B1230">
        <v>104985</v>
      </c>
      <c r="C1230">
        <v>0</v>
      </c>
      <c r="D1230">
        <v>0</v>
      </c>
    </row>
    <row r="1231" spans="1:4" x14ac:dyDescent="0.25">
      <c r="A1231">
        <v>135000</v>
      </c>
      <c r="B1231">
        <v>119965.5</v>
      </c>
      <c r="C1231">
        <v>0</v>
      </c>
      <c r="D1231">
        <v>0</v>
      </c>
    </row>
    <row r="1232" spans="1:4" x14ac:dyDescent="0.25">
      <c r="A1232">
        <v>238500</v>
      </c>
      <c r="B1232">
        <v>89550</v>
      </c>
      <c r="C1232">
        <v>8955</v>
      </c>
      <c r="D1232">
        <v>0</v>
      </c>
    </row>
    <row r="1233" spans="1:4" x14ac:dyDescent="0.25">
      <c r="A1233">
        <v>238500</v>
      </c>
      <c r="B1233">
        <v>123804</v>
      </c>
      <c r="C1233">
        <v>0</v>
      </c>
      <c r="D1233">
        <v>0</v>
      </c>
    </row>
    <row r="1234" spans="1:4" x14ac:dyDescent="0.25">
      <c r="A1234">
        <v>238500</v>
      </c>
      <c r="B1234">
        <v>31455</v>
      </c>
      <c r="C1234">
        <v>3145.5</v>
      </c>
      <c r="D1234">
        <v>0</v>
      </c>
    </row>
    <row r="1235" spans="1:4" x14ac:dyDescent="0.25">
      <c r="A1235">
        <v>238500</v>
      </c>
      <c r="B1235">
        <v>102897</v>
      </c>
      <c r="C1235">
        <v>10291.5</v>
      </c>
      <c r="D1235">
        <v>0</v>
      </c>
    </row>
    <row r="1236" spans="1:4" x14ac:dyDescent="0.25">
      <c r="A1236">
        <v>112500</v>
      </c>
      <c r="B1236">
        <v>54000</v>
      </c>
      <c r="C1236">
        <v>0</v>
      </c>
      <c r="D1236">
        <v>1</v>
      </c>
    </row>
    <row r="1237" spans="1:4" x14ac:dyDescent="0.25">
      <c r="A1237">
        <v>112500</v>
      </c>
      <c r="B1237">
        <v>54000</v>
      </c>
      <c r="C1237">
        <v>0</v>
      </c>
      <c r="D1237">
        <v>0</v>
      </c>
    </row>
    <row r="1238" spans="1:4" x14ac:dyDescent="0.25">
      <c r="A1238">
        <v>135000</v>
      </c>
      <c r="B1238">
        <v>42750</v>
      </c>
      <c r="C1238">
        <v>8550</v>
      </c>
      <c r="D1238">
        <v>0</v>
      </c>
    </row>
    <row r="1239" spans="1:4" x14ac:dyDescent="0.25">
      <c r="A1239">
        <v>315000</v>
      </c>
      <c r="B1239">
        <v>436234.5</v>
      </c>
      <c r="C1239">
        <v>130873.5</v>
      </c>
      <c r="D1239">
        <v>0</v>
      </c>
    </row>
    <row r="1240" spans="1:4" x14ac:dyDescent="0.25">
      <c r="A1240">
        <v>67500</v>
      </c>
      <c r="B1240">
        <v>86296.5</v>
      </c>
      <c r="C1240">
        <v>0</v>
      </c>
      <c r="D1240">
        <v>0</v>
      </c>
    </row>
    <row r="1241" spans="1:4" x14ac:dyDescent="0.25">
      <c r="A1241">
        <v>67500</v>
      </c>
      <c r="B1241">
        <v>111960</v>
      </c>
      <c r="C1241">
        <v>0</v>
      </c>
      <c r="D1241">
        <v>0</v>
      </c>
    </row>
    <row r="1242" spans="1:4" x14ac:dyDescent="0.25">
      <c r="A1242">
        <v>195750</v>
      </c>
      <c r="B1242">
        <v>142992</v>
      </c>
      <c r="C1242">
        <v>0</v>
      </c>
      <c r="D1242">
        <v>0</v>
      </c>
    </row>
    <row r="1243" spans="1:4" x14ac:dyDescent="0.25">
      <c r="A1243">
        <v>195750</v>
      </c>
      <c r="B1243">
        <v>199800</v>
      </c>
      <c r="C1243">
        <v>0</v>
      </c>
      <c r="D1243">
        <v>0</v>
      </c>
    </row>
    <row r="1244" spans="1:4" x14ac:dyDescent="0.25">
      <c r="A1244">
        <v>195750</v>
      </c>
      <c r="B1244">
        <v>135000</v>
      </c>
      <c r="C1244">
        <v>0</v>
      </c>
      <c r="D1244">
        <v>0</v>
      </c>
    </row>
    <row r="1245" spans="1:4" x14ac:dyDescent="0.25">
      <c r="A1245">
        <v>112500</v>
      </c>
      <c r="B1245">
        <v>146736</v>
      </c>
      <c r="C1245">
        <v>0</v>
      </c>
      <c r="D1245">
        <v>1</v>
      </c>
    </row>
    <row r="1246" spans="1:4" x14ac:dyDescent="0.25">
      <c r="A1246">
        <v>112500</v>
      </c>
      <c r="B1246">
        <v>149017.5</v>
      </c>
      <c r="C1246">
        <v>14904</v>
      </c>
      <c r="D1246">
        <v>0</v>
      </c>
    </row>
    <row r="1247" spans="1:4" x14ac:dyDescent="0.25">
      <c r="A1247">
        <v>112500</v>
      </c>
      <c r="B1247">
        <v>60655.5</v>
      </c>
      <c r="C1247">
        <v>0</v>
      </c>
      <c r="D1247">
        <v>0</v>
      </c>
    </row>
    <row r="1248" spans="1:4" x14ac:dyDescent="0.25">
      <c r="A1248">
        <v>112500</v>
      </c>
      <c r="B1248">
        <v>128479.5</v>
      </c>
      <c r="C1248">
        <v>13500</v>
      </c>
      <c r="D1248">
        <v>0</v>
      </c>
    </row>
    <row r="1249" spans="1:4" x14ac:dyDescent="0.25">
      <c r="A1249">
        <v>112500</v>
      </c>
      <c r="B1249">
        <v>126863.28</v>
      </c>
      <c r="C1249">
        <v>0</v>
      </c>
      <c r="D1249">
        <v>0</v>
      </c>
    </row>
    <row r="1250" spans="1:4" x14ac:dyDescent="0.25">
      <c r="A1250">
        <v>67500</v>
      </c>
      <c r="B1250">
        <v>99625.5</v>
      </c>
      <c r="C1250">
        <v>0</v>
      </c>
      <c r="D1250">
        <v>0</v>
      </c>
    </row>
    <row r="1251" spans="1:4" x14ac:dyDescent="0.25">
      <c r="A1251">
        <v>247500</v>
      </c>
      <c r="B1251">
        <v>94500</v>
      </c>
      <c r="C1251">
        <v>0</v>
      </c>
      <c r="D1251">
        <v>0</v>
      </c>
    </row>
    <row r="1252" spans="1:4" x14ac:dyDescent="0.25">
      <c r="A1252">
        <v>247500</v>
      </c>
      <c r="B1252">
        <v>450000</v>
      </c>
      <c r="C1252">
        <v>0</v>
      </c>
      <c r="D1252">
        <v>0</v>
      </c>
    </row>
    <row r="1253" spans="1:4" x14ac:dyDescent="0.25">
      <c r="A1253">
        <v>247500</v>
      </c>
      <c r="B1253">
        <v>63000</v>
      </c>
      <c r="C1253">
        <v>0</v>
      </c>
      <c r="D1253">
        <v>1</v>
      </c>
    </row>
    <row r="1254" spans="1:4" x14ac:dyDescent="0.25">
      <c r="A1254">
        <v>180000</v>
      </c>
      <c r="B1254">
        <v>19935</v>
      </c>
      <c r="C1254">
        <v>1993.5</v>
      </c>
      <c r="D1254">
        <v>0</v>
      </c>
    </row>
    <row r="1255" spans="1:4" x14ac:dyDescent="0.25">
      <c r="A1255">
        <v>315000</v>
      </c>
      <c r="B1255">
        <v>65300.4</v>
      </c>
      <c r="C1255">
        <v>13059.9</v>
      </c>
      <c r="D1255">
        <v>0</v>
      </c>
    </row>
    <row r="1256" spans="1:4" x14ac:dyDescent="0.25">
      <c r="A1256">
        <v>157500</v>
      </c>
      <c r="B1256">
        <v>30946.5</v>
      </c>
      <c r="C1256">
        <v>3096</v>
      </c>
      <c r="D1256">
        <v>0</v>
      </c>
    </row>
    <row r="1257" spans="1:4" x14ac:dyDescent="0.25">
      <c r="A1257">
        <v>157500</v>
      </c>
      <c r="B1257">
        <v>315000</v>
      </c>
      <c r="C1257">
        <v>0</v>
      </c>
      <c r="D1257">
        <v>0</v>
      </c>
    </row>
    <row r="1258" spans="1:4" x14ac:dyDescent="0.25">
      <c r="A1258">
        <v>67500</v>
      </c>
      <c r="B1258">
        <v>31720.5</v>
      </c>
      <c r="C1258">
        <v>7650</v>
      </c>
      <c r="D1258">
        <v>0</v>
      </c>
    </row>
    <row r="1259" spans="1:4" x14ac:dyDescent="0.25">
      <c r="A1259">
        <v>67500</v>
      </c>
      <c r="B1259">
        <v>26010</v>
      </c>
      <c r="C1259">
        <v>0</v>
      </c>
      <c r="D1259">
        <v>1</v>
      </c>
    </row>
    <row r="1260" spans="1:4" x14ac:dyDescent="0.25">
      <c r="A1260">
        <v>67500</v>
      </c>
      <c r="B1260">
        <v>26010</v>
      </c>
      <c r="C1260">
        <v>0</v>
      </c>
      <c r="D1260">
        <v>1</v>
      </c>
    </row>
    <row r="1261" spans="1:4" x14ac:dyDescent="0.25">
      <c r="A1261">
        <v>112500</v>
      </c>
      <c r="B1261">
        <v>35955</v>
      </c>
      <c r="C1261">
        <v>9000</v>
      </c>
      <c r="D1261">
        <v>0</v>
      </c>
    </row>
    <row r="1262" spans="1:4" x14ac:dyDescent="0.25">
      <c r="A1262">
        <v>112500</v>
      </c>
      <c r="B1262">
        <v>51750</v>
      </c>
      <c r="C1262">
        <v>9000</v>
      </c>
      <c r="D1262">
        <v>0</v>
      </c>
    </row>
    <row r="1263" spans="1:4" x14ac:dyDescent="0.25">
      <c r="A1263">
        <v>112500</v>
      </c>
      <c r="B1263">
        <v>16065</v>
      </c>
      <c r="C1263">
        <v>2565</v>
      </c>
      <c r="D1263">
        <v>0</v>
      </c>
    </row>
    <row r="1264" spans="1:4" x14ac:dyDescent="0.25">
      <c r="A1264">
        <v>112500</v>
      </c>
      <c r="B1264">
        <v>23220</v>
      </c>
      <c r="C1264">
        <v>2322</v>
      </c>
      <c r="D1264">
        <v>0</v>
      </c>
    </row>
    <row r="1265" spans="1:4" x14ac:dyDescent="0.25">
      <c r="A1265">
        <v>202500</v>
      </c>
      <c r="B1265">
        <v>54900</v>
      </c>
      <c r="C1265">
        <v>5490</v>
      </c>
      <c r="D1265">
        <v>0</v>
      </c>
    </row>
    <row r="1266" spans="1:4" x14ac:dyDescent="0.25">
      <c r="A1266">
        <v>99000</v>
      </c>
      <c r="B1266">
        <v>33273</v>
      </c>
      <c r="C1266">
        <v>0</v>
      </c>
      <c r="D1266">
        <v>0</v>
      </c>
    </row>
    <row r="1267" spans="1:4" x14ac:dyDescent="0.25">
      <c r="A1267">
        <v>99000</v>
      </c>
      <c r="B1267">
        <v>22185</v>
      </c>
      <c r="C1267">
        <v>0</v>
      </c>
      <c r="D1267">
        <v>0</v>
      </c>
    </row>
    <row r="1268" spans="1:4" x14ac:dyDescent="0.25">
      <c r="A1268">
        <v>99000</v>
      </c>
      <c r="B1268">
        <v>50670</v>
      </c>
      <c r="C1268">
        <v>0</v>
      </c>
      <c r="D1268">
        <v>0</v>
      </c>
    </row>
    <row r="1269" spans="1:4" x14ac:dyDescent="0.25">
      <c r="A1269">
        <v>99000</v>
      </c>
      <c r="B1269">
        <v>57141</v>
      </c>
      <c r="C1269">
        <v>0</v>
      </c>
      <c r="D1269">
        <v>0</v>
      </c>
    </row>
    <row r="1270" spans="1:4" x14ac:dyDescent="0.25">
      <c r="A1270">
        <v>157500</v>
      </c>
      <c r="B1270">
        <v>51660</v>
      </c>
      <c r="C1270">
        <v>10332</v>
      </c>
      <c r="D1270">
        <v>0</v>
      </c>
    </row>
    <row r="1271" spans="1:4" x14ac:dyDescent="0.25">
      <c r="A1271">
        <v>135000</v>
      </c>
      <c r="B1271">
        <v>307912.5</v>
      </c>
      <c r="C1271">
        <v>61582.5</v>
      </c>
      <c r="D1271">
        <v>0</v>
      </c>
    </row>
    <row r="1272" spans="1:4" x14ac:dyDescent="0.25">
      <c r="A1272">
        <v>135000</v>
      </c>
      <c r="B1272">
        <v>116955</v>
      </c>
      <c r="C1272">
        <v>46800</v>
      </c>
      <c r="D1272">
        <v>0</v>
      </c>
    </row>
    <row r="1273" spans="1:4" x14ac:dyDescent="0.25">
      <c r="A1273">
        <v>135000</v>
      </c>
      <c r="B1273">
        <v>116955</v>
      </c>
      <c r="C1273">
        <v>22500</v>
      </c>
      <c r="D1273">
        <v>1</v>
      </c>
    </row>
    <row r="1274" spans="1:4" x14ac:dyDescent="0.25">
      <c r="A1274">
        <v>135000</v>
      </c>
      <c r="B1274">
        <v>55530</v>
      </c>
      <c r="C1274">
        <v>0</v>
      </c>
      <c r="D1274">
        <v>0</v>
      </c>
    </row>
    <row r="1275" spans="1:4" x14ac:dyDescent="0.25">
      <c r="A1275">
        <v>90000</v>
      </c>
      <c r="B1275">
        <v>22801.5</v>
      </c>
      <c r="C1275">
        <v>2281.5</v>
      </c>
      <c r="D1275">
        <v>0</v>
      </c>
    </row>
    <row r="1276" spans="1:4" x14ac:dyDescent="0.25">
      <c r="A1276">
        <v>90000</v>
      </c>
      <c r="B1276">
        <v>94094.595000000001</v>
      </c>
      <c r="C1276">
        <v>9454.0949999999993</v>
      </c>
      <c r="D1276">
        <v>0</v>
      </c>
    </row>
    <row r="1277" spans="1:4" x14ac:dyDescent="0.25">
      <c r="A1277">
        <v>225000</v>
      </c>
      <c r="B1277">
        <v>86728.5</v>
      </c>
      <c r="C1277">
        <v>0</v>
      </c>
      <c r="D1277">
        <v>0</v>
      </c>
    </row>
    <row r="1278" spans="1:4" x14ac:dyDescent="0.25">
      <c r="A1278">
        <v>225000</v>
      </c>
      <c r="B1278">
        <v>80685</v>
      </c>
      <c r="C1278">
        <v>4500</v>
      </c>
      <c r="D1278">
        <v>0</v>
      </c>
    </row>
    <row r="1279" spans="1:4" x14ac:dyDescent="0.25">
      <c r="A1279">
        <v>225000</v>
      </c>
      <c r="B1279">
        <v>57100.5</v>
      </c>
      <c r="C1279">
        <v>9000</v>
      </c>
      <c r="D1279">
        <v>0</v>
      </c>
    </row>
    <row r="1280" spans="1:4" x14ac:dyDescent="0.25">
      <c r="A1280">
        <v>162000</v>
      </c>
      <c r="B1280">
        <v>55350</v>
      </c>
      <c r="C1280">
        <v>0</v>
      </c>
      <c r="D1280">
        <v>0</v>
      </c>
    </row>
    <row r="1281" spans="1:4" x14ac:dyDescent="0.25">
      <c r="A1281">
        <v>135000</v>
      </c>
      <c r="B1281">
        <v>29880</v>
      </c>
      <c r="C1281">
        <v>1485</v>
      </c>
      <c r="D1281">
        <v>0</v>
      </c>
    </row>
    <row r="1282" spans="1:4" x14ac:dyDescent="0.25">
      <c r="A1282">
        <v>202500</v>
      </c>
      <c r="B1282">
        <v>30915</v>
      </c>
      <c r="C1282">
        <v>0</v>
      </c>
      <c r="D1282">
        <v>0</v>
      </c>
    </row>
    <row r="1283" spans="1:4" x14ac:dyDescent="0.25">
      <c r="A1283">
        <v>202500</v>
      </c>
      <c r="B1283">
        <v>71039.16</v>
      </c>
      <c r="C1283">
        <v>0</v>
      </c>
      <c r="D1283">
        <v>0</v>
      </c>
    </row>
    <row r="1284" spans="1:4" x14ac:dyDescent="0.25">
      <c r="A1284">
        <v>121500</v>
      </c>
      <c r="B1284">
        <v>103184.55</v>
      </c>
      <c r="C1284">
        <v>4.05</v>
      </c>
      <c r="D1284">
        <v>0</v>
      </c>
    </row>
    <row r="1285" spans="1:4" x14ac:dyDescent="0.25">
      <c r="A1285">
        <v>112500</v>
      </c>
      <c r="B1285">
        <v>20191.5</v>
      </c>
      <c r="C1285">
        <v>0</v>
      </c>
      <c r="D1285">
        <v>0</v>
      </c>
    </row>
    <row r="1286" spans="1:4" x14ac:dyDescent="0.25">
      <c r="A1286">
        <v>225000</v>
      </c>
      <c r="B1286">
        <v>354330</v>
      </c>
      <c r="C1286">
        <v>35433</v>
      </c>
      <c r="D1286">
        <v>1</v>
      </c>
    </row>
    <row r="1287" spans="1:4" x14ac:dyDescent="0.25">
      <c r="A1287">
        <v>225000</v>
      </c>
      <c r="B1287">
        <v>124200</v>
      </c>
      <c r="C1287">
        <v>0</v>
      </c>
      <c r="D1287">
        <v>0</v>
      </c>
    </row>
    <row r="1288" spans="1:4" x14ac:dyDescent="0.25">
      <c r="A1288">
        <v>67500</v>
      </c>
      <c r="B1288">
        <v>26235</v>
      </c>
      <c r="C1288">
        <v>0</v>
      </c>
      <c r="D1288">
        <v>0</v>
      </c>
    </row>
    <row r="1289" spans="1:4" x14ac:dyDescent="0.25">
      <c r="A1289">
        <v>67500</v>
      </c>
      <c r="B1289">
        <v>35865</v>
      </c>
      <c r="C1289">
        <v>3600</v>
      </c>
      <c r="D1289">
        <v>0</v>
      </c>
    </row>
    <row r="1290" spans="1:4" x14ac:dyDescent="0.25">
      <c r="A1290">
        <v>225000</v>
      </c>
      <c r="B1290">
        <v>206991</v>
      </c>
      <c r="C1290">
        <v>9000</v>
      </c>
      <c r="D1290">
        <v>1</v>
      </c>
    </row>
    <row r="1291" spans="1:4" x14ac:dyDescent="0.25">
      <c r="A1291">
        <v>225000</v>
      </c>
      <c r="B1291">
        <v>25375.5</v>
      </c>
      <c r="C1291">
        <v>2538</v>
      </c>
      <c r="D1291">
        <v>0</v>
      </c>
    </row>
    <row r="1292" spans="1:4" x14ac:dyDescent="0.25">
      <c r="A1292">
        <v>225000</v>
      </c>
      <c r="B1292">
        <v>121365</v>
      </c>
      <c r="C1292">
        <v>18810</v>
      </c>
      <c r="D1292">
        <v>0</v>
      </c>
    </row>
    <row r="1293" spans="1:4" x14ac:dyDescent="0.25">
      <c r="A1293">
        <v>225000</v>
      </c>
      <c r="B1293">
        <v>51120</v>
      </c>
      <c r="C1293">
        <v>5175</v>
      </c>
      <c r="D1293">
        <v>0</v>
      </c>
    </row>
    <row r="1294" spans="1:4" x14ac:dyDescent="0.25">
      <c r="A1294">
        <v>225000</v>
      </c>
      <c r="B1294">
        <v>114660</v>
      </c>
      <c r="C1294">
        <v>0</v>
      </c>
      <c r="D1294">
        <v>1</v>
      </c>
    </row>
    <row r="1295" spans="1:4" x14ac:dyDescent="0.25">
      <c r="A1295">
        <v>157500</v>
      </c>
      <c r="B1295">
        <v>31495.5</v>
      </c>
      <c r="C1295">
        <v>0</v>
      </c>
      <c r="D1295">
        <v>0</v>
      </c>
    </row>
    <row r="1296" spans="1:4" x14ac:dyDescent="0.25">
      <c r="A1296">
        <v>157500</v>
      </c>
      <c r="B1296">
        <v>58135.5</v>
      </c>
      <c r="C1296">
        <v>9000</v>
      </c>
      <c r="D1296">
        <v>0</v>
      </c>
    </row>
    <row r="1297" spans="1:4" x14ac:dyDescent="0.25">
      <c r="A1297">
        <v>180000</v>
      </c>
      <c r="B1297">
        <v>62095.5</v>
      </c>
      <c r="C1297">
        <v>6210</v>
      </c>
      <c r="D1297">
        <v>0</v>
      </c>
    </row>
    <row r="1298" spans="1:4" x14ac:dyDescent="0.25">
      <c r="A1298">
        <v>180000</v>
      </c>
      <c r="B1298">
        <v>66582</v>
      </c>
      <c r="C1298">
        <v>0</v>
      </c>
      <c r="D1298">
        <v>0</v>
      </c>
    </row>
    <row r="1299" spans="1:4" x14ac:dyDescent="0.25">
      <c r="A1299">
        <v>180000</v>
      </c>
      <c r="B1299">
        <v>134959.23000000001</v>
      </c>
      <c r="C1299">
        <v>13499.73</v>
      </c>
      <c r="D1299">
        <v>0</v>
      </c>
    </row>
    <row r="1300" spans="1:4" x14ac:dyDescent="0.25">
      <c r="A1300">
        <v>180000</v>
      </c>
      <c r="B1300">
        <v>137520</v>
      </c>
      <c r="C1300">
        <v>13752</v>
      </c>
      <c r="D1300">
        <v>0</v>
      </c>
    </row>
    <row r="1301" spans="1:4" x14ac:dyDescent="0.25">
      <c r="A1301">
        <v>540000</v>
      </c>
      <c r="B1301">
        <v>31855.5</v>
      </c>
      <c r="C1301">
        <v>13500</v>
      </c>
      <c r="D1301">
        <v>0</v>
      </c>
    </row>
    <row r="1302" spans="1:4" x14ac:dyDescent="0.25">
      <c r="A1302">
        <v>173250</v>
      </c>
      <c r="B1302">
        <v>47241</v>
      </c>
      <c r="C1302">
        <v>6750</v>
      </c>
      <c r="D1302">
        <v>0</v>
      </c>
    </row>
    <row r="1303" spans="1:4" x14ac:dyDescent="0.25">
      <c r="A1303">
        <v>121500</v>
      </c>
      <c r="B1303">
        <v>108000</v>
      </c>
      <c r="C1303">
        <v>10800</v>
      </c>
      <c r="D1303">
        <v>1</v>
      </c>
    </row>
    <row r="1304" spans="1:4" x14ac:dyDescent="0.25">
      <c r="A1304">
        <v>121500</v>
      </c>
      <c r="B1304">
        <v>33660</v>
      </c>
      <c r="C1304">
        <v>0</v>
      </c>
      <c r="D1304">
        <v>1</v>
      </c>
    </row>
    <row r="1305" spans="1:4" x14ac:dyDescent="0.25">
      <c r="A1305">
        <v>121500</v>
      </c>
      <c r="B1305">
        <v>108000</v>
      </c>
      <c r="C1305">
        <v>10800</v>
      </c>
      <c r="D1305">
        <v>1</v>
      </c>
    </row>
    <row r="1306" spans="1:4" x14ac:dyDescent="0.25">
      <c r="A1306">
        <v>121500</v>
      </c>
      <c r="B1306">
        <v>108000</v>
      </c>
      <c r="C1306">
        <v>10800</v>
      </c>
      <c r="D1306">
        <v>1</v>
      </c>
    </row>
    <row r="1307" spans="1:4" x14ac:dyDescent="0.25">
      <c r="A1307">
        <v>121500</v>
      </c>
      <c r="B1307">
        <v>31977</v>
      </c>
      <c r="C1307">
        <v>0</v>
      </c>
      <c r="D1307">
        <v>1</v>
      </c>
    </row>
    <row r="1308" spans="1:4" x14ac:dyDescent="0.25">
      <c r="A1308">
        <v>121500</v>
      </c>
      <c r="B1308">
        <v>24705</v>
      </c>
      <c r="C1308">
        <v>0</v>
      </c>
      <c r="D1308">
        <v>0</v>
      </c>
    </row>
    <row r="1309" spans="1:4" x14ac:dyDescent="0.25">
      <c r="A1309">
        <v>121500</v>
      </c>
      <c r="B1309">
        <v>147024</v>
      </c>
      <c r="C1309">
        <v>14706</v>
      </c>
      <c r="D1309">
        <v>0</v>
      </c>
    </row>
    <row r="1310" spans="1:4" x14ac:dyDescent="0.25">
      <c r="A1310">
        <v>121500</v>
      </c>
      <c r="B1310">
        <v>102221.595</v>
      </c>
      <c r="C1310">
        <v>4.0949999999999998</v>
      </c>
      <c r="D1310">
        <v>0</v>
      </c>
    </row>
    <row r="1311" spans="1:4" x14ac:dyDescent="0.25">
      <c r="A1311">
        <v>121500</v>
      </c>
      <c r="B1311">
        <v>71955</v>
      </c>
      <c r="C1311">
        <v>13500</v>
      </c>
      <c r="D1311">
        <v>0</v>
      </c>
    </row>
    <row r="1312" spans="1:4" x14ac:dyDescent="0.25">
      <c r="A1312">
        <v>121500</v>
      </c>
      <c r="B1312">
        <v>234135.09</v>
      </c>
      <c r="C1312">
        <v>23413.59</v>
      </c>
      <c r="D1312">
        <v>0</v>
      </c>
    </row>
    <row r="1313" spans="1:4" x14ac:dyDescent="0.25">
      <c r="A1313">
        <v>126000</v>
      </c>
      <c r="B1313">
        <v>19435.5</v>
      </c>
      <c r="C1313">
        <v>1944</v>
      </c>
      <c r="D1313">
        <v>0</v>
      </c>
    </row>
    <row r="1314" spans="1:4" x14ac:dyDescent="0.25">
      <c r="A1314">
        <v>202500</v>
      </c>
      <c r="B1314">
        <v>74155.5</v>
      </c>
      <c r="C1314">
        <v>0</v>
      </c>
      <c r="D1314">
        <v>0</v>
      </c>
    </row>
    <row r="1315" spans="1:4" x14ac:dyDescent="0.25">
      <c r="A1315">
        <v>90000</v>
      </c>
      <c r="B1315">
        <v>26487</v>
      </c>
      <c r="C1315">
        <v>0</v>
      </c>
      <c r="D1315">
        <v>0</v>
      </c>
    </row>
    <row r="1316" spans="1:4" x14ac:dyDescent="0.25">
      <c r="A1316">
        <v>90000</v>
      </c>
      <c r="B1316">
        <v>100498.5</v>
      </c>
      <c r="C1316">
        <v>5850</v>
      </c>
      <c r="D1316">
        <v>1</v>
      </c>
    </row>
    <row r="1317" spans="1:4" x14ac:dyDescent="0.25">
      <c r="A1317">
        <v>90000</v>
      </c>
      <c r="B1317">
        <v>26505</v>
      </c>
      <c r="C1317">
        <v>2655</v>
      </c>
      <c r="D1317">
        <v>0</v>
      </c>
    </row>
    <row r="1318" spans="1:4" x14ac:dyDescent="0.25">
      <c r="A1318">
        <v>90000</v>
      </c>
      <c r="B1318">
        <v>98883</v>
      </c>
      <c r="C1318">
        <v>5850</v>
      </c>
      <c r="D1318">
        <v>1</v>
      </c>
    </row>
    <row r="1319" spans="1:4" x14ac:dyDescent="0.25">
      <c r="A1319">
        <v>90000</v>
      </c>
      <c r="B1319">
        <v>122755.5</v>
      </c>
      <c r="C1319">
        <v>0</v>
      </c>
      <c r="D1319">
        <v>0</v>
      </c>
    </row>
    <row r="1320" spans="1:4" x14ac:dyDescent="0.25">
      <c r="A1320">
        <v>90000</v>
      </c>
      <c r="B1320">
        <v>98883</v>
      </c>
      <c r="C1320">
        <v>5850</v>
      </c>
      <c r="D1320">
        <v>1</v>
      </c>
    </row>
    <row r="1321" spans="1:4" x14ac:dyDescent="0.25">
      <c r="A1321">
        <v>90000</v>
      </c>
      <c r="B1321">
        <v>122755.5</v>
      </c>
      <c r="C1321">
        <v>0</v>
      </c>
      <c r="D1321">
        <v>0</v>
      </c>
    </row>
    <row r="1322" spans="1:4" x14ac:dyDescent="0.25">
      <c r="A1322">
        <v>90000</v>
      </c>
      <c r="B1322">
        <v>28071</v>
      </c>
      <c r="C1322">
        <v>0</v>
      </c>
      <c r="D1322">
        <v>1</v>
      </c>
    </row>
    <row r="1323" spans="1:4" x14ac:dyDescent="0.25">
      <c r="A1323">
        <v>90000</v>
      </c>
      <c r="B1323">
        <v>68521.5</v>
      </c>
      <c r="C1323">
        <v>9000</v>
      </c>
      <c r="D1323">
        <v>0</v>
      </c>
    </row>
    <row r="1324" spans="1:4" x14ac:dyDescent="0.25">
      <c r="A1324">
        <v>90000</v>
      </c>
      <c r="B1324">
        <v>140728.5</v>
      </c>
      <c r="C1324">
        <v>0</v>
      </c>
      <c r="D1324">
        <v>0</v>
      </c>
    </row>
    <row r="1325" spans="1:4" x14ac:dyDescent="0.25">
      <c r="A1325">
        <v>90000</v>
      </c>
      <c r="B1325">
        <v>66600</v>
      </c>
      <c r="C1325">
        <v>0</v>
      </c>
      <c r="D1325">
        <v>0</v>
      </c>
    </row>
    <row r="1326" spans="1:4" x14ac:dyDescent="0.25">
      <c r="A1326">
        <v>270000</v>
      </c>
      <c r="B1326">
        <v>15300</v>
      </c>
      <c r="C1326">
        <v>1530</v>
      </c>
      <c r="D1326">
        <v>0</v>
      </c>
    </row>
    <row r="1327" spans="1:4" x14ac:dyDescent="0.25">
      <c r="A1327">
        <v>157500</v>
      </c>
      <c r="B1327">
        <v>95926.5</v>
      </c>
      <c r="C1327">
        <v>9594</v>
      </c>
      <c r="D1327">
        <v>0</v>
      </c>
    </row>
    <row r="1328" spans="1:4" x14ac:dyDescent="0.25">
      <c r="A1328">
        <v>157500</v>
      </c>
      <c r="B1328">
        <v>155785.5</v>
      </c>
      <c r="C1328">
        <v>23377.5</v>
      </c>
      <c r="D1328">
        <v>1</v>
      </c>
    </row>
    <row r="1329" spans="1:4" x14ac:dyDescent="0.25">
      <c r="A1329">
        <v>135000</v>
      </c>
      <c r="B1329">
        <v>132615</v>
      </c>
      <c r="C1329">
        <v>0</v>
      </c>
      <c r="D1329">
        <v>0</v>
      </c>
    </row>
    <row r="1330" spans="1:4" x14ac:dyDescent="0.25">
      <c r="A1330">
        <v>135000</v>
      </c>
      <c r="B1330">
        <v>62955</v>
      </c>
      <c r="C1330">
        <v>0</v>
      </c>
      <c r="D1330">
        <v>0</v>
      </c>
    </row>
    <row r="1331" spans="1:4" x14ac:dyDescent="0.25">
      <c r="A1331">
        <v>135000</v>
      </c>
      <c r="B1331">
        <v>85536</v>
      </c>
      <c r="C1331">
        <v>0</v>
      </c>
      <c r="D1331">
        <v>1</v>
      </c>
    </row>
    <row r="1332" spans="1:4" x14ac:dyDescent="0.25">
      <c r="A1332">
        <v>157500</v>
      </c>
      <c r="B1332">
        <v>53707.5</v>
      </c>
      <c r="C1332">
        <v>5373</v>
      </c>
      <c r="D1332">
        <v>0</v>
      </c>
    </row>
    <row r="1333" spans="1:4" x14ac:dyDescent="0.25">
      <c r="A1333">
        <v>157500</v>
      </c>
      <c r="B1333">
        <v>18855</v>
      </c>
      <c r="C1333">
        <v>2835</v>
      </c>
      <c r="D1333">
        <v>0</v>
      </c>
    </row>
    <row r="1334" spans="1:4" x14ac:dyDescent="0.25">
      <c r="A1334">
        <v>157500</v>
      </c>
      <c r="B1334">
        <v>56205</v>
      </c>
      <c r="C1334">
        <v>5620.5</v>
      </c>
      <c r="D1334">
        <v>0</v>
      </c>
    </row>
    <row r="1335" spans="1:4" x14ac:dyDescent="0.25">
      <c r="A1335">
        <v>157500</v>
      </c>
      <c r="B1335">
        <v>28750.5</v>
      </c>
      <c r="C1335">
        <v>6750</v>
      </c>
      <c r="D1335">
        <v>0</v>
      </c>
    </row>
    <row r="1336" spans="1:4" x14ac:dyDescent="0.25">
      <c r="A1336">
        <v>112500</v>
      </c>
      <c r="B1336">
        <v>112500</v>
      </c>
      <c r="C1336">
        <v>0</v>
      </c>
      <c r="D1336">
        <v>0</v>
      </c>
    </row>
    <row r="1337" spans="1:4" x14ac:dyDescent="0.25">
      <c r="A1337">
        <v>112500</v>
      </c>
      <c r="B1337">
        <v>90000</v>
      </c>
      <c r="C1337">
        <v>0</v>
      </c>
      <c r="D1337">
        <v>0</v>
      </c>
    </row>
    <row r="1338" spans="1:4" x14ac:dyDescent="0.25">
      <c r="A1338">
        <v>180000</v>
      </c>
      <c r="B1338">
        <v>235782</v>
      </c>
      <c r="C1338">
        <v>0</v>
      </c>
      <c r="D1338">
        <v>0</v>
      </c>
    </row>
    <row r="1339" spans="1:4" x14ac:dyDescent="0.25">
      <c r="A1339">
        <v>135000</v>
      </c>
      <c r="B1339">
        <v>60448.5</v>
      </c>
      <c r="C1339">
        <v>12091.5</v>
      </c>
      <c r="D1339">
        <v>0</v>
      </c>
    </row>
    <row r="1340" spans="1:4" x14ac:dyDescent="0.25">
      <c r="A1340">
        <v>135000</v>
      </c>
      <c r="B1340">
        <v>105646.5</v>
      </c>
      <c r="C1340">
        <v>10566</v>
      </c>
      <c r="D1340">
        <v>0</v>
      </c>
    </row>
    <row r="1341" spans="1:4" x14ac:dyDescent="0.25">
      <c r="A1341">
        <v>90000</v>
      </c>
      <c r="B1341">
        <v>21190.5</v>
      </c>
      <c r="C1341">
        <v>2119.5</v>
      </c>
      <c r="D1341">
        <v>0</v>
      </c>
    </row>
    <row r="1342" spans="1:4" x14ac:dyDescent="0.25">
      <c r="A1342">
        <v>90000</v>
      </c>
      <c r="B1342">
        <v>144810</v>
      </c>
      <c r="C1342">
        <v>0</v>
      </c>
      <c r="D1342">
        <v>0</v>
      </c>
    </row>
    <row r="1343" spans="1:4" x14ac:dyDescent="0.25">
      <c r="A1343">
        <v>193500</v>
      </c>
      <c r="B1343">
        <v>98527.5</v>
      </c>
      <c r="C1343">
        <v>0</v>
      </c>
      <c r="D1343">
        <v>0</v>
      </c>
    </row>
    <row r="1344" spans="1:4" x14ac:dyDescent="0.25">
      <c r="A1344">
        <v>193500</v>
      </c>
      <c r="B1344">
        <v>81355.5</v>
      </c>
      <c r="C1344">
        <v>9000</v>
      </c>
      <c r="D1344">
        <v>0</v>
      </c>
    </row>
    <row r="1345" spans="1:4" x14ac:dyDescent="0.25">
      <c r="A1345">
        <v>124200</v>
      </c>
      <c r="B1345">
        <v>69511.5</v>
      </c>
      <c r="C1345">
        <v>0</v>
      </c>
      <c r="D1345">
        <v>0</v>
      </c>
    </row>
    <row r="1346" spans="1:4" x14ac:dyDescent="0.25">
      <c r="A1346">
        <v>124200</v>
      </c>
      <c r="B1346">
        <v>107775</v>
      </c>
      <c r="C1346">
        <v>0</v>
      </c>
      <c r="D1346">
        <v>0</v>
      </c>
    </row>
    <row r="1347" spans="1:4" x14ac:dyDescent="0.25">
      <c r="A1347">
        <v>124200</v>
      </c>
      <c r="B1347">
        <v>56172.6</v>
      </c>
      <c r="C1347">
        <v>5624.1</v>
      </c>
      <c r="D1347">
        <v>0</v>
      </c>
    </row>
    <row r="1348" spans="1:4" x14ac:dyDescent="0.25">
      <c r="A1348">
        <v>124200</v>
      </c>
      <c r="B1348">
        <v>44041.5</v>
      </c>
      <c r="C1348">
        <v>0</v>
      </c>
      <c r="D1348">
        <v>1</v>
      </c>
    </row>
    <row r="1349" spans="1:4" x14ac:dyDescent="0.25">
      <c r="A1349">
        <v>157500</v>
      </c>
      <c r="B1349">
        <v>143955</v>
      </c>
      <c r="C1349">
        <v>14395.5</v>
      </c>
      <c r="D1349">
        <v>0</v>
      </c>
    </row>
    <row r="1350" spans="1:4" x14ac:dyDescent="0.25">
      <c r="A1350">
        <v>157500</v>
      </c>
      <c r="B1350">
        <v>180000</v>
      </c>
      <c r="C1350">
        <v>0</v>
      </c>
      <c r="D1350">
        <v>0</v>
      </c>
    </row>
    <row r="1351" spans="1:4" x14ac:dyDescent="0.25">
      <c r="A1351">
        <v>180000</v>
      </c>
      <c r="B1351">
        <v>118260</v>
      </c>
      <c r="C1351">
        <v>45000</v>
      </c>
      <c r="D1351">
        <v>0</v>
      </c>
    </row>
    <row r="1352" spans="1:4" x14ac:dyDescent="0.25">
      <c r="A1352">
        <v>135000</v>
      </c>
      <c r="B1352">
        <v>36337.5</v>
      </c>
      <c r="C1352">
        <v>3645</v>
      </c>
      <c r="D1352">
        <v>0</v>
      </c>
    </row>
    <row r="1353" spans="1:4" x14ac:dyDescent="0.25">
      <c r="A1353">
        <v>135000</v>
      </c>
      <c r="B1353">
        <v>19305</v>
      </c>
      <c r="C1353">
        <v>1930.5</v>
      </c>
      <c r="D1353">
        <v>0</v>
      </c>
    </row>
    <row r="1354" spans="1:4" x14ac:dyDescent="0.25">
      <c r="A1354">
        <v>225000</v>
      </c>
      <c r="B1354">
        <v>137250</v>
      </c>
      <c r="C1354">
        <v>27450</v>
      </c>
      <c r="D1354">
        <v>0</v>
      </c>
    </row>
    <row r="1355" spans="1:4" x14ac:dyDescent="0.25">
      <c r="A1355">
        <v>225000</v>
      </c>
      <c r="B1355">
        <v>81855</v>
      </c>
      <c r="C1355">
        <v>0</v>
      </c>
      <c r="D1355">
        <v>0</v>
      </c>
    </row>
    <row r="1356" spans="1:4" x14ac:dyDescent="0.25">
      <c r="A1356">
        <v>225000</v>
      </c>
      <c r="B1356">
        <v>107887.5</v>
      </c>
      <c r="C1356">
        <v>21600</v>
      </c>
      <c r="D1356">
        <v>1</v>
      </c>
    </row>
    <row r="1357" spans="1:4" x14ac:dyDescent="0.25">
      <c r="A1357">
        <v>225000</v>
      </c>
      <c r="B1357">
        <v>30937.5</v>
      </c>
      <c r="C1357">
        <v>3150</v>
      </c>
      <c r="D1357">
        <v>0</v>
      </c>
    </row>
    <row r="1358" spans="1:4" x14ac:dyDescent="0.25">
      <c r="A1358">
        <v>202500</v>
      </c>
      <c r="B1358">
        <v>311850</v>
      </c>
      <c r="C1358">
        <v>31185</v>
      </c>
      <c r="D1358">
        <v>0</v>
      </c>
    </row>
    <row r="1359" spans="1:4" x14ac:dyDescent="0.25">
      <c r="A1359">
        <v>202500</v>
      </c>
      <c r="B1359">
        <v>27927</v>
      </c>
      <c r="C1359">
        <v>0</v>
      </c>
      <c r="D1359">
        <v>0</v>
      </c>
    </row>
    <row r="1360" spans="1:4" x14ac:dyDescent="0.25">
      <c r="A1360">
        <v>202500</v>
      </c>
      <c r="B1360">
        <v>50467.5</v>
      </c>
      <c r="C1360">
        <v>0</v>
      </c>
      <c r="D1360">
        <v>0</v>
      </c>
    </row>
    <row r="1361" spans="1:4" x14ac:dyDescent="0.25">
      <c r="A1361">
        <v>202500</v>
      </c>
      <c r="B1361">
        <v>127233</v>
      </c>
      <c r="C1361">
        <v>12726</v>
      </c>
      <c r="D1361">
        <v>0</v>
      </c>
    </row>
    <row r="1362" spans="1:4" x14ac:dyDescent="0.25">
      <c r="A1362">
        <v>400500</v>
      </c>
      <c r="B1362">
        <v>24660</v>
      </c>
      <c r="C1362">
        <v>4950</v>
      </c>
      <c r="D1362">
        <v>0</v>
      </c>
    </row>
    <row r="1363" spans="1:4" x14ac:dyDescent="0.25">
      <c r="A1363">
        <v>360000</v>
      </c>
      <c r="B1363">
        <v>54832.5</v>
      </c>
      <c r="C1363">
        <v>0</v>
      </c>
      <c r="D1363">
        <v>0</v>
      </c>
    </row>
    <row r="1364" spans="1:4" x14ac:dyDescent="0.25">
      <c r="A1364">
        <v>360000</v>
      </c>
      <c r="B1364">
        <v>80050.5</v>
      </c>
      <c r="C1364">
        <v>8010</v>
      </c>
      <c r="D1364">
        <v>0</v>
      </c>
    </row>
    <row r="1365" spans="1:4" x14ac:dyDescent="0.25">
      <c r="A1365">
        <v>135000</v>
      </c>
      <c r="B1365">
        <v>116028</v>
      </c>
      <c r="C1365">
        <v>0</v>
      </c>
      <c r="D1365">
        <v>1</v>
      </c>
    </row>
    <row r="1366" spans="1:4" x14ac:dyDescent="0.25">
      <c r="A1366">
        <v>135000</v>
      </c>
      <c r="B1366">
        <v>41260.5</v>
      </c>
      <c r="C1366">
        <v>9000</v>
      </c>
      <c r="D1366">
        <v>0</v>
      </c>
    </row>
    <row r="1367" spans="1:4" x14ac:dyDescent="0.25">
      <c r="A1367">
        <v>135000</v>
      </c>
      <c r="B1367">
        <v>28021.5</v>
      </c>
      <c r="C1367">
        <v>2803.5</v>
      </c>
      <c r="D1367">
        <v>0</v>
      </c>
    </row>
    <row r="1368" spans="1:4" x14ac:dyDescent="0.25">
      <c r="A1368">
        <v>135000</v>
      </c>
      <c r="B1368">
        <v>27162</v>
      </c>
      <c r="C1368">
        <v>4500</v>
      </c>
      <c r="D1368">
        <v>1</v>
      </c>
    </row>
    <row r="1369" spans="1:4" x14ac:dyDescent="0.25">
      <c r="A1369">
        <v>135000</v>
      </c>
      <c r="B1369">
        <v>45000</v>
      </c>
      <c r="C1369">
        <v>0</v>
      </c>
      <c r="D1369">
        <v>0</v>
      </c>
    </row>
    <row r="1370" spans="1:4" x14ac:dyDescent="0.25">
      <c r="A1370">
        <v>144000</v>
      </c>
      <c r="B1370">
        <v>81346.5</v>
      </c>
      <c r="C1370">
        <v>9765</v>
      </c>
      <c r="D1370">
        <v>0</v>
      </c>
    </row>
    <row r="1371" spans="1:4" x14ac:dyDescent="0.25">
      <c r="A1371">
        <v>144000</v>
      </c>
      <c r="B1371">
        <v>152352</v>
      </c>
      <c r="C1371">
        <v>0</v>
      </c>
      <c r="D1371">
        <v>0</v>
      </c>
    </row>
    <row r="1372" spans="1:4" x14ac:dyDescent="0.25">
      <c r="A1372">
        <v>144000</v>
      </c>
      <c r="B1372">
        <v>900000</v>
      </c>
      <c r="C1372">
        <v>0</v>
      </c>
      <c r="D1372">
        <v>0</v>
      </c>
    </row>
    <row r="1373" spans="1:4" x14ac:dyDescent="0.25">
      <c r="A1373">
        <v>202500</v>
      </c>
      <c r="B1373">
        <v>51592.5</v>
      </c>
      <c r="C1373">
        <v>5161.5</v>
      </c>
      <c r="D1373">
        <v>0</v>
      </c>
    </row>
    <row r="1374" spans="1:4" x14ac:dyDescent="0.25">
      <c r="A1374">
        <v>202500</v>
      </c>
      <c r="B1374">
        <v>153288</v>
      </c>
      <c r="C1374">
        <v>0</v>
      </c>
      <c r="D1374">
        <v>0</v>
      </c>
    </row>
    <row r="1375" spans="1:4" x14ac:dyDescent="0.25">
      <c r="A1375">
        <v>225000</v>
      </c>
      <c r="B1375">
        <v>43416</v>
      </c>
      <c r="C1375">
        <v>22500</v>
      </c>
      <c r="D1375">
        <v>0</v>
      </c>
    </row>
    <row r="1376" spans="1:4" x14ac:dyDescent="0.25">
      <c r="A1376">
        <v>225000</v>
      </c>
      <c r="B1376">
        <v>118836</v>
      </c>
      <c r="C1376">
        <v>0</v>
      </c>
      <c r="D1376">
        <v>0</v>
      </c>
    </row>
    <row r="1377" spans="1:4" x14ac:dyDescent="0.25">
      <c r="A1377">
        <v>225000</v>
      </c>
      <c r="B1377">
        <v>89482.5</v>
      </c>
      <c r="C1377">
        <v>54000</v>
      </c>
      <c r="D1377">
        <v>0</v>
      </c>
    </row>
    <row r="1378" spans="1:4" x14ac:dyDescent="0.25">
      <c r="A1378">
        <v>180000</v>
      </c>
      <c r="B1378">
        <v>28300.5</v>
      </c>
      <c r="C1378">
        <v>4500</v>
      </c>
      <c r="D1378">
        <v>0</v>
      </c>
    </row>
    <row r="1379" spans="1:4" x14ac:dyDescent="0.25">
      <c r="A1379">
        <v>90000</v>
      </c>
      <c r="B1379">
        <v>65650.5</v>
      </c>
      <c r="C1379">
        <v>6961.5</v>
      </c>
      <c r="D1379">
        <v>0</v>
      </c>
    </row>
    <row r="1380" spans="1:4" x14ac:dyDescent="0.25">
      <c r="A1380">
        <v>90000</v>
      </c>
      <c r="B1380">
        <v>26955</v>
      </c>
      <c r="C1380">
        <v>2695.5</v>
      </c>
      <c r="D1380">
        <v>0</v>
      </c>
    </row>
    <row r="1381" spans="1:4" x14ac:dyDescent="0.25">
      <c r="A1381">
        <v>54000</v>
      </c>
      <c r="B1381">
        <v>58198.5</v>
      </c>
      <c r="C1381">
        <v>13500</v>
      </c>
      <c r="D1381">
        <v>0</v>
      </c>
    </row>
    <row r="1382" spans="1:4" x14ac:dyDescent="0.25">
      <c r="A1382">
        <v>54000</v>
      </c>
      <c r="B1382">
        <v>18180</v>
      </c>
      <c r="C1382">
        <v>1822.5</v>
      </c>
      <c r="D1382">
        <v>0</v>
      </c>
    </row>
    <row r="1383" spans="1:4" x14ac:dyDescent="0.25">
      <c r="A1383">
        <v>211500</v>
      </c>
      <c r="B1383">
        <v>23422.5</v>
      </c>
      <c r="C1383">
        <v>2344.5</v>
      </c>
      <c r="D1383">
        <v>0</v>
      </c>
    </row>
    <row r="1384" spans="1:4" x14ac:dyDescent="0.25">
      <c r="A1384">
        <v>67500</v>
      </c>
      <c r="B1384">
        <v>67936.5</v>
      </c>
      <c r="C1384">
        <v>22500</v>
      </c>
      <c r="D1384">
        <v>0</v>
      </c>
    </row>
    <row r="1385" spans="1:4" x14ac:dyDescent="0.25">
      <c r="A1385">
        <v>157500</v>
      </c>
      <c r="B1385">
        <v>91800</v>
      </c>
      <c r="C1385">
        <v>0</v>
      </c>
      <c r="D1385">
        <v>0</v>
      </c>
    </row>
    <row r="1386" spans="1:4" x14ac:dyDescent="0.25">
      <c r="A1386">
        <v>90000</v>
      </c>
      <c r="B1386">
        <v>90000</v>
      </c>
      <c r="C1386">
        <v>0</v>
      </c>
      <c r="D1386">
        <v>0</v>
      </c>
    </row>
    <row r="1387" spans="1:4" x14ac:dyDescent="0.25">
      <c r="A1387">
        <v>90000</v>
      </c>
      <c r="B1387">
        <v>121149</v>
      </c>
      <c r="C1387">
        <v>12118.5</v>
      </c>
      <c r="D1387">
        <v>0</v>
      </c>
    </row>
    <row r="1388" spans="1:4" x14ac:dyDescent="0.25">
      <c r="A1388">
        <v>135000</v>
      </c>
      <c r="B1388">
        <v>69646.5</v>
      </c>
      <c r="C1388">
        <v>0</v>
      </c>
      <c r="D1388">
        <v>0</v>
      </c>
    </row>
    <row r="1389" spans="1:4" x14ac:dyDescent="0.25">
      <c r="A1389">
        <v>123300</v>
      </c>
      <c r="B1389">
        <v>136791</v>
      </c>
      <c r="C1389">
        <v>0</v>
      </c>
      <c r="D1389">
        <v>0</v>
      </c>
    </row>
    <row r="1390" spans="1:4" x14ac:dyDescent="0.25">
      <c r="A1390">
        <v>202500</v>
      </c>
      <c r="B1390">
        <v>47659.095000000001</v>
      </c>
      <c r="C1390">
        <v>4774.0950000000003</v>
      </c>
      <c r="D1390">
        <v>0</v>
      </c>
    </row>
    <row r="1391" spans="1:4" x14ac:dyDescent="0.25">
      <c r="A1391">
        <v>202500</v>
      </c>
      <c r="B1391">
        <v>16609.095000000001</v>
      </c>
      <c r="C1391">
        <v>1669.095</v>
      </c>
      <c r="D1391">
        <v>0</v>
      </c>
    </row>
    <row r="1392" spans="1:4" x14ac:dyDescent="0.25">
      <c r="A1392">
        <v>202500</v>
      </c>
      <c r="B1392">
        <v>76410</v>
      </c>
      <c r="C1392">
        <v>0</v>
      </c>
      <c r="D1392">
        <v>0</v>
      </c>
    </row>
    <row r="1393" spans="1:4" x14ac:dyDescent="0.25">
      <c r="A1393">
        <v>202500</v>
      </c>
      <c r="B1393">
        <v>112500</v>
      </c>
      <c r="C1393">
        <v>0</v>
      </c>
      <c r="D1393">
        <v>0</v>
      </c>
    </row>
    <row r="1394" spans="1:4" x14ac:dyDescent="0.25">
      <c r="A1394">
        <v>112500</v>
      </c>
      <c r="B1394">
        <v>61470</v>
      </c>
      <c r="C1394">
        <v>27000</v>
      </c>
      <c r="D1394">
        <v>0</v>
      </c>
    </row>
    <row r="1395" spans="1:4" x14ac:dyDescent="0.25">
      <c r="A1395">
        <v>112500</v>
      </c>
      <c r="B1395">
        <v>139833</v>
      </c>
      <c r="C1395">
        <v>0</v>
      </c>
      <c r="D1395">
        <v>0</v>
      </c>
    </row>
    <row r="1396" spans="1:4" x14ac:dyDescent="0.25">
      <c r="A1396">
        <v>139500</v>
      </c>
      <c r="B1396">
        <v>112805.235</v>
      </c>
      <c r="C1396">
        <v>0</v>
      </c>
      <c r="D1396">
        <v>1</v>
      </c>
    </row>
    <row r="1397" spans="1:4" x14ac:dyDescent="0.25">
      <c r="A1397">
        <v>135000</v>
      </c>
      <c r="B1397">
        <v>62077.5</v>
      </c>
      <c r="C1397">
        <v>6210</v>
      </c>
      <c r="D1397">
        <v>0</v>
      </c>
    </row>
    <row r="1398" spans="1:4" x14ac:dyDescent="0.25">
      <c r="A1398">
        <v>315000</v>
      </c>
      <c r="B1398">
        <v>37714.5</v>
      </c>
      <c r="C1398">
        <v>3775.5</v>
      </c>
      <c r="D1398">
        <v>0</v>
      </c>
    </row>
    <row r="1399" spans="1:4" x14ac:dyDescent="0.25">
      <c r="A1399">
        <v>315000</v>
      </c>
      <c r="B1399">
        <v>162000</v>
      </c>
      <c r="C1399">
        <v>0</v>
      </c>
      <c r="D1399">
        <v>0</v>
      </c>
    </row>
    <row r="1400" spans="1:4" x14ac:dyDescent="0.25">
      <c r="A1400">
        <v>135000</v>
      </c>
      <c r="B1400">
        <v>157500</v>
      </c>
      <c r="C1400">
        <v>0</v>
      </c>
      <c r="D1400">
        <v>1</v>
      </c>
    </row>
    <row r="1401" spans="1:4" x14ac:dyDescent="0.25">
      <c r="A1401">
        <v>135000</v>
      </c>
      <c r="B1401">
        <v>74520</v>
      </c>
      <c r="C1401">
        <v>22500</v>
      </c>
      <c r="D1401">
        <v>0</v>
      </c>
    </row>
    <row r="1402" spans="1:4" x14ac:dyDescent="0.25">
      <c r="A1402">
        <v>135000</v>
      </c>
      <c r="B1402">
        <v>82881</v>
      </c>
      <c r="C1402">
        <v>0</v>
      </c>
      <c r="D1402">
        <v>0</v>
      </c>
    </row>
    <row r="1403" spans="1:4" x14ac:dyDescent="0.25">
      <c r="A1403">
        <v>112500</v>
      </c>
      <c r="B1403">
        <v>88803</v>
      </c>
      <c r="C1403">
        <v>8883</v>
      </c>
      <c r="D1403">
        <v>0</v>
      </c>
    </row>
    <row r="1404" spans="1:4" x14ac:dyDescent="0.25">
      <c r="A1404">
        <v>112500</v>
      </c>
      <c r="B1404">
        <v>143248.5</v>
      </c>
      <c r="C1404">
        <v>14328</v>
      </c>
      <c r="D1404">
        <v>0</v>
      </c>
    </row>
    <row r="1405" spans="1:4" x14ac:dyDescent="0.25">
      <c r="A1405">
        <v>90000</v>
      </c>
      <c r="B1405">
        <v>253399.5</v>
      </c>
      <c r="C1405">
        <v>0</v>
      </c>
      <c r="D1405">
        <v>0</v>
      </c>
    </row>
    <row r="1406" spans="1:4" x14ac:dyDescent="0.25">
      <c r="A1406">
        <v>112500</v>
      </c>
      <c r="B1406">
        <v>134181</v>
      </c>
      <c r="C1406">
        <v>0</v>
      </c>
      <c r="D1406">
        <v>0</v>
      </c>
    </row>
    <row r="1407" spans="1:4" x14ac:dyDescent="0.25">
      <c r="A1407">
        <v>112500</v>
      </c>
      <c r="B1407">
        <v>17167.5</v>
      </c>
      <c r="C1407">
        <v>0</v>
      </c>
      <c r="D1407">
        <v>0</v>
      </c>
    </row>
    <row r="1408" spans="1:4" x14ac:dyDescent="0.25">
      <c r="A1408">
        <v>144000</v>
      </c>
      <c r="B1408">
        <v>19035</v>
      </c>
      <c r="C1408">
        <v>1903.5</v>
      </c>
      <c r="D1408">
        <v>0</v>
      </c>
    </row>
    <row r="1409" spans="1:4" x14ac:dyDescent="0.25">
      <c r="A1409">
        <v>144000</v>
      </c>
      <c r="B1409">
        <v>89041.5</v>
      </c>
      <c r="C1409">
        <v>0</v>
      </c>
      <c r="D1409">
        <v>0</v>
      </c>
    </row>
    <row r="1410" spans="1:4" x14ac:dyDescent="0.25">
      <c r="A1410">
        <v>315000</v>
      </c>
      <c r="B1410">
        <v>36360</v>
      </c>
      <c r="C1410">
        <v>0</v>
      </c>
      <c r="D1410">
        <v>0</v>
      </c>
    </row>
    <row r="1411" spans="1:4" x14ac:dyDescent="0.25">
      <c r="A1411">
        <v>315000</v>
      </c>
      <c r="B1411">
        <v>27265.5</v>
      </c>
      <c r="C1411">
        <v>2727</v>
      </c>
      <c r="D1411">
        <v>0</v>
      </c>
    </row>
    <row r="1412" spans="1:4" x14ac:dyDescent="0.25">
      <c r="A1412">
        <v>135000</v>
      </c>
      <c r="B1412">
        <v>357588</v>
      </c>
      <c r="C1412">
        <v>0</v>
      </c>
      <c r="D1412">
        <v>0</v>
      </c>
    </row>
    <row r="1413" spans="1:4" x14ac:dyDescent="0.25">
      <c r="A1413">
        <v>135000</v>
      </c>
      <c r="B1413">
        <v>148230</v>
      </c>
      <c r="C1413">
        <v>29646</v>
      </c>
      <c r="D1413">
        <v>0</v>
      </c>
    </row>
    <row r="1414" spans="1:4" x14ac:dyDescent="0.25">
      <c r="A1414">
        <v>135000</v>
      </c>
      <c r="B1414">
        <v>66006</v>
      </c>
      <c r="C1414">
        <v>6601.5</v>
      </c>
      <c r="D1414">
        <v>0</v>
      </c>
    </row>
    <row r="1415" spans="1:4" x14ac:dyDescent="0.25">
      <c r="A1415">
        <v>135000</v>
      </c>
      <c r="B1415">
        <v>59760</v>
      </c>
      <c r="C1415">
        <v>5976</v>
      </c>
      <c r="D1415">
        <v>0</v>
      </c>
    </row>
    <row r="1416" spans="1:4" x14ac:dyDescent="0.25">
      <c r="A1416">
        <v>99000</v>
      </c>
      <c r="B1416">
        <v>72675</v>
      </c>
      <c r="C1416">
        <v>0</v>
      </c>
      <c r="D1416">
        <v>0</v>
      </c>
    </row>
    <row r="1417" spans="1:4" x14ac:dyDescent="0.25">
      <c r="A1417">
        <v>99000</v>
      </c>
      <c r="B1417">
        <v>89910</v>
      </c>
      <c r="C1417">
        <v>0</v>
      </c>
      <c r="D1417">
        <v>0</v>
      </c>
    </row>
    <row r="1418" spans="1:4" x14ac:dyDescent="0.25">
      <c r="A1418">
        <v>315000</v>
      </c>
      <c r="B1418">
        <v>109125</v>
      </c>
      <c r="C1418">
        <v>21825</v>
      </c>
      <c r="D1418">
        <v>0</v>
      </c>
    </row>
    <row r="1419" spans="1:4" x14ac:dyDescent="0.25">
      <c r="A1419">
        <v>315000</v>
      </c>
      <c r="B1419">
        <v>92425.5</v>
      </c>
      <c r="C1419">
        <v>0</v>
      </c>
      <c r="D1419">
        <v>0</v>
      </c>
    </row>
    <row r="1420" spans="1:4" x14ac:dyDescent="0.25">
      <c r="A1420">
        <v>157500</v>
      </c>
      <c r="B1420">
        <v>79443</v>
      </c>
      <c r="C1420">
        <v>7947</v>
      </c>
      <c r="D1420">
        <v>0</v>
      </c>
    </row>
    <row r="1421" spans="1:4" x14ac:dyDescent="0.25">
      <c r="A1421">
        <v>90000</v>
      </c>
      <c r="B1421">
        <v>120060</v>
      </c>
      <c r="C1421">
        <v>0</v>
      </c>
      <c r="D1421">
        <v>0</v>
      </c>
    </row>
    <row r="1422" spans="1:4" x14ac:dyDescent="0.25">
      <c r="A1422">
        <v>337500</v>
      </c>
      <c r="B1422">
        <v>69759</v>
      </c>
      <c r="C1422">
        <v>0</v>
      </c>
      <c r="D1422">
        <v>0</v>
      </c>
    </row>
    <row r="1423" spans="1:4" x14ac:dyDescent="0.25">
      <c r="A1423">
        <v>112500</v>
      </c>
      <c r="B1423">
        <v>34920</v>
      </c>
      <c r="C1423">
        <v>4500</v>
      </c>
      <c r="D1423">
        <v>0</v>
      </c>
    </row>
    <row r="1424" spans="1:4" x14ac:dyDescent="0.25">
      <c r="A1424">
        <v>112500</v>
      </c>
      <c r="B1424">
        <v>107010</v>
      </c>
      <c r="C1424">
        <v>21402</v>
      </c>
      <c r="D1424">
        <v>0</v>
      </c>
    </row>
    <row r="1425" spans="1:4" x14ac:dyDescent="0.25">
      <c r="A1425">
        <v>180000</v>
      </c>
      <c r="B1425">
        <v>158940</v>
      </c>
      <c r="C1425">
        <v>15894</v>
      </c>
      <c r="D1425">
        <v>0</v>
      </c>
    </row>
    <row r="1426" spans="1:4" x14ac:dyDescent="0.25">
      <c r="A1426">
        <v>144000</v>
      </c>
      <c r="B1426">
        <v>114601.5</v>
      </c>
      <c r="C1426">
        <v>0</v>
      </c>
      <c r="D1426">
        <v>0</v>
      </c>
    </row>
    <row r="1427" spans="1:4" x14ac:dyDescent="0.25">
      <c r="A1427">
        <v>144000</v>
      </c>
      <c r="B1427">
        <v>32062.5</v>
      </c>
      <c r="C1427">
        <v>0</v>
      </c>
      <c r="D1427">
        <v>1</v>
      </c>
    </row>
    <row r="1428" spans="1:4" x14ac:dyDescent="0.25">
      <c r="A1428">
        <v>144000</v>
      </c>
      <c r="B1428">
        <v>98955</v>
      </c>
      <c r="C1428">
        <v>0</v>
      </c>
      <c r="D1428">
        <v>1</v>
      </c>
    </row>
    <row r="1429" spans="1:4" x14ac:dyDescent="0.25">
      <c r="A1429">
        <v>144000</v>
      </c>
      <c r="B1429">
        <v>98955</v>
      </c>
      <c r="C1429">
        <v>0</v>
      </c>
      <c r="D1429">
        <v>1</v>
      </c>
    </row>
    <row r="1430" spans="1:4" x14ac:dyDescent="0.25">
      <c r="A1430">
        <v>202500</v>
      </c>
      <c r="B1430">
        <v>38205</v>
      </c>
      <c r="C1430">
        <v>0</v>
      </c>
      <c r="D1430">
        <v>0</v>
      </c>
    </row>
    <row r="1431" spans="1:4" x14ac:dyDescent="0.25">
      <c r="A1431">
        <v>202500</v>
      </c>
      <c r="B1431">
        <v>135945</v>
      </c>
      <c r="C1431">
        <v>0</v>
      </c>
      <c r="D1431">
        <v>0</v>
      </c>
    </row>
    <row r="1432" spans="1:4" x14ac:dyDescent="0.25">
      <c r="A1432">
        <v>202500</v>
      </c>
      <c r="B1432">
        <v>57141</v>
      </c>
      <c r="C1432">
        <v>0</v>
      </c>
      <c r="D1432">
        <v>0</v>
      </c>
    </row>
    <row r="1433" spans="1:4" x14ac:dyDescent="0.25">
      <c r="A1433">
        <v>202500</v>
      </c>
      <c r="B1433">
        <v>35010</v>
      </c>
      <c r="C1433">
        <v>0</v>
      </c>
      <c r="D1433">
        <v>1</v>
      </c>
    </row>
    <row r="1434" spans="1:4" x14ac:dyDescent="0.25">
      <c r="A1434">
        <v>202500</v>
      </c>
      <c r="B1434">
        <v>82890</v>
      </c>
      <c r="C1434">
        <v>16578</v>
      </c>
      <c r="D1434">
        <v>0</v>
      </c>
    </row>
    <row r="1435" spans="1:4" x14ac:dyDescent="0.25">
      <c r="A1435">
        <v>202500</v>
      </c>
      <c r="B1435">
        <v>67500</v>
      </c>
      <c r="C1435">
        <v>0</v>
      </c>
      <c r="D1435">
        <v>1</v>
      </c>
    </row>
    <row r="1436" spans="1:4" x14ac:dyDescent="0.25">
      <c r="A1436">
        <v>202500</v>
      </c>
      <c r="B1436">
        <v>19260</v>
      </c>
      <c r="C1436">
        <v>0</v>
      </c>
      <c r="D1436">
        <v>0</v>
      </c>
    </row>
    <row r="1437" spans="1:4" x14ac:dyDescent="0.25">
      <c r="A1437">
        <v>202500</v>
      </c>
      <c r="B1437">
        <v>35010</v>
      </c>
      <c r="C1437">
        <v>3501</v>
      </c>
      <c r="D1437">
        <v>1</v>
      </c>
    </row>
    <row r="1438" spans="1:4" x14ac:dyDescent="0.25">
      <c r="A1438">
        <v>225000</v>
      </c>
      <c r="B1438">
        <v>37800</v>
      </c>
      <c r="C1438">
        <v>3780</v>
      </c>
      <c r="D1438">
        <v>0</v>
      </c>
    </row>
    <row r="1439" spans="1:4" x14ac:dyDescent="0.25">
      <c r="A1439">
        <v>328500</v>
      </c>
      <c r="B1439">
        <v>233329.5</v>
      </c>
      <c r="C1439">
        <v>70002</v>
      </c>
      <c r="D1439">
        <v>0</v>
      </c>
    </row>
    <row r="1440" spans="1:4" x14ac:dyDescent="0.25">
      <c r="A1440">
        <v>328500</v>
      </c>
      <c r="B1440">
        <v>81675</v>
      </c>
      <c r="C1440">
        <v>13500</v>
      </c>
      <c r="D1440">
        <v>0</v>
      </c>
    </row>
    <row r="1441" spans="1:4" x14ac:dyDescent="0.25">
      <c r="A1441">
        <v>225000</v>
      </c>
      <c r="B1441">
        <v>30555</v>
      </c>
      <c r="C1441">
        <v>13500</v>
      </c>
      <c r="D1441">
        <v>0</v>
      </c>
    </row>
    <row r="1442" spans="1:4" x14ac:dyDescent="0.25">
      <c r="A1442">
        <v>90000</v>
      </c>
      <c r="B1442">
        <v>58725</v>
      </c>
      <c r="C1442">
        <v>0</v>
      </c>
      <c r="D1442">
        <v>0</v>
      </c>
    </row>
    <row r="1443" spans="1:4" x14ac:dyDescent="0.25">
      <c r="A1443">
        <v>90000</v>
      </c>
      <c r="B1443">
        <v>54036</v>
      </c>
      <c r="C1443">
        <v>0</v>
      </c>
      <c r="D1443">
        <v>0</v>
      </c>
    </row>
    <row r="1444" spans="1:4" x14ac:dyDescent="0.25">
      <c r="A1444">
        <v>103500</v>
      </c>
      <c r="B1444">
        <v>36778.5</v>
      </c>
      <c r="C1444">
        <v>3681</v>
      </c>
      <c r="D1444">
        <v>0</v>
      </c>
    </row>
    <row r="1445" spans="1:4" x14ac:dyDescent="0.25">
      <c r="A1445">
        <v>157500</v>
      </c>
      <c r="B1445">
        <v>112500</v>
      </c>
      <c r="C1445">
        <v>0</v>
      </c>
      <c r="D1445">
        <v>1</v>
      </c>
    </row>
    <row r="1446" spans="1:4" x14ac:dyDescent="0.25">
      <c r="A1446">
        <v>157500</v>
      </c>
      <c r="B1446">
        <v>90000</v>
      </c>
      <c r="C1446">
        <v>0</v>
      </c>
      <c r="D1446">
        <v>1</v>
      </c>
    </row>
    <row r="1447" spans="1:4" x14ac:dyDescent="0.25">
      <c r="A1447">
        <v>157500</v>
      </c>
      <c r="B1447">
        <v>90000</v>
      </c>
      <c r="C1447">
        <v>0</v>
      </c>
      <c r="D1447">
        <v>1</v>
      </c>
    </row>
    <row r="1448" spans="1:4" x14ac:dyDescent="0.25">
      <c r="A1448">
        <v>157500</v>
      </c>
      <c r="B1448">
        <v>90000</v>
      </c>
      <c r="C1448">
        <v>0</v>
      </c>
      <c r="D1448">
        <v>1</v>
      </c>
    </row>
    <row r="1449" spans="1:4" x14ac:dyDescent="0.25">
      <c r="A1449">
        <v>157500</v>
      </c>
      <c r="B1449">
        <v>146142</v>
      </c>
      <c r="C1449">
        <v>0</v>
      </c>
      <c r="D1449">
        <v>0</v>
      </c>
    </row>
    <row r="1450" spans="1:4" x14ac:dyDescent="0.25">
      <c r="A1450">
        <v>157500</v>
      </c>
      <c r="B1450">
        <v>80055</v>
      </c>
      <c r="C1450">
        <v>5607</v>
      </c>
      <c r="D1450">
        <v>0</v>
      </c>
    </row>
    <row r="1451" spans="1:4" x14ac:dyDescent="0.25">
      <c r="A1451">
        <v>112500</v>
      </c>
      <c r="B1451">
        <v>121410</v>
      </c>
      <c r="C1451">
        <v>0</v>
      </c>
      <c r="D1451">
        <v>0</v>
      </c>
    </row>
    <row r="1452" spans="1:4" x14ac:dyDescent="0.25">
      <c r="A1452">
        <v>112500</v>
      </c>
      <c r="B1452">
        <v>167827.5</v>
      </c>
      <c r="C1452">
        <v>0</v>
      </c>
      <c r="D1452">
        <v>0</v>
      </c>
    </row>
    <row r="1453" spans="1:4" x14ac:dyDescent="0.25">
      <c r="A1453">
        <v>112500</v>
      </c>
      <c r="B1453">
        <v>900000</v>
      </c>
      <c r="C1453">
        <v>0</v>
      </c>
      <c r="D1453">
        <v>1</v>
      </c>
    </row>
    <row r="1454" spans="1:4" x14ac:dyDescent="0.25">
      <c r="A1454">
        <v>112500</v>
      </c>
      <c r="B1454">
        <v>46755</v>
      </c>
      <c r="C1454">
        <v>0</v>
      </c>
      <c r="D1454">
        <v>0</v>
      </c>
    </row>
    <row r="1455" spans="1:4" x14ac:dyDescent="0.25">
      <c r="A1455">
        <v>112500</v>
      </c>
      <c r="B1455">
        <v>900000</v>
      </c>
      <c r="C1455">
        <v>0</v>
      </c>
      <c r="D1455">
        <v>0</v>
      </c>
    </row>
    <row r="1456" spans="1:4" x14ac:dyDescent="0.25">
      <c r="A1456">
        <v>202500</v>
      </c>
      <c r="B1456">
        <v>90000</v>
      </c>
      <c r="C1456">
        <v>0</v>
      </c>
      <c r="D1456">
        <v>0</v>
      </c>
    </row>
    <row r="1457" spans="1:4" x14ac:dyDescent="0.25">
      <c r="A1457">
        <v>202500</v>
      </c>
      <c r="B1457">
        <v>25155</v>
      </c>
      <c r="C1457">
        <v>0</v>
      </c>
      <c r="D1457">
        <v>0</v>
      </c>
    </row>
    <row r="1458" spans="1:4" x14ac:dyDescent="0.25">
      <c r="A1458">
        <v>202500</v>
      </c>
      <c r="B1458">
        <v>382500</v>
      </c>
      <c r="C1458">
        <v>0</v>
      </c>
      <c r="D1458">
        <v>0</v>
      </c>
    </row>
    <row r="1459" spans="1:4" x14ac:dyDescent="0.25">
      <c r="A1459">
        <v>202500</v>
      </c>
      <c r="B1459">
        <v>21555</v>
      </c>
      <c r="C1459">
        <v>2250</v>
      </c>
      <c r="D1459">
        <v>0</v>
      </c>
    </row>
    <row r="1460" spans="1:4" x14ac:dyDescent="0.25">
      <c r="A1460">
        <v>202500</v>
      </c>
      <c r="B1460">
        <v>270000</v>
      </c>
      <c r="C1460">
        <v>0</v>
      </c>
      <c r="D1460">
        <v>0</v>
      </c>
    </row>
    <row r="1461" spans="1:4" x14ac:dyDescent="0.25">
      <c r="A1461">
        <v>202500</v>
      </c>
      <c r="B1461">
        <v>29880</v>
      </c>
      <c r="C1461">
        <v>0</v>
      </c>
      <c r="D1461">
        <v>0</v>
      </c>
    </row>
    <row r="1462" spans="1:4" x14ac:dyDescent="0.25">
      <c r="A1462">
        <v>225000</v>
      </c>
      <c r="B1462">
        <v>35100</v>
      </c>
      <c r="C1462">
        <v>3510</v>
      </c>
      <c r="D1462">
        <v>0</v>
      </c>
    </row>
    <row r="1463" spans="1:4" x14ac:dyDescent="0.25">
      <c r="A1463">
        <v>225000</v>
      </c>
      <c r="B1463">
        <v>124650</v>
      </c>
      <c r="C1463">
        <v>12465</v>
      </c>
      <c r="D1463">
        <v>1</v>
      </c>
    </row>
    <row r="1464" spans="1:4" x14ac:dyDescent="0.25">
      <c r="A1464">
        <v>225000</v>
      </c>
      <c r="B1464">
        <v>18900</v>
      </c>
      <c r="C1464">
        <v>1890</v>
      </c>
      <c r="D1464">
        <v>0</v>
      </c>
    </row>
    <row r="1465" spans="1:4" x14ac:dyDescent="0.25">
      <c r="A1465">
        <v>225000</v>
      </c>
      <c r="B1465">
        <v>104013</v>
      </c>
      <c r="C1465">
        <v>0</v>
      </c>
      <c r="D1465">
        <v>0</v>
      </c>
    </row>
    <row r="1466" spans="1:4" x14ac:dyDescent="0.25">
      <c r="A1466">
        <v>225000</v>
      </c>
      <c r="B1466">
        <v>224995.5</v>
      </c>
      <c r="C1466">
        <v>0</v>
      </c>
      <c r="D1466">
        <v>1</v>
      </c>
    </row>
    <row r="1467" spans="1:4" x14ac:dyDescent="0.25">
      <c r="A1467">
        <v>225000</v>
      </c>
      <c r="B1467">
        <v>210645</v>
      </c>
      <c r="C1467">
        <v>78750</v>
      </c>
      <c r="D1467">
        <v>0</v>
      </c>
    </row>
    <row r="1468" spans="1:4" x14ac:dyDescent="0.25">
      <c r="A1468">
        <v>225000</v>
      </c>
      <c r="B1468">
        <v>224995.5</v>
      </c>
      <c r="C1468">
        <v>0</v>
      </c>
      <c r="D1468">
        <v>1</v>
      </c>
    </row>
    <row r="1469" spans="1:4" x14ac:dyDescent="0.25">
      <c r="A1469">
        <v>225000</v>
      </c>
      <c r="B1469">
        <v>152550</v>
      </c>
      <c r="C1469">
        <v>15255</v>
      </c>
      <c r="D1469">
        <v>0</v>
      </c>
    </row>
    <row r="1470" spans="1:4" x14ac:dyDescent="0.25">
      <c r="A1470">
        <v>225000</v>
      </c>
      <c r="B1470">
        <v>134995.5</v>
      </c>
      <c r="C1470">
        <v>0</v>
      </c>
      <c r="D1470">
        <v>0</v>
      </c>
    </row>
    <row r="1471" spans="1:4" x14ac:dyDescent="0.25">
      <c r="A1471">
        <v>225000</v>
      </c>
      <c r="B1471">
        <v>87286.5</v>
      </c>
      <c r="C1471">
        <v>0</v>
      </c>
      <c r="D1471">
        <v>0</v>
      </c>
    </row>
    <row r="1472" spans="1:4" x14ac:dyDescent="0.25">
      <c r="A1472">
        <v>252000</v>
      </c>
      <c r="B1472">
        <v>80010</v>
      </c>
      <c r="C1472">
        <v>8001</v>
      </c>
      <c r="D1472">
        <v>0</v>
      </c>
    </row>
    <row r="1473" spans="1:4" x14ac:dyDescent="0.25">
      <c r="A1473">
        <v>252000</v>
      </c>
      <c r="B1473">
        <v>87210</v>
      </c>
      <c r="C1473">
        <v>17550</v>
      </c>
      <c r="D1473">
        <v>0</v>
      </c>
    </row>
    <row r="1474" spans="1:4" x14ac:dyDescent="0.25">
      <c r="A1474">
        <v>252000</v>
      </c>
      <c r="B1474">
        <v>194818.5</v>
      </c>
      <c r="C1474">
        <v>19485</v>
      </c>
      <c r="D1474">
        <v>0</v>
      </c>
    </row>
    <row r="1475" spans="1:4" x14ac:dyDescent="0.25">
      <c r="A1475">
        <v>252000</v>
      </c>
      <c r="B1475">
        <v>40761</v>
      </c>
      <c r="C1475">
        <v>4077</v>
      </c>
      <c r="D1475">
        <v>0</v>
      </c>
    </row>
    <row r="1476" spans="1:4" x14ac:dyDescent="0.25">
      <c r="A1476">
        <v>252000</v>
      </c>
      <c r="B1476">
        <v>40081.5</v>
      </c>
      <c r="C1476">
        <v>4009.5</v>
      </c>
      <c r="D1476">
        <v>0</v>
      </c>
    </row>
    <row r="1477" spans="1:4" x14ac:dyDescent="0.25">
      <c r="A1477">
        <v>252000</v>
      </c>
      <c r="B1477">
        <v>91350</v>
      </c>
      <c r="C1477">
        <v>9135</v>
      </c>
      <c r="D1477">
        <v>0</v>
      </c>
    </row>
    <row r="1478" spans="1:4" x14ac:dyDescent="0.25">
      <c r="A1478">
        <v>252000</v>
      </c>
      <c r="B1478">
        <v>38686.5</v>
      </c>
      <c r="C1478">
        <v>3870</v>
      </c>
      <c r="D1478">
        <v>1</v>
      </c>
    </row>
    <row r="1479" spans="1:4" x14ac:dyDescent="0.25">
      <c r="A1479">
        <v>157500</v>
      </c>
      <c r="B1479">
        <v>78705</v>
      </c>
      <c r="C1479">
        <v>0</v>
      </c>
      <c r="D1479">
        <v>0</v>
      </c>
    </row>
    <row r="1480" spans="1:4" x14ac:dyDescent="0.25">
      <c r="A1480">
        <v>157500</v>
      </c>
      <c r="B1480">
        <v>125505</v>
      </c>
      <c r="C1480">
        <v>22500</v>
      </c>
      <c r="D1480">
        <v>0</v>
      </c>
    </row>
    <row r="1481" spans="1:4" x14ac:dyDescent="0.25">
      <c r="A1481">
        <v>202500</v>
      </c>
      <c r="B1481">
        <v>119596.5</v>
      </c>
      <c r="C1481">
        <v>0</v>
      </c>
      <c r="D1481">
        <v>0</v>
      </c>
    </row>
    <row r="1482" spans="1:4" x14ac:dyDescent="0.25">
      <c r="A1482">
        <v>90000</v>
      </c>
      <c r="B1482">
        <v>31756.5</v>
      </c>
      <c r="C1482">
        <v>0</v>
      </c>
      <c r="D1482">
        <v>0</v>
      </c>
    </row>
    <row r="1483" spans="1:4" x14ac:dyDescent="0.25">
      <c r="A1483">
        <v>67500</v>
      </c>
      <c r="B1483">
        <v>15295.05</v>
      </c>
      <c r="C1483">
        <v>4.05</v>
      </c>
      <c r="D1483">
        <v>0</v>
      </c>
    </row>
    <row r="1484" spans="1:4" x14ac:dyDescent="0.25">
      <c r="A1484">
        <v>76500</v>
      </c>
      <c r="B1484">
        <v>138186</v>
      </c>
      <c r="C1484">
        <v>13819.5</v>
      </c>
      <c r="D1484">
        <v>0</v>
      </c>
    </row>
    <row r="1485" spans="1:4" x14ac:dyDescent="0.25">
      <c r="A1485">
        <v>157500</v>
      </c>
      <c r="B1485">
        <v>84600</v>
      </c>
      <c r="C1485">
        <v>27000</v>
      </c>
      <c r="D1485">
        <v>0</v>
      </c>
    </row>
    <row r="1486" spans="1:4" x14ac:dyDescent="0.25">
      <c r="A1486">
        <v>157500</v>
      </c>
      <c r="B1486">
        <v>94455</v>
      </c>
      <c r="C1486">
        <v>9445.5</v>
      </c>
      <c r="D1486">
        <v>0</v>
      </c>
    </row>
    <row r="1487" spans="1:4" x14ac:dyDescent="0.25">
      <c r="A1487">
        <v>180000</v>
      </c>
      <c r="B1487">
        <v>34965</v>
      </c>
      <c r="C1487">
        <v>3496.5</v>
      </c>
      <c r="D1487">
        <v>0</v>
      </c>
    </row>
    <row r="1488" spans="1:4" x14ac:dyDescent="0.25">
      <c r="A1488">
        <v>180000</v>
      </c>
      <c r="B1488">
        <v>46179</v>
      </c>
      <c r="C1488">
        <v>10179</v>
      </c>
      <c r="D1488">
        <v>0</v>
      </c>
    </row>
    <row r="1489" spans="1:4" x14ac:dyDescent="0.25">
      <c r="A1489">
        <v>180000</v>
      </c>
      <c r="B1489">
        <v>40140</v>
      </c>
      <c r="C1489">
        <v>12042</v>
      </c>
      <c r="D1489">
        <v>0</v>
      </c>
    </row>
    <row r="1490" spans="1:4" x14ac:dyDescent="0.25">
      <c r="A1490">
        <v>180000</v>
      </c>
      <c r="B1490">
        <v>225000</v>
      </c>
      <c r="C1490">
        <v>0</v>
      </c>
      <c r="D1490">
        <v>1</v>
      </c>
    </row>
    <row r="1491" spans="1:4" x14ac:dyDescent="0.25">
      <c r="A1491">
        <v>132075</v>
      </c>
      <c r="B1491">
        <v>396000</v>
      </c>
      <c r="C1491">
        <v>0</v>
      </c>
      <c r="D1491">
        <v>0</v>
      </c>
    </row>
    <row r="1492" spans="1:4" x14ac:dyDescent="0.25">
      <c r="A1492">
        <v>132075</v>
      </c>
      <c r="B1492">
        <v>39186</v>
      </c>
      <c r="C1492">
        <v>3919.5</v>
      </c>
      <c r="D1492">
        <v>0</v>
      </c>
    </row>
    <row r="1493" spans="1:4" x14ac:dyDescent="0.25">
      <c r="A1493">
        <v>132075</v>
      </c>
      <c r="B1493">
        <v>22536</v>
      </c>
      <c r="C1493">
        <v>2254.5</v>
      </c>
      <c r="D1493">
        <v>0</v>
      </c>
    </row>
    <row r="1494" spans="1:4" x14ac:dyDescent="0.25">
      <c r="A1494">
        <v>132075</v>
      </c>
      <c r="B1494">
        <v>189000</v>
      </c>
      <c r="C1494">
        <v>0</v>
      </c>
      <c r="D1494">
        <v>0</v>
      </c>
    </row>
    <row r="1495" spans="1:4" x14ac:dyDescent="0.25">
      <c r="A1495">
        <v>132075</v>
      </c>
      <c r="B1495">
        <v>19971</v>
      </c>
      <c r="C1495">
        <v>0</v>
      </c>
      <c r="D1495">
        <v>0</v>
      </c>
    </row>
    <row r="1496" spans="1:4" x14ac:dyDescent="0.25">
      <c r="A1496">
        <v>132075</v>
      </c>
      <c r="B1496">
        <v>105147</v>
      </c>
      <c r="C1496">
        <v>5265</v>
      </c>
      <c r="D1496">
        <v>0</v>
      </c>
    </row>
    <row r="1497" spans="1:4" x14ac:dyDescent="0.25">
      <c r="A1497">
        <v>360000</v>
      </c>
      <c r="B1497">
        <v>45000</v>
      </c>
      <c r="C1497">
        <v>0</v>
      </c>
      <c r="D1497">
        <v>0</v>
      </c>
    </row>
    <row r="1498" spans="1:4" x14ac:dyDescent="0.25">
      <c r="A1498">
        <v>522000</v>
      </c>
      <c r="B1498">
        <v>106425</v>
      </c>
      <c r="C1498">
        <v>0</v>
      </c>
      <c r="D1498">
        <v>0</v>
      </c>
    </row>
    <row r="1499" spans="1:4" x14ac:dyDescent="0.25">
      <c r="A1499">
        <v>54000</v>
      </c>
      <c r="B1499">
        <v>17730</v>
      </c>
      <c r="C1499">
        <v>0</v>
      </c>
      <c r="D1499">
        <v>0</v>
      </c>
    </row>
    <row r="1500" spans="1:4" x14ac:dyDescent="0.25">
      <c r="A1500">
        <v>112500</v>
      </c>
      <c r="B1500">
        <v>125095.5</v>
      </c>
      <c r="C1500">
        <v>0</v>
      </c>
      <c r="D1500">
        <v>0</v>
      </c>
    </row>
    <row r="1501" spans="1:4" x14ac:dyDescent="0.25">
      <c r="A1501">
        <v>112500</v>
      </c>
      <c r="B1501">
        <v>95805</v>
      </c>
      <c r="C1501">
        <v>0</v>
      </c>
      <c r="D1501">
        <v>0</v>
      </c>
    </row>
    <row r="1502" spans="1:4" x14ac:dyDescent="0.25">
      <c r="A1502">
        <v>202500</v>
      </c>
      <c r="B1502">
        <v>196200</v>
      </c>
      <c r="C1502">
        <v>0</v>
      </c>
      <c r="D1502">
        <v>0</v>
      </c>
    </row>
    <row r="1503" spans="1:4" x14ac:dyDescent="0.25">
      <c r="A1503">
        <v>67500</v>
      </c>
      <c r="B1503">
        <v>111586.5</v>
      </c>
      <c r="C1503">
        <v>11160</v>
      </c>
      <c r="D1503">
        <v>0</v>
      </c>
    </row>
    <row r="1504" spans="1:4" x14ac:dyDescent="0.25">
      <c r="A1504">
        <v>67500</v>
      </c>
      <c r="B1504">
        <v>135000</v>
      </c>
      <c r="C1504">
        <v>0</v>
      </c>
      <c r="D1504">
        <v>0</v>
      </c>
    </row>
    <row r="1505" spans="1:4" x14ac:dyDescent="0.25">
      <c r="A1505">
        <v>450000</v>
      </c>
      <c r="B1505">
        <v>124920</v>
      </c>
      <c r="C1505">
        <v>0</v>
      </c>
      <c r="D1505">
        <v>0</v>
      </c>
    </row>
    <row r="1506" spans="1:4" x14ac:dyDescent="0.25">
      <c r="A1506">
        <v>292500</v>
      </c>
      <c r="B1506">
        <v>38997</v>
      </c>
      <c r="C1506">
        <v>3901.5</v>
      </c>
      <c r="D1506">
        <v>0</v>
      </c>
    </row>
    <row r="1507" spans="1:4" x14ac:dyDescent="0.25">
      <c r="A1507">
        <v>292500</v>
      </c>
      <c r="B1507">
        <v>29250</v>
      </c>
      <c r="C1507">
        <v>3150</v>
      </c>
      <c r="D1507">
        <v>0</v>
      </c>
    </row>
    <row r="1508" spans="1:4" x14ac:dyDescent="0.25">
      <c r="A1508">
        <v>292500</v>
      </c>
      <c r="B1508">
        <v>35725.5</v>
      </c>
      <c r="C1508">
        <v>3555</v>
      </c>
      <c r="D1508">
        <v>0</v>
      </c>
    </row>
    <row r="1509" spans="1:4" x14ac:dyDescent="0.25">
      <c r="A1509">
        <v>189000</v>
      </c>
      <c r="B1509">
        <v>92664</v>
      </c>
      <c r="C1509">
        <v>0</v>
      </c>
      <c r="D1509">
        <v>0</v>
      </c>
    </row>
    <row r="1510" spans="1:4" x14ac:dyDescent="0.25">
      <c r="A1510">
        <v>189000</v>
      </c>
      <c r="B1510">
        <v>45810</v>
      </c>
      <c r="C1510">
        <v>4581</v>
      </c>
      <c r="D1510">
        <v>0</v>
      </c>
    </row>
    <row r="1511" spans="1:4" x14ac:dyDescent="0.25">
      <c r="A1511">
        <v>180000</v>
      </c>
      <c r="B1511">
        <v>161820</v>
      </c>
      <c r="C1511">
        <v>0</v>
      </c>
      <c r="D1511">
        <v>0</v>
      </c>
    </row>
    <row r="1512" spans="1:4" x14ac:dyDescent="0.25">
      <c r="A1512">
        <v>315000</v>
      </c>
      <c r="B1512">
        <v>459000</v>
      </c>
      <c r="C1512">
        <v>0</v>
      </c>
      <c r="D1512">
        <v>0</v>
      </c>
    </row>
    <row r="1513" spans="1:4" x14ac:dyDescent="0.25">
      <c r="A1513">
        <v>67500</v>
      </c>
      <c r="B1513">
        <v>24876</v>
      </c>
      <c r="C1513">
        <v>6750</v>
      </c>
      <c r="D1513">
        <v>0</v>
      </c>
    </row>
    <row r="1514" spans="1:4" x14ac:dyDescent="0.25">
      <c r="A1514">
        <v>180000</v>
      </c>
      <c r="B1514">
        <v>225000</v>
      </c>
      <c r="C1514">
        <v>0</v>
      </c>
      <c r="D1514">
        <v>1</v>
      </c>
    </row>
    <row r="1515" spans="1:4" x14ac:dyDescent="0.25">
      <c r="A1515">
        <v>180000</v>
      </c>
      <c r="B1515">
        <v>25425</v>
      </c>
      <c r="C1515">
        <v>0</v>
      </c>
      <c r="D1515">
        <v>0</v>
      </c>
    </row>
    <row r="1516" spans="1:4" x14ac:dyDescent="0.25">
      <c r="A1516">
        <v>180000</v>
      </c>
      <c r="B1516">
        <v>87259.5</v>
      </c>
      <c r="C1516">
        <v>8730</v>
      </c>
      <c r="D1516">
        <v>0</v>
      </c>
    </row>
    <row r="1517" spans="1:4" x14ac:dyDescent="0.25">
      <c r="A1517">
        <v>180000</v>
      </c>
      <c r="B1517">
        <v>103050</v>
      </c>
      <c r="C1517">
        <v>10350</v>
      </c>
      <c r="D1517">
        <v>0</v>
      </c>
    </row>
    <row r="1518" spans="1:4" x14ac:dyDescent="0.25">
      <c r="A1518">
        <v>180000</v>
      </c>
      <c r="B1518">
        <v>71923.5</v>
      </c>
      <c r="C1518">
        <v>7195.5</v>
      </c>
      <c r="D1518">
        <v>0</v>
      </c>
    </row>
    <row r="1519" spans="1:4" x14ac:dyDescent="0.25">
      <c r="A1519">
        <v>112500</v>
      </c>
      <c r="B1519">
        <v>29925</v>
      </c>
      <c r="C1519">
        <v>0</v>
      </c>
      <c r="D1519">
        <v>0</v>
      </c>
    </row>
    <row r="1520" spans="1:4" x14ac:dyDescent="0.25">
      <c r="A1520">
        <v>112500</v>
      </c>
      <c r="B1520">
        <v>75297.600000000006</v>
      </c>
      <c r="C1520">
        <v>37650.6</v>
      </c>
      <c r="D1520">
        <v>0</v>
      </c>
    </row>
    <row r="1521" spans="1:4" x14ac:dyDescent="0.25">
      <c r="A1521">
        <v>112500</v>
      </c>
      <c r="B1521">
        <v>37985.4</v>
      </c>
      <c r="C1521">
        <v>3798.9</v>
      </c>
      <c r="D1521">
        <v>0</v>
      </c>
    </row>
    <row r="1522" spans="1:4" x14ac:dyDescent="0.25">
      <c r="A1522">
        <v>67500</v>
      </c>
      <c r="B1522">
        <v>32544</v>
      </c>
      <c r="C1522">
        <v>0</v>
      </c>
      <c r="D1522">
        <v>0</v>
      </c>
    </row>
    <row r="1523" spans="1:4" x14ac:dyDescent="0.25">
      <c r="A1523">
        <v>67500</v>
      </c>
      <c r="B1523">
        <v>25591.5</v>
      </c>
      <c r="C1523">
        <v>0</v>
      </c>
      <c r="D1523">
        <v>1</v>
      </c>
    </row>
    <row r="1524" spans="1:4" x14ac:dyDescent="0.25">
      <c r="A1524">
        <v>90000</v>
      </c>
      <c r="B1524">
        <v>62545.5</v>
      </c>
      <c r="C1524">
        <v>6750</v>
      </c>
      <c r="D1524">
        <v>0</v>
      </c>
    </row>
    <row r="1525" spans="1:4" x14ac:dyDescent="0.25">
      <c r="A1525">
        <v>121500</v>
      </c>
      <c r="B1525">
        <v>71055</v>
      </c>
      <c r="C1525">
        <v>9000</v>
      </c>
      <c r="D1525">
        <v>0</v>
      </c>
    </row>
    <row r="1526" spans="1:4" x14ac:dyDescent="0.25">
      <c r="A1526">
        <v>67500</v>
      </c>
      <c r="B1526">
        <v>97357.5</v>
      </c>
      <c r="C1526">
        <v>9738</v>
      </c>
      <c r="D1526">
        <v>0</v>
      </c>
    </row>
    <row r="1527" spans="1:4" x14ac:dyDescent="0.25">
      <c r="A1527">
        <v>168930</v>
      </c>
      <c r="B1527">
        <v>119866.5</v>
      </c>
      <c r="C1527">
        <v>0</v>
      </c>
      <c r="D1527">
        <v>0</v>
      </c>
    </row>
    <row r="1528" spans="1:4" x14ac:dyDescent="0.25">
      <c r="A1528">
        <v>112500</v>
      </c>
      <c r="B1528">
        <v>62010</v>
      </c>
      <c r="C1528">
        <v>6201</v>
      </c>
      <c r="D1528">
        <v>0</v>
      </c>
    </row>
    <row r="1529" spans="1:4" x14ac:dyDescent="0.25">
      <c r="A1529">
        <v>166500</v>
      </c>
      <c r="B1529">
        <v>18743.400000000001</v>
      </c>
      <c r="C1529">
        <v>0.9</v>
      </c>
      <c r="D1529">
        <v>0</v>
      </c>
    </row>
    <row r="1530" spans="1:4" x14ac:dyDescent="0.25">
      <c r="A1530">
        <v>166500</v>
      </c>
      <c r="B1530">
        <v>47137.5</v>
      </c>
      <c r="C1530">
        <v>0</v>
      </c>
      <c r="D1530">
        <v>0</v>
      </c>
    </row>
    <row r="1531" spans="1:4" x14ac:dyDescent="0.25">
      <c r="A1531">
        <v>166500</v>
      </c>
      <c r="B1531">
        <v>26586</v>
      </c>
      <c r="C1531">
        <v>4050</v>
      </c>
      <c r="D1531">
        <v>0</v>
      </c>
    </row>
    <row r="1532" spans="1:4" x14ac:dyDescent="0.25">
      <c r="A1532">
        <v>166500</v>
      </c>
      <c r="B1532">
        <v>26541</v>
      </c>
      <c r="C1532">
        <v>0</v>
      </c>
      <c r="D1532">
        <v>0</v>
      </c>
    </row>
    <row r="1533" spans="1:4" x14ac:dyDescent="0.25">
      <c r="A1533">
        <v>166500</v>
      </c>
      <c r="B1533">
        <v>26586</v>
      </c>
      <c r="C1533">
        <v>2700</v>
      </c>
      <c r="D1533">
        <v>1</v>
      </c>
    </row>
    <row r="1534" spans="1:4" x14ac:dyDescent="0.25">
      <c r="A1534">
        <v>166500</v>
      </c>
      <c r="B1534">
        <v>22005</v>
      </c>
      <c r="C1534">
        <v>2200.5</v>
      </c>
      <c r="D1534">
        <v>0</v>
      </c>
    </row>
    <row r="1535" spans="1:4" x14ac:dyDescent="0.25">
      <c r="A1535">
        <v>225000</v>
      </c>
      <c r="B1535">
        <v>125910</v>
      </c>
      <c r="C1535">
        <v>12591</v>
      </c>
      <c r="D1535">
        <v>0</v>
      </c>
    </row>
    <row r="1536" spans="1:4" x14ac:dyDescent="0.25">
      <c r="A1536">
        <v>225000</v>
      </c>
      <c r="B1536">
        <v>57555</v>
      </c>
      <c r="C1536">
        <v>9000</v>
      </c>
      <c r="D1536">
        <v>0</v>
      </c>
    </row>
    <row r="1537" spans="1:4" x14ac:dyDescent="0.25">
      <c r="A1537">
        <v>81000</v>
      </c>
      <c r="B1537">
        <v>37305</v>
      </c>
      <c r="C1537">
        <v>7461</v>
      </c>
      <c r="D1537">
        <v>0</v>
      </c>
    </row>
    <row r="1538" spans="1:4" x14ac:dyDescent="0.25">
      <c r="A1538">
        <v>81000</v>
      </c>
      <c r="B1538">
        <v>38421</v>
      </c>
      <c r="C1538">
        <v>3843</v>
      </c>
      <c r="D1538">
        <v>0</v>
      </c>
    </row>
    <row r="1539" spans="1:4" x14ac:dyDescent="0.25">
      <c r="A1539">
        <v>171000</v>
      </c>
      <c r="B1539">
        <v>90436.5</v>
      </c>
      <c r="C1539">
        <v>9000</v>
      </c>
      <c r="D1539">
        <v>0</v>
      </c>
    </row>
    <row r="1540" spans="1:4" x14ac:dyDescent="0.25">
      <c r="A1540">
        <v>72000</v>
      </c>
      <c r="B1540">
        <v>77805</v>
      </c>
      <c r="C1540">
        <v>0</v>
      </c>
      <c r="D1540">
        <v>0</v>
      </c>
    </row>
    <row r="1541" spans="1:4" x14ac:dyDescent="0.25">
      <c r="A1541">
        <v>67500</v>
      </c>
      <c r="B1541">
        <v>166882.5</v>
      </c>
      <c r="C1541">
        <v>16690.5</v>
      </c>
      <c r="D1541">
        <v>0</v>
      </c>
    </row>
    <row r="1542" spans="1:4" x14ac:dyDescent="0.25">
      <c r="A1542">
        <v>135000</v>
      </c>
      <c r="B1542">
        <v>266107.5</v>
      </c>
      <c r="C1542">
        <v>0</v>
      </c>
      <c r="D1542">
        <v>0</v>
      </c>
    </row>
    <row r="1543" spans="1:4" x14ac:dyDescent="0.25">
      <c r="A1543">
        <v>99000</v>
      </c>
      <c r="B1543">
        <v>26230.5</v>
      </c>
      <c r="C1543">
        <v>0</v>
      </c>
      <c r="D1543">
        <v>1</v>
      </c>
    </row>
    <row r="1544" spans="1:4" x14ac:dyDescent="0.25">
      <c r="A1544">
        <v>99000</v>
      </c>
      <c r="B1544">
        <v>87255</v>
      </c>
      <c r="C1544">
        <v>0</v>
      </c>
      <c r="D1544">
        <v>0</v>
      </c>
    </row>
    <row r="1545" spans="1:4" x14ac:dyDescent="0.25">
      <c r="A1545">
        <v>99000</v>
      </c>
      <c r="B1545">
        <v>110052</v>
      </c>
      <c r="C1545">
        <v>0</v>
      </c>
      <c r="D1545">
        <v>0</v>
      </c>
    </row>
    <row r="1546" spans="1:4" x14ac:dyDescent="0.25">
      <c r="A1546">
        <v>135000</v>
      </c>
      <c r="B1546">
        <v>56209.5</v>
      </c>
      <c r="C1546">
        <v>5625</v>
      </c>
      <c r="D1546">
        <v>0</v>
      </c>
    </row>
    <row r="1547" spans="1:4" x14ac:dyDescent="0.25">
      <c r="A1547">
        <v>135000</v>
      </c>
      <c r="B1547">
        <v>42241.5</v>
      </c>
      <c r="C1547">
        <v>0</v>
      </c>
      <c r="D1547">
        <v>0</v>
      </c>
    </row>
    <row r="1548" spans="1:4" x14ac:dyDescent="0.25">
      <c r="A1548">
        <v>112500</v>
      </c>
      <c r="B1548">
        <v>98455.274999999994</v>
      </c>
      <c r="C1548">
        <v>0</v>
      </c>
      <c r="D1548">
        <v>1</v>
      </c>
    </row>
    <row r="1549" spans="1:4" x14ac:dyDescent="0.25">
      <c r="A1549">
        <v>112500</v>
      </c>
      <c r="B1549">
        <v>116550</v>
      </c>
      <c r="C1549">
        <v>0</v>
      </c>
      <c r="D1549">
        <v>0</v>
      </c>
    </row>
    <row r="1550" spans="1:4" x14ac:dyDescent="0.25">
      <c r="A1550">
        <v>112500</v>
      </c>
      <c r="B1550">
        <v>108589.05</v>
      </c>
      <c r="C1550">
        <v>10862.55</v>
      </c>
      <c r="D1550">
        <v>0</v>
      </c>
    </row>
    <row r="1551" spans="1:4" x14ac:dyDescent="0.25">
      <c r="A1551">
        <v>112500</v>
      </c>
      <c r="B1551">
        <v>149625</v>
      </c>
      <c r="C1551">
        <v>15750</v>
      </c>
      <c r="D1551">
        <v>0</v>
      </c>
    </row>
    <row r="1552" spans="1:4" x14ac:dyDescent="0.25">
      <c r="A1552">
        <v>135000</v>
      </c>
      <c r="B1552">
        <v>74160</v>
      </c>
      <c r="C1552">
        <v>22500</v>
      </c>
      <c r="D1552">
        <v>0</v>
      </c>
    </row>
    <row r="1553" spans="1:4" x14ac:dyDescent="0.25">
      <c r="A1553">
        <v>45000</v>
      </c>
      <c r="B1553">
        <v>35775</v>
      </c>
      <c r="C1553">
        <v>6750</v>
      </c>
      <c r="D1553">
        <v>0</v>
      </c>
    </row>
    <row r="1554" spans="1:4" x14ac:dyDescent="0.25">
      <c r="A1554">
        <v>45000</v>
      </c>
      <c r="B1554">
        <v>86400</v>
      </c>
      <c r="C1554">
        <v>9000</v>
      </c>
      <c r="D1554">
        <v>0</v>
      </c>
    </row>
    <row r="1555" spans="1:4" x14ac:dyDescent="0.25">
      <c r="A1555">
        <v>45000</v>
      </c>
      <c r="B1555">
        <v>17973</v>
      </c>
      <c r="C1555">
        <v>1800</v>
      </c>
      <c r="D1555">
        <v>0</v>
      </c>
    </row>
    <row r="1556" spans="1:4" x14ac:dyDescent="0.25">
      <c r="A1556">
        <v>45000</v>
      </c>
      <c r="B1556">
        <v>42975</v>
      </c>
      <c r="C1556">
        <v>13500</v>
      </c>
      <c r="D1556">
        <v>0</v>
      </c>
    </row>
    <row r="1557" spans="1:4" x14ac:dyDescent="0.25">
      <c r="A1557">
        <v>72000</v>
      </c>
      <c r="B1557">
        <v>50265</v>
      </c>
      <c r="C1557">
        <v>5026.5</v>
      </c>
      <c r="D1557">
        <v>0</v>
      </c>
    </row>
    <row r="1558" spans="1:4" x14ac:dyDescent="0.25">
      <c r="A1558">
        <v>72000</v>
      </c>
      <c r="B1558">
        <v>68215.5</v>
      </c>
      <c r="C1558">
        <v>0</v>
      </c>
      <c r="D1558">
        <v>0</v>
      </c>
    </row>
    <row r="1559" spans="1:4" x14ac:dyDescent="0.25">
      <c r="A1559">
        <v>112500</v>
      </c>
      <c r="B1559">
        <v>81720</v>
      </c>
      <c r="C1559">
        <v>0</v>
      </c>
      <c r="D1559">
        <v>0</v>
      </c>
    </row>
    <row r="1560" spans="1:4" x14ac:dyDescent="0.25">
      <c r="A1560">
        <v>112500</v>
      </c>
      <c r="B1560">
        <v>24705</v>
      </c>
      <c r="C1560">
        <v>0</v>
      </c>
      <c r="D1560">
        <v>0</v>
      </c>
    </row>
    <row r="1561" spans="1:4" x14ac:dyDescent="0.25">
      <c r="A1561">
        <v>112500</v>
      </c>
      <c r="B1561">
        <v>19975.5</v>
      </c>
      <c r="C1561">
        <v>0</v>
      </c>
      <c r="D1561">
        <v>0</v>
      </c>
    </row>
    <row r="1562" spans="1:4" x14ac:dyDescent="0.25">
      <c r="A1562">
        <v>225000</v>
      </c>
      <c r="B1562">
        <v>47592</v>
      </c>
      <c r="C1562">
        <v>4761</v>
      </c>
      <c r="D1562">
        <v>0</v>
      </c>
    </row>
    <row r="1563" spans="1:4" x14ac:dyDescent="0.25">
      <c r="A1563">
        <v>225000</v>
      </c>
      <c r="B1563">
        <v>112500</v>
      </c>
      <c r="C1563">
        <v>0</v>
      </c>
      <c r="D1563">
        <v>0</v>
      </c>
    </row>
    <row r="1564" spans="1:4" x14ac:dyDescent="0.25">
      <c r="A1564">
        <v>225000</v>
      </c>
      <c r="B1564">
        <v>31455</v>
      </c>
      <c r="C1564">
        <v>3145.5</v>
      </c>
      <c r="D1564">
        <v>1</v>
      </c>
    </row>
    <row r="1565" spans="1:4" x14ac:dyDescent="0.25">
      <c r="A1565">
        <v>135000</v>
      </c>
      <c r="B1565">
        <v>61330.5</v>
      </c>
      <c r="C1565">
        <v>9000</v>
      </c>
      <c r="D1565">
        <v>0</v>
      </c>
    </row>
    <row r="1566" spans="1:4" x14ac:dyDescent="0.25">
      <c r="A1566">
        <v>135000</v>
      </c>
      <c r="B1566">
        <v>175473</v>
      </c>
      <c r="C1566">
        <v>0</v>
      </c>
      <c r="D1566">
        <v>0</v>
      </c>
    </row>
    <row r="1567" spans="1:4" x14ac:dyDescent="0.25">
      <c r="A1567">
        <v>112500</v>
      </c>
      <c r="B1567">
        <v>35995.5</v>
      </c>
      <c r="C1567">
        <v>3600</v>
      </c>
      <c r="D1567">
        <v>0</v>
      </c>
    </row>
    <row r="1568" spans="1:4" x14ac:dyDescent="0.25">
      <c r="A1568">
        <v>76500</v>
      </c>
      <c r="B1568">
        <v>71415</v>
      </c>
      <c r="C1568">
        <v>0</v>
      </c>
      <c r="D1568">
        <v>0</v>
      </c>
    </row>
    <row r="1569" spans="1:4" x14ac:dyDescent="0.25">
      <c r="A1569">
        <v>202500</v>
      </c>
      <c r="B1569">
        <v>67455</v>
      </c>
      <c r="C1569">
        <v>6745.5</v>
      </c>
      <c r="D1569">
        <v>0</v>
      </c>
    </row>
    <row r="1570" spans="1:4" x14ac:dyDescent="0.25">
      <c r="A1570">
        <v>112500</v>
      </c>
      <c r="B1570">
        <v>145269</v>
      </c>
      <c r="C1570">
        <v>0</v>
      </c>
      <c r="D1570">
        <v>0</v>
      </c>
    </row>
    <row r="1571" spans="1:4" x14ac:dyDescent="0.25">
      <c r="A1571">
        <v>112500</v>
      </c>
      <c r="B1571">
        <v>66595.5</v>
      </c>
      <c r="C1571">
        <v>0</v>
      </c>
      <c r="D1571">
        <v>0</v>
      </c>
    </row>
    <row r="1572" spans="1:4" x14ac:dyDescent="0.25">
      <c r="A1572">
        <v>112500</v>
      </c>
      <c r="B1572">
        <v>107991</v>
      </c>
      <c r="C1572">
        <v>0</v>
      </c>
      <c r="D1572">
        <v>0</v>
      </c>
    </row>
    <row r="1573" spans="1:4" x14ac:dyDescent="0.25">
      <c r="A1573">
        <v>180000</v>
      </c>
      <c r="B1573">
        <v>15736.5</v>
      </c>
      <c r="C1573">
        <v>0</v>
      </c>
      <c r="D1573">
        <v>1</v>
      </c>
    </row>
    <row r="1574" spans="1:4" x14ac:dyDescent="0.25">
      <c r="A1574">
        <v>180000</v>
      </c>
      <c r="B1574">
        <v>237825</v>
      </c>
      <c r="C1574">
        <v>28539</v>
      </c>
      <c r="D1574">
        <v>1</v>
      </c>
    </row>
    <row r="1575" spans="1:4" x14ac:dyDescent="0.25">
      <c r="A1575">
        <v>180000</v>
      </c>
      <c r="B1575">
        <v>138730.5</v>
      </c>
      <c r="C1575">
        <v>45000</v>
      </c>
      <c r="D1575">
        <v>0</v>
      </c>
    </row>
    <row r="1576" spans="1:4" x14ac:dyDescent="0.25">
      <c r="A1576">
        <v>112500</v>
      </c>
      <c r="B1576">
        <v>29646</v>
      </c>
      <c r="C1576">
        <v>2965.5</v>
      </c>
      <c r="D1576">
        <v>0</v>
      </c>
    </row>
    <row r="1577" spans="1:4" x14ac:dyDescent="0.25">
      <c r="A1577">
        <v>112500</v>
      </c>
      <c r="B1577">
        <v>67500</v>
      </c>
      <c r="C1577">
        <v>0</v>
      </c>
      <c r="D1577">
        <v>0</v>
      </c>
    </row>
    <row r="1578" spans="1:4" x14ac:dyDescent="0.25">
      <c r="A1578">
        <v>112500</v>
      </c>
      <c r="B1578">
        <v>198000</v>
      </c>
      <c r="C1578">
        <v>39600</v>
      </c>
      <c r="D1578">
        <v>0</v>
      </c>
    </row>
    <row r="1579" spans="1:4" x14ac:dyDescent="0.25">
      <c r="A1579">
        <v>81000</v>
      </c>
      <c r="B1579">
        <v>135000</v>
      </c>
      <c r="C1579">
        <v>0</v>
      </c>
      <c r="D1579">
        <v>0</v>
      </c>
    </row>
    <row r="1580" spans="1:4" x14ac:dyDescent="0.25">
      <c r="A1580">
        <v>202500</v>
      </c>
      <c r="B1580">
        <v>22000.5</v>
      </c>
      <c r="C1580">
        <v>2250</v>
      </c>
      <c r="D1580">
        <v>0</v>
      </c>
    </row>
    <row r="1581" spans="1:4" x14ac:dyDescent="0.25">
      <c r="A1581">
        <v>180000</v>
      </c>
      <c r="B1581">
        <v>90094.5</v>
      </c>
      <c r="C1581">
        <v>18022.5</v>
      </c>
      <c r="D1581">
        <v>1</v>
      </c>
    </row>
    <row r="1582" spans="1:4" x14ac:dyDescent="0.25">
      <c r="A1582">
        <v>180000</v>
      </c>
      <c r="B1582">
        <v>160105.5</v>
      </c>
      <c r="C1582">
        <v>16010.55</v>
      </c>
      <c r="D1582">
        <v>0</v>
      </c>
    </row>
    <row r="1583" spans="1:4" x14ac:dyDescent="0.25">
      <c r="A1583">
        <v>135000</v>
      </c>
      <c r="B1583">
        <v>35100</v>
      </c>
      <c r="C1583">
        <v>9000</v>
      </c>
      <c r="D1583">
        <v>0</v>
      </c>
    </row>
    <row r="1584" spans="1:4" x14ac:dyDescent="0.25">
      <c r="A1584">
        <v>135000</v>
      </c>
      <c r="B1584">
        <v>92353.5</v>
      </c>
      <c r="C1584">
        <v>9238.5</v>
      </c>
      <c r="D1584">
        <v>0</v>
      </c>
    </row>
    <row r="1585" spans="1:4" x14ac:dyDescent="0.25">
      <c r="A1585">
        <v>135000</v>
      </c>
      <c r="B1585">
        <v>46755</v>
      </c>
      <c r="C1585">
        <v>5400</v>
      </c>
      <c r="D1585">
        <v>0</v>
      </c>
    </row>
    <row r="1586" spans="1:4" x14ac:dyDescent="0.25">
      <c r="A1586">
        <v>135000</v>
      </c>
      <c r="B1586">
        <v>53910</v>
      </c>
      <c r="C1586">
        <v>0</v>
      </c>
      <c r="D1586">
        <v>0</v>
      </c>
    </row>
    <row r="1587" spans="1:4" x14ac:dyDescent="0.25">
      <c r="A1587">
        <v>180000</v>
      </c>
      <c r="B1587">
        <v>77058</v>
      </c>
      <c r="C1587">
        <v>0</v>
      </c>
      <c r="D1587">
        <v>0</v>
      </c>
    </row>
    <row r="1588" spans="1:4" x14ac:dyDescent="0.25">
      <c r="A1588">
        <v>180000</v>
      </c>
      <c r="B1588">
        <v>151200</v>
      </c>
      <c r="C1588">
        <v>0</v>
      </c>
      <c r="D1588">
        <v>0</v>
      </c>
    </row>
    <row r="1589" spans="1:4" x14ac:dyDescent="0.25">
      <c r="A1589">
        <v>103500</v>
      </c>
      <c r="B1589">
        <v>148320</v>
      </c>
      <c r="C1589">
        <v>0</v>
      </c>
      <c r="D1589">
        <v>0</v>
      </c>
    </row>
    <row r="1590" spans="1:4" x14ac:dyDescent="0.25">
      <c r="A1590">
        <v>103500</v>
      </c>
      <c r="B1590">
        <v>30177</v>
      </c>
      <c r="C1590">
        <v>3060</v>
      </c>
      <c r="D1590">
        <v>0</v>
      </c>
    </row>
    <row r="1591" spans="1:4" x14ac:dyDescent="0.25">
      <c r="A1591">
        <v>202500</v>
      </c>
      <c r="B1591">
        <v>90000</v>
      </c>
      <c r="C1591">
        <v>0</v>
      </c>
      <c r="D1591">
        <v>1</v>
      </c>
    </row>
    <row r="1592" spans="1:4" x14ac:dyDescent="0.25">
      <c r="A1592">
        <v>202500</v>
      </c>
      <c r="B1592">
        <v>67500</v>
      </c>
      <c r="C1592">
        <v>0</v>
      </c>
      <c r="D1592">
        <v>0</v>
      </c>
    </row>
    <row r="1593" spans="1:4" x14ac:dyDescent="0.25">
      <c r="A1593">
        <v>202500</v>
      </c>
      <c r="B1593">
        <v>67500</v>
      </c>
      <c r="C1593">
        <v>0</v>
      </c>
      <c r="D1593">
        <v>0</v>
      </c>
    </row>
    <row r="1594" spans="1:4" x14ac:dyDescent="0.25">
      <c r="A1594">
        <v>202500</v>
      </c>
      <c r="B1594">
        <v>270000</v>
      </c>
      <c r="C1594">
        <v>0</v>
      </c>
      <c r="D1594">
        <v>0</v>
      </c>
    </row>
    <row r="1595" spans="1:4" x14ac:dyDescent="0.25">
      <c r="A1595">
        <v>112500</v>
      </c>
      <c r="B1595">
        <v>30330</v>
      </c>
      <c r="C1595">
        <v>3033</v>
      </c>
      <c r="D1595">
        <v>0</v>
      </c>
    </row>
    <row r="1596" spans="1:4" x14ac:dyDescent="0.25">
      <c r="A1596">
        <v>112500</v>
      </c>
      <c r="B1596">
        <v>234292.5</v>
      </c>
      <c r="C1596">
        <v>0</v>
      </c>
      <c r="D1596">
        <v>0</v>
      </c>
    </row>
    <row r="1597" spans="1:4" x14ac:dyDescent="0.25">
      <c r="A1597">
        <v>99000</v>
      </c>
      <c r="B1597">
        <v>38763</v>
      </c>
      <c r="C1597">
        <v>3870</v>
      </c>
      <c r="D1597">
        <v>0</v>
      </c>
    </row>
    <row r="1598" spans="1:4" x14ac:dyDescent="0.25">
      <c r="A1598">
        <v>99000</v>
      </c>
      <c r="B1598">
        <v>105057</v>
      </c>
      <c r="C1598">
        <v>11250</v>
      </c>
      <c r="D1598">
        <v>1</v>
      </c>
    </row>
    <row r="1599" spans="1:4" x14ac:dyDescent="0.25">
      <c r="A1599">
        <v>99000</v>
      </c>
      <c r="B1599">
        <v>51885</v>
      </c>
      <c r="C1599">
        <v>9000</v>
      </c>
      <c r="D1599">
        <v>0</v>
      </c>
    </row>
    <row r="1600" spans="1:4" x14ac:dyDescent="0.25">
      <c r="A1600">
        <v>99000</v>
      </c>
      <c r="B1600">
        <v>105057</v>
      </c>
      <c r="C1600">
        <v>15057</v>
      </c>
      <c r="D1600">
        <v>0</v>
      </c>
    </row>
    <row r="1601" spans="1:4" x14ac:dyDescent="0.25">
      <c r="A1601">
        <v>99000</v>
      </c>
      <c r="B1601">
        <v>30960</v>
      </c>
      <c r="C1601">
        <v>3105</v>
      </c>
      <c r="D1601">
        <v>0</v>
      </c>
    </row>
    <row r="1602" spans="1:4" x14ac:dyDescent="0.25">
      <c r="A1602">
        <v>99000</v>
      </c>
      <c r="B1602">
        <v>26946</v>
      </c>
      <c r="C1602">
        <v>2695.5</v>
      </c>
      <c r="D1602">
        <v>0</v>
      </c>
    </row>
    <row r="1603" spans="1:4" x14ac:dyDescent="0.25">
      <c r="A1603">
        <v>45000</v>
      </c>
      <c r="B1603">
        <v>92389.5</v>
      </c>
      <c r="C1603">
        <v>4500</v>
      </c>
      <c r="D1603">
        <v>0</v>
      </c>
    </row>
    <row r="1604" spans="1:4" x14ac:dyDescent="0.25">
      <c r="A1604">
        <v>310500</v>
      </c>
      <c r="B1604">
        <v>54414</v>
      </c>
      <c r="C1604">
        <v>0</v>
      </c>
      <c r="D1604">
        <v>0</v>
      </c>
    </row>
    <row r="1605" spans="1:4" x14ac:dyDescent="0.25">
      <c r="A1605">
        <v>310500</v>
      </c>
      <c r="B1605">
        <v>195160.5</v>
      </c>
      <c r="C1605">
        <v>39033</v>
      </c>
      <c r="D1605">
        <v>0</v>
      </c>
    </row>
    <row r="1606" spans="1:4" x14ac:dyDescent="0.25">
      <c r="A1606">
        <v>81000</v>
      </c>
      <c r="B1606">
        <v>66150</v>
      </c>
      <c r="C1606">
        <v>18000</v>
      </c>
      <c r="D1606">
        <v>1</v>
      </c>
    </row>
    <row r="1607" spans="1:4" x14ac:dyDescent="0.25">
      <c r="A1607">
        <v>81000</v>
      </c>
      <c r="B1607">
        <v>21510</v>
      </c>
      <c r="C1607">
        <v>0</v>
      </c>
      <c r="D1607">
        <v>0</v>
      </c>
    </row>
    <row r="1608" spans="1:4" x14ac:dyDescent="0.25">
      <c r="A1608">
        <v>81000</v>
      </c>
      <c r="B1608">
        <v>27783</v>
      </c>
      <c r="C1608">
        <v>3150</v>
      </c>
      <c r="D1608">
        <v>0</v>
      </c>
    </row>
    <row r="1609" spans="1:4" x14ac:dyDescent="0.25">
      <c r="A1609">
        <v>81000</v>
      </c>
      <c r="B1609">
        <v>29349</v>
      </c>
      <c r="C1609">
        <v>0</v>
      </c>
      <c r="D1609">
        <v>0</v>
      </c>
    </row>
    <row r="1610" spans="1:4" x14ac:dyDescent="0.25">
      <c r="A1610">
        <v>81000</v>
      </c>
      <c r="B1610">
        <v>68076</v>
      </c>
      <c r="C1610">
        <v>22500</v>
      </c>
      <c r="D1610">
        <v>1</v>
      </c>
    </row>
    <row r="1611" spans="1:4" x14ac:dyDescent="0.25">
      <c r="A1611">
        <v>135000</v>
      </c>
      <c r="B1611">
        <v>80401.5</v>
      </c>
      <c r="C1611">
        <v>0</v>
      </c>
      <c r="D1611">
        <v>0</v>
      </c>
    </row>
    <row r="1612" spans="1:4" x14ac:dyDescent="0.25">
      <c r="A1612">
        <v>135000</v>
      </c>
      <c r="B1612">
        <v>222024.19500000001</v>
      </c>
      <c r="C1612">
        <v>19317.195</v>
      </c>
      <c r="D1612">
        <v>0</v>
      </c>
    </row>
    <row r="1613" spans="1:4" x14ac:dyDescent="0.25">
      <c r="A1613">
        <v>135000</v>
      </c>
      <c r="B1613">
        <v>141669</v>
      </c>
      <c r="C1613">
        <v>0</v>
      </c>
      <c r="D1613">
        <v>0</v>
      </c>
    </row>
    <row r="1614" spans="1:4" x14ac:dyDescent="0.25">
      <c r="A1614">
        <v>135000</v>
      </c>
      <c r="B1614">
        <v>95580</v>
      </c>
      <c r="C1614">
        <v>0</v>
      </c>
      <c r="D1614">
        <v>0</v>
      </c>
    </row>
    <row r="1615" spans="1:4" x14ac:dyDescent="0.25">
      <c r="A1615">
        <v>180000</v>
      </c>
      <c r="B1615">
        <v>90000</v>
      </c>
      <c r="C1615">
        <v>0</v>
      </c>
      <c r="D1615">
        <v>1</v>
      </c>
    </row>
    <row r="1616" spans="1:4" x14ac:dyDescent="0.25">
      <c r="A1616">
        <v>180000</v>
      </c>
      <c r="B1616">
        <v>92700</v>
      </c>
      <c r="C1616">
        <v>0</v>
      </c>
      <c r="D1616">
        <v>0</v>
      </c>
    </row>
    <row r="1617" spans="1:4" x14ac:dyDescent="0.25">
      <c r="A1617">
        <v>180000</v>
      </c>
      <c r="B1617">
        <v>121410</v>
      </c>
      <c r="C1617">
        <v>12141</v>
      </c>
      <c r="D1617">
        <v>0</v>
      </c>
    </row>
    <row r="1618" spans="1:4" x14ac:dyDescent="0.25">
      <c r="A1618">
        <v>121500</v>
      </c>
      <c r="B1618">
        <v>78300</v>
      </c>
      <c r="C1618">
        <v>0</v>
      </c>
      <c r="D1618">
        <v>0</v>
      </c>
    </row>
    <row r="1619" spans="1:4" x14ac:dyDescent="0.25">
      <c r="A1619">
        <v>225000</v>
      </c>
      <c r="B1619">
        <v>152005.5</v>
      </c>
      <c r="C1619">
        <v>13500</v>
      </c>
      <c r="D1619">
        <v>0</v>
      </c>
    </row>
    <row r="1620" spans="1:4" x14ac:dyDescent="0.25">
      <c r="A1620">
        <v>270000</v>
      </c>
      <c r="B1620">
        <v>21879</v>
      </c>
      <c r="C1620">
        <v>2191.5</v>
      </c>
      <c r="D1620">
        <v>0</v>
      </c>
    </row>
    <row r="1621" spans="1:4" x14ac:dyDescent="0.25">
      <c r="A1621">
        <v>135000</v>
      </c>
      <c r="B1621">
        <v>60075</v>
      </c>
      <c r="C1621">
        <v>6007.5</v>
      </c>
      <c r="D1621">
        <v>0</v>
      </c>
    </row>
    <row r="1622" spans="1:4" x14ac:dyDescent="0.25">
      <c r="A1622">
        <v>135000</v>
      </c>
      <c r="B1622">
        <v>31995.45</v>
      </c>
      <c r="C1622">
        <v>6394.95</v>
      </c>
      <c r="D1622">
        <v>0</v>
      </c>
    </row>
    <row r="1623" spans="1:4" x14ac:dyDescent="0.25">
      <c r="A1623">
        <v>135000</v>
      </c>
      <c r="B1623">
        <v>72625.5</v>
      </c>
      <c r="C1623">
        <v>13500</v>
      </c>
      <c r="D1623">
        <v>0</v>
      </c>
    </row>
    <row r="1624" spans="1:4" x14ac:dyDescent="0.25">
      <c r="A1624">
        <v>157500</v>
      </c>
      <c r="B1624">
        <v>127980</v>
      </c>
      <c r="C1624">
        <v>0</v>
      </c>
      <c r="D1624">
        <v>0</v>
      </c>
    </row>
    <row r="1625" spans="1:4" x14ac:dyDescent="0.25">
      <c r="A1625">
        <v>121500</v>
      </c>
      <c r="B1625">
        <v>68706</v>
      </c>
      <c r="C1625">
        <v>0</v>
      </c>
      <c r="D1625">
        <v>0</v>
      </c>
    </row>
    <row r="1626" spans="1:4" x14ac:dyDescent="0.25">
      <c r="A1626">
        <v>292500</v>
      </c>
      <c r="B1626">
        <v>24970.5</v>
      </c>
      <c r="C1626">
        <v>0</v>
      </c>
      <c r="D1626">
        <v>0</v>
      </c>
    </row>
    <row r="1627" spans="1:4" x14ac:dyDescent="0.25">
      <c r="A1627">
        <v>135000</v>
      </c>
      <c r="B1627">
        <v>44955</v>
      </c>
      <c r="C1627">
        <v>4495.5</v>
      </c>
      <c r="D1627">
        <v>0</v>
      </c>
    </row>
    <row r="1628" spans="1:4" x14ac:dyDescent="0.25">
      <c r="A1628">
        <v>135000</v>
      </c>
      <c r="B1628">
        <v>53955</v>
      </c>
      <c r="C1628">
        <v>0</v>
      </c>
      <c r="D1628">
        <v>0</v>
      </c>
    </row>
    <row r="1629" spans="1:4" x14ac:dyDescent="0.25">
      <c r="A1629">
        <v>135000</v>
      </c>
      <c r="B1629">
        <v>27859.275000000001</v>
      </c>
      <c r="C1629">
        <v>4.2750000000000004</v>
      </c>
      <c r="D1629">
        <v>0</v>
      </c>
    </row>
    <row r="1630" spans="1:4" x14ac:dyDescent="0.25">
      <c r="A1630">
        <v>450000</v>
      </c>
      <c r="B1630">
        <v>311391</v>
      </c>
      <c r="C1630">
        <v>62280</v>
      </c>
      <c r="D1630">
        <v>0</v>
      </c>
    </row>
    <row r="1631" spans="1:4" x14ac:dyDescent="0.25">
      <c r="A1631">
        <v>450000</v>
      </c>
      <c r="B1631">
        <v>332910</v>
      </c>
      <c r="C1631">
        <v>0</v>
      </c>
      <c r="D1631">
        <v>0</v>
      </c>
    </row>
    <row r="1632" spans="1:4" x14ac:dyDescent="0.25">
      <c r="A1632">
        <v>202500</v>
      </c>
      <c r="B1632">
        <v>59535</v>
      </c>
      <c r="C1632">
        <v>6750</v>
      </c>
      <c r="D1632">
        <v>0</v>
      </c>
    </row>
    <row r="1633" spans="1:4" x14ac:dyDescent="0.25">
      <c r="A1633">
        <v>315000</v>
      </c>
      <c r="B1633">
        <v>74704.5</v>
      </c>
      <c r="C1633">
        <v>0</v>
      </c>
      <c r="D1633">
        <v>0</v>
      </c>
    </row>
    <row r="1634" spans="1:4" x14ac:dyDescent="0.25">
      <c r="A1634">
        <v>315000</v>
      </c>
      <c r="B1634">
        <v>152622</v>
      </c>
      <c r="C1634">
        <v>0</v>
      </c>
      <c r="D1634">
        <v>1</v>
      </c>
    </row>
    <row r="1635" spans="1:4" x14ac:dyDescent="0.25">
      <c r="A1635">
        <v>315000</v>
      </c>
      <c r="B1635">
        <v>152622</v>
      </c>
      <c r="C1635">
        <v>0</v>
      </c>
      <c r="D1635">
        <v>1</v>
      </c>
    </row>
    <row r="1636" spans="1:4" x14ac:dyDescent="0.25">
      <c r="A1636">
        <v>315000</v>
      </c>
      <c r="B1636">
        <v>157653</v>
      </c>
      <c r="C1636">
        <v>15768</v>
      </c>
      <c r="D1636">
        <v>0</v>
      </c>
    </row>
    <row r="1637" spans="1:4" x14ac:dyDescent="0.25">
      <c r="A1637">
        <v>94500</v>
      </c>
      <c r="B1637">
        <v>67500</v>
      </c>
      <c r="C1637">
        <v>0</v>
      </c>
      <c r="D1637">
        <v>0</v>
      </c>
    </row>
    <row r="1638" spans="1:4" x14ac:dyDescent="0.25">
      <c r="A1638">
        <v>94500</v>
      </c>
      <c r="B1638">
        <v>90000</v>
      </c>
      <c r="C1638">
        <v>0</v>
      </c>
      <c r="D1638">
        <v>0</v>
      </c>
    </row>
    <row r="1639" spans="1:4" x14ac:dyDescent="0.25">
      <c r="A1639">
        <v>180000</v>
      </c>
      <c r="B1639">
        <v>39375</v>
      </c>
      <c r="C1639">
        <v>0</v>
      </c>
      <c r="D1639">
        <v>0</v>
      </c>
    </row>
    <row r="1640" spans="1:4" x14ac:dyDescent="0.25">
      <c r="A1640">
        <v>180000</v>
      </c>
      <c r="B1640">
        <v>145314</v>
      </c>
      <c r="C1640">
        <v>0</v>
      </c>
      <c r="D1640">
        <v>0</v>
      </c>
    </row>
    <row r="1641" spans="1:4" x14ac:dyDescent="0.25">
      <c r="A1641">
        <v>202500</v>
      </c>
      <c r="B1641">
        <v>675000</v>
      </c>
      <c r="C1641">
        <v>0</v>
      </c>
      <c r="D1641">
        <v>1</v>
      </c>
    </row>
    <row r="1642" spans="1:4" x14ac:dyDescent="0.25">
      <c r="A1642">
        <v>202500</v>
      </c>
      <c r="B1642">
        <v>157500</v>
      </c>
      <c r="C1642">
        <v>0</v>
      </c>
      <c r="D1642">
        <v>1</v>
      </c>
    </row>
    <row r="1643" spans="1:4" x14ac:dyDescent="0.25">
      <c r="A1643">
        <v>202500</v>
      </c>
      <c r="B1643">
        <v>171000</v>
      </c>
      <c r="C1643">
        <v>0</v>
      </c>
      <c r="D1643">
        <v>0</v>
      </c>
    </row>
    <row r="1644" spans="1:4" x14ac:dyDescent="0.25">
      <c r="A1644">
        <v>54000</v>
      </c>
      <c r="B1644">
        <v>41670</v>
      </c>
      <c r="C1644">
        <v>0</v>
      </c>
      <c r="D1644">
        <v>0</v>
      </c>
    </row>
    <row r="1645" spans="1:4" x14ac:dyDescent="0.25">
      <c r="A1645">
        <v>157500</v>
      </c>
      <c r="B1645">
        <v>69745.5</v>
      </c>
      <c r="C1645">
        <v>0</v>
      </c>
      <c r="D1645">
        <v>1</v>
      </c>
    </row>
    <row r="1646" spans="1:4" x14ac:dyDescent="0.25">
      <c r="A1646">
        <v>157500</v>
      </c>
      <c r="B1646">
        <v>31144.5</v>
      </c>
      <c r="C1646">
        <v>3150</v>
      </c>
      <c r="D1646">
        <v>0</v>
      </c>
    </row>
    <row r="1647" spans="1:4" x14ac:dyDescent="0.25">
      <c r="A1647">
        <v>225000</v>
      </c>
      <c r="B1647">
        <v>60750</v>
      </c>
      <c r="C1647">
        <v>0</v>
      </c>
      <c r="D1647">
        <v>0</v>
      </c>
    </row>
    <row r="1648" spans="1:4" x14ac:dyDescent="0.25">
      <c r="A1648">
        <v>225000</v>
      </c>
      <c r="B1648">
        <v>66541.5</v>
      </c>
      <c r="C1648">
        <v>450</v>
      </c>
      <c r="D1648">
        <v>0</v>
      </c>
    </row>
    <row r="1649" spans="1:4" x14ac:dyDescent="0.25">
      <c r="A1649">
        <v>225000</v>
      </c>
      <c r="B1649">
        <v>256500</v>
      </c>
      <c r="C1649">
        <v>0</v>
      </c>
      <c r="D1649">
        <v>0</v>
      </c>
    </row>
    <row r="1650" spans="1:4" x14ac:dyDescent="0.25">
      <c r="A1650">
        <v>112500</v>
      </c>
      <c r="B1650">
        <v>83700</v>
      </c>
      <c r="C1650">
        <v>0</v>
      </c>
      <c r="D1650">
        <v>0</v>
      </c>
    </row>
    <row r="1651" spans="1:4" x14ac:dyDescent="0.25">
      <c r="A1651">
        <v>46948.5</v>
      </c>
      <c r="B1651">
        <v>49842</v>
      </c>
      <c r="C1651">
        <v>0</v>
      </c>
      <c r="D1651">
        <v>0</v>
      </c>
    </row>
    <row r="1652" spans="1:4" x14ac:dyDescent="0.25">
      <c r="A1652">
        <v>180000</v>
      </c>
      <c r="B1652">
        <v>202500</v>
      </c>
      <c r="C1652">
        <v>0</v>
      </c>
      <c r="D1652">
        <v>0</v>
      </c>
    </row>
    <row r="1653" spans="1:4" x14ac:dyDescent="0.25">
      <c r="A1653">
        <v>171000</v>
      </c>
      <c r="B1653">
        <v>82665</v>
      </c>
      <c r="C1653">
        <v>8266.5</v>
      </c>
      <c r="D1653">
        <v>0</v>
      </c>
    </row>
    <row r="1654" spans="1:4" x14ac:dyDescent="0.25">
      <c r="A1654">
        <v>135000</v>
      </c>
      <c r="B1654">
        <v>91264.5</v>
      </c>
      <c r="C1654">
        <v>0</v>
      </c>
      <c r="D1654">
        <v>0</v>
      </c>
    </row>
    <row r="1655" spans="1:4" x14ac:dyDescent="0.25">
      <c r="A1655">
        <v>135000</v>
      </c>
      <c r="B1655">
        <v>34821</v>
      </c>
      <c r="C1655">
        <v>0</v>
      </c>
      <c r="D1655">
        <v>0</v>
      </c>
    </row>
    <row r="1656" spans="1:4" x14ac:dyDescent="0.25">
      <c r="A1656">
        <v>315000</v>
      </c>
      <c r="B1656">
        <v>26910</v>
      </c>
      <c r="C1656">
        <v>4500</v>
      </c>
      <c r="D1656">
        <v>0</v>
      </c>
    </row>
    <row r="1657" spans="1:4" x14ac:dyDescent="0.25">
      <c r="A1657">
        <v>225000</v>
      </c>
      <c r="B1657">
        <v>40954.5</v>
      </c>
      <c r="C1657">
        <v>8194.5</v>
      </c>
      <c r="D1657">
        <v>0</v>
      </c>
    </row>
    <row r="1658" spans="1:4" x14ac:dyDescent="0.25">
      <c r="A1658">
        <v>175500</v>
      </c>
      <c r="B1658">
        <v>161599.5</v>
      </c>
      <c r="C1658">
        <v>16164</v>
      </c>
      <c r="D1658">
        <v>0</v>
      </c>
    </row>
    <row r="1659" spans="1:4" x14ac:dyDescent="0.25">
      <c r="A1659">
        <v>202500</v>
      </c>
      <c r="B1659">
        <v>347463</v>
      </c>
      <c r="C1659">
        <v>34749</v>
      </c>
      <c r="D1659">
        <v>0</v>
      </c>
    </row>
    <row r="1660" spans="1:4" x14ac:dyDescent="0.25">
      <c r="A1660">
        <v>135000</v>
      </c>
      <c r="B1660">
        <v>64755</v>
      </c>
      <c r="C1660">
        <v>6475.5</v>
      </c>
      <c r="D1660">
        <v>0</v>
      </c>
    </row>
    <row r="1661" spans="1:4" x14ac:dyDescent="0.25">
      <c r="A1661">
        <v>67500</v>
      </c>
      <c r="B1661">
        <v>99000</v>
      </c>
      <c r="C1661">
        <v>22500</v>
      </c>
      <c r="D1661">
        <v>0</v>
      </c>
    </row>
    <row r="1662" spans="1:4" x14ac:dyDescent="0.25">
      <c r="A1662">
        <v>67500</v>
      </c>
      <c r="B1662">
        <v>86184</v>
      </c>
      <c r="C1662">
        <v>0</v>
      </c>
      <c r="D1662">
        <v>0</v>
      </c>
    </row>
    <row r="1663" spans="1:4" x14ac:dyDescent="0.25">
      <c r="A1663">
        <v>67500</v>
      </c>
      <c r="B1663">
        <v>26941.5</v>
      </c>
      <c r="C1663">
        <v>2700</v>
      </c>
      <c r="D1663">
        <v>0</v>
      </c>
    </row>
    <row r="1664" spans="1:4" x14ac:dyDescent="0.25">
      <c r="A1664">
        <v>225000</v>
      </c>
      <c r="B1664">
        <v>371835</v>
      </c>
      <c r="C1664">
        <v>37183.5</v>
      </c>
      <c r="D1664">
        <v>0</v>
      </c>
    </row>
    <row r="1665" spans="1:4" x14ac:dyDescent="0.25">
      <c r="A1665">
        <v>225000</v>
      </c>
      <c r="B1665">
        <v>71680.5</v>
      </c>
      <c r="C1665">
        <v>0</v>
      </c>
      <c r="D1665">
        <v>0</v>
      </c>
    </row>
    <row r="1666" spans="1:4" x14ac:dyDescent="0.25">
      <c r="A1666">
        <v>225000</v>
      </c>
      <c r="B1666">
        <v>27855</v>
      </c>
      <c r="C1666">
        <v>0</v>
      </c>
      <c r="D1666">
        <v>0</v>
      </c>
    </row>
    <row r="1667" spans="1:4" x14ac:dyDescent="0.25">
      <c r="A1667">
        <v>130500</v>
      </c>
      <c r="B1667">
        <v>96498</v>
      </c>
      <c r="C1667">
        <v>9652.5</v>
      </c>
      <c r="D1667">
        <v>0</v>
      </c>
    </row>
    <row r="1668" spans="1:4" x14ac:dyDescent="0.25">
      <c r="A1668">
        <v>130500</v>
      </c>
      <c r="B1668">
        <v>31450.5</v>
      </c>
      <c r="C1668">
        <v>3145.5</v>
      </c>
      <c r="D1668">
        <v>0</v>
      </c>
    </row>
    <row r="1669" spans="1:4" x14ac:dyDescent="0.25">
      <c r="A1669">
        <v>112500</v>
      </c>
      <c r="B1669">
        <v>34276.5</v>
      </c>
      <c r="C1669">
        <v>0</v>
      </c>
      <c r="D1669">
        <v>0</v>
      </c>
    </row>
    <row r="1670" spans="1:4" x14ac:dyDescent="0.25">
      <c r="A1670">
        <v>157500</v>
      </c>
      <c r="B1670">
        <v>180000</v>
      </c>
      <c r="C1670">
        <v>0</v>
      </c>
      <c r="D1670">
        <v>0</v>
      </c>
    </row>
    <row r="1671" spans="1:4" x14ac:dyDescent="0.25">
      <c r="A1671">
        <v>157500</v>
      </c>
      <c r="B1671">
        <v>34569</v>
      </c>
      <c r="C1671">
        <v>9000</v>
      </c>
      <c r="D1671">
        <v>0</v>
      </c>
    </row>
    <row r="1672" spans="1:4" x14ac:dyDescent="0.25">
      <c r="A1672">
        <v>157500</v>
      </c>
      <c r="B1672">
        <v>16398</v>
      </c>
      <c r="C1672">
        <v>1800</v>
      </c>
      <c r="D1672">
        <v>0</v>
      </c>
    </row>
    <row r="1673" spans="1:4" x14ac:dyDescent="0.25">
      <c r="A1673">
        <v>157500</v>
      </c>
      <c r="B1673">
        <v>55890</v>
      </c>
      <c r="C1673">
        <v>0</v>
      </c>
      <c r="D1673">
        <v>0</v>
      </c>
    </row>
    <row r="1674" spans="1:4" x14ac:dyDescent="0.25">
      <c r="A1674">
        <v>157500</v>
      </c>
      <c r="B1674">
        <v>25110</v>
      </c>
      <c r="C1674">
        <v>0</v>
      </c>
      <c r="D1674">
        <v>0</v>
      </c>
    </row>
    <row r="1675" spans="1:4" x14ac:dyDescent="0.25">
      <c r="A1675">
        <v>130500</v>
      </c>
      <c r="B1675">
        <v>135000</v>
      </c>
      <c r="C1675">
        <v>0</v>
      </c>
      <c r="D1675">
        <v>0</v>
      </c>
    </row>
    <row r="1676" spans="1:4" x14ac:dyDescent="0.25">
      <c r="A1676">
        <v>130500</v>
      </c>
      <c r="B1676">
        <v>25425</v>
      </c>
      <c r="C1676">
        <v>2565</v>
      </c>
      <c r="D1676">
        <v>0</v>
      </c>
    </row>
    <row r="1677" spans="1:4" x14ac:dyDescent="0.25">
      <c r="A1677">
        <v>270000</v>
      </c>
      <c r="B1677">
        <v>41575.5</v>
      </c>
      <c r="C1677">
        <v>4500</v>
      </c>
      <c r="D1677">
        <v>0</v>
      </c>
    </row>
    <row r="1678" spans="1:4" x14ac:dyDescent="0.25">
      <c r="A1678">
        <v>135000</v>
      </c>
      <c r="B1678">
        <v>40009.5</v>
      </c>
      <c r="C1678">
        <v>7159.5</v>
      </c>
      <c r="D1678">
        <v>0</v>
      </c>
    </row>
    <row r="1679" spans="1:4" x14ac:dyDescent="0.25">
      <c r="A1679">
        <v>81000</v>
      </c>
      <c r="B1679">
        <v>59850</v>
      </c>
      <c r="C1679">
        <v>0</v>
      </c>
      <c r="D1679">
        <v>0</v>
      </c>
    </row>
    <row r="1680" spans="1:4" x14ac:dyDescent="0.25">
      <c r="A1680">
        <v>81000</v>
      </c>
      <c r="B1680">
        <v>100170</v>
      </c>
      <c r="C1680">
        <v>0</v>
      </c>
      <c r="D1680">
        <v>0</v>
      </c>
    </row>
    <row r="1681" spans="1:4" x14ac:dyDescent="0.25">
      <c r="A1681">
        <v>81000</v>
      </c>
      <c r="B1681">
        <v>141300</v>
      </c>
      <c r="C1681">
        <v>14130</v>
      </c>
      <c r="D1681">
        <v>0</v>
      </c>
    </row>
    <row r="1682" spans="1:4" x14ac:dyDescent="0.25">
      <c r="A1682">
        <v>247500</v>
      </c>
      <c r="B1682">
        <v>43506</v>
      </c>
      <c r="C1682">
        <v>4351.5</v>
      </c>
      <c r="D1682">
        <v>0</v>
      </c>
    </row>
    <row r="1683" spans="1:4" x14ac:dyDescent="0.25">
      <c r="A1683">
        <v>247500</v>
      </c>
      <c r="B1683">
        <v>72261</v>
      </c>
      <c r="C1683">
        <v>7227</v>
      </c>
      <c r="D1683">
        <v>0</v>
      </c>
    </row>
    <row r="1684" spans="1:4" x14ac:dyDescent="0.25">
      <c r="A1684">
        <v>112500</v>
      </c>
      <c r="B1684">
        <v>47317.5</v>
      </c>
      <c r="C1684">
        <v>4734</v>
      </c>
      <c r="D1684">
        <v>0</v>
      </c>
    </row>
    <row r="1685" spans="1:4" x14ac:dyDescent="0.25">
      <c r="A1685">
        <v>112500</v>
      </c>
      <c r="B1685">
        <v>48555</v>
      </c>
      <c r="C1685">
        <v>9711</v>
      </c>
      <c r="D1685">
        <v>0</v>
      </c>
    </row>
    <row r="1686" spans="1:4" x14ac:dyDescent="0.25">
      <c r="A1686">
        <v>112500</v>
      </c>
      <c r="B1686">
        <v>17464.05</v>
      </c>
      <c r="C1686">
        <v>1754.55</v>
      </c>
      <c r="D1686">
        <v>0</v>
      </c>
    </row>
    <row r="1687" spans="1:4" x14ac:dyDescent="0.25">
      <c r="A1687">
        <v>135000</v>
      </c>
      <c r="B1687">
        <v>206991</v>
      </c>
      <c r="C1687">
        <v>67500</v>
      </c>
      <c r="D1687">
        <v>0</v>
      </c>
    </row>
    <row r="1688" spans="1:4" x14ac:dyDescent="0.25">
      <c r="A1688">
        <v>135000</v>
      </c>
      <c r="B1688">
        <v>71757</v>
      </c>
      <c r="C1688">
        <v>7177.5</v>
      </c>
      <c r="D1688">
        <v>0</v>
      </c>
    </row>
    <row r="1689" spans="1:4" x14ac:dyDescent="0.25">
      <c r="A1689">
        <v>135000</v>
      </c>
      <c r="B1689">
        <v>166720.5</v>
      </c>
      <c r="C1689">
        <v>0</v>
      </c>
      <c r="D1689">
        <v>0</v>
      </c>
    </row>
    <row r="1690" spans="1:4" x14ac:dyDescent="0.25">
      <c r="A1690">
        <v>315000</v>
      </c>
      <c r="B1690">
        <v>90855</v>
      </c>
      <c r="C1690">
        <v>18171</v>
      </c>
      <c r="D1690">
        <v>0</v>
      </c>
    </row>
    <row r="1691" spans="1:4" x14ac:dyDescent="0.25">
      <c r="A1691">
        <v>90000</v>
      </c>
      <c r="B1691">
        <v>95917.5</v>
      </c>
      <c r="C1691">
        <v>0</v>
      </c>
      <c r="D1691">
        <v>0</v>
      </c>
    </row>
    <row r="1692" spans="1:4" x14ac:dyDescent="0.25">
      <c r="A1692">
        <v>180000</v>
      </c>
      <c r="B1692">
        <v>103941</v>
      </c>
      <c r="C1692">
        <v>18441</v>
      </c>
      <c r="D1692">
        <v>0</v>
      </c>
    </row>
    <row r="1693" spans="1:4" x14ac:dyDescent="0.25">
      <c r="A1693">
        <v>180000</v>
      </c>
      <c r="B1693">
        <v>76459.274999999994</v>
      </c>
      <c r="C1693">
        <v>31504.275000000001</v>
      </c>
      <c r="D1693">
        <v>0</v>
      </c>
    </row>
    <row r="1694" spans="1:4" x14ac:dyDescent="0.25">
      <c r="A1694">
        <v>112500</v>
      </c>
      <c r="B1694">
        <v>94873.5</v>
      </c>
      <c r="C1694">
        <v>4725</v>
      </c>
      <c r="D1694">
        <v>0</v>
      </c>
    </row>
    <row r="1695" spans="1:4" x14ac:dyDescent="0.25">
      <c r="A1695">
        <v>112500</v>
      </c>
      <c r="B1695">
        <v>127138.5</v>
      </c>
      <c r="C1695">
        <v>0</v>
      </c>
      <c r="D1695">
        <v>0</v>
      </c>
    </row>
    <row r="1696" spans="1:4" x14ac:dyDescent="0.25">
      <c r="A1696">
        <v>270000</v>
      </c>
      <c r="B1696">
        <v>37260</v>
      </c>
      <c r="C1696">
        <v>3726</v>
      </c>
      <c r="D1696">
        <v>0</v>
      </c>
    </row>
    <row r="1697" spans="1:4" x14ac:dyDescent="0.25">
      <c r="A1697">
        <v>270000</v>
      </c>
      <c r="B1697">
        <v>72000</v>
      </c>
      <c r="C1697">
        <v>0</v>
      </c>
      <c r="D1697">
        <v>0</v>
      </c>
    </row>
    <row r="1698" spans="1:4" x14ac:dyDescent="0.25">
      <c r="A1698">
        <v>270000</v>
      </c>
      <c r="B1698">
        <v>180000</v>
      </c>
      <c r="C1698">
        <v>0</v>
      </c>
      <c r="D1698">
        <v>0</v>
      </c>
    </row>
    <row r="1699" spans="1:4" x14ac:dyDescent="0.25">
      <c r="A1699">
        <v>270000</v>
      </c>
      <c r="B1699">
        <v>58500</v>
      </c>
      <c r="C1699">
        <v>0</v>
      </c>
      <c r="D1699">
        <v>1</v>
      </c>
    </row>
    <row r="1700" spans="1:4" x14ac:dyDescent="0.25">
      <c r="A1700">
        <v>270000</v>
      </c>
      <c r="B1700">
        <v>83655</v>
      </c>
      <c r="C1700">
        <v>8365.5</v>
      </c>
      <c r="D1700">
        <v>0</v>
      </c>
    </row>
    <row r="1701" spans="1:4" x14ac:dyDescent="0.25">
      <c r="A1701">
        <v>87750</v>
      </c>
      <c r="B1701">
        <v>24403.5</v>
      </c>
      <c r="C1701">
        <v>2443.5</v>
      </c>
      <c r="D1701">
        <v>0</v>
      </c>
    </row>
    <row r="1702" spans="1:4" x14ac:dyDescent="0.25">
      <c r="A1702">
        <v>135000</v>
      </c>
      <c r="B1702">
        <v>202500</v>
      </c>
      <c r="C1702">
        <v>0</v>
      </c>
      <c r="D1702">
        <v>0</v>
      </c>
    </row>
    <row r="1703" spans="1:4" x14ac:dyDescent="0.25">
      <c r="A1703">
        <v>180000</v>
      </c>
      <c r="B1703">
        <v>46300.5</v>
      </c>
      <c r="C1703">
        <v>4630.5</v>
      </c>
      <c r="D1703">
        <v>0</v>
      </c>
    </row>
    <row r="1704" spans="1:4" x14ac:dyDescent="0.25">
      <c r="A1704">
        <v>180000</v>
      </c>
      <c r="B1704">
        <v>150291</v>
      </c>
      <c r="C1704">
        <v>15030</v>
      </c>
      <c r="D1704">
        <v>0</v>
      </c>
    </row>
    <row r="1705" spans="1:4" x14ac:dyDescent="0.25">
      <c r="A1705">
        <v>126000</v>
      </c>
      <c r="B1705">
        <v>50625</v>
      </c>
      <c r="C1705">
        <v>5062.5</v>
      </c>
      <c r="D1705">
        <v>0</v>
      </c>
    </row>
    <row r="1706" spans="1:4" x14ac:dyDescent="0.25">
      <c r="A1706">
        <v>126000</v>
      </c>
      <c r="B1706">
        <v>43600.5</v>
      </c>
      <c r="C1706">
        <v>4360.5</v>
      </c>
      <c r="D1706">
        <v>0</v>
      </c>
    </row>
    <row r="1707" spans="1:4" x14ac:dyDescent="0.25">
      <c r="A1707">
        <v>126000</v>
      </c>
      <c r="B1707">
        <v>49900.5</v>
      </c>
      <c r="C1707">
        <v>4990.5</v>
      </c>
      <c r="D1707">
        <v>0</v>
      </c>
    </row>
    <row r="1708" spans="1:4" x14ac:dyDescent="0.25">
      <c r="A1708">
        <v>112500</v>
      </c>
      <c r="B1708">
        <v>62325.45</v>
      </c>
      <c r="C1708">
        <v>24930.45</v>
      </c>
      <c r="D1708">
        <v>0</v>
      </c>
    </row>
    <row r="1709" spans="1:4" x14ac:dyDescent="0.25">
      <c r="A1709">
        <v>135000</v>
      </c>
      <c r="B1709">
        <v>72405</v>
      </c>
      <c r="C1709">
        <v>7240.5</v>
      </c>
      <c r="D1709">
        <v>0</v>
      </c>
    </row>
    <row r="1710" spans="1:4" x14ac:dyDescent="0.25">
      <c r="A1710">
        <v>135000</v>
      </c>
      <c r="B1710">
        <v>162000</v>
      </c>
      <c r="C1710">
        <v>0</v>
      </c>
      <c r="D1710">
        <v>0</v>
      </c>
    </row>
    <row r="1711" spans="1:4" x14ac:dyDescent="0.25">
      <c r="A1711">
        <v>67500</v>
      </c>
      <c r="B1711">
        <v>360000</v>
      </c>
      <c r="C1711">
        <v>0</v>
      </c>
      <c r="D1711">
        <v>0</v>
      </c>
    </row>
    <row r="1712" spans="1:4" x14ac:dyDescent="0.25">
      <c r="A1712">
        <v>103500</v>
      </c>
      <c r="B1712">
        <v>84424.5</v>
      </c>
      <c r="C1712">
        <v>0</v>
      </c>
      <c r="D1712">
        <v>0</v>
      </c>
    </row>
    <row r="1713" spans="1:4" x14ac:dyDescent="0.25">
      <c r="A1713">
        <v>156600</v>
      </c>
      <c r="B1713">
        <v>116086.5</v>
      </c>
      <c r="C1713">
        <v>0</v>
      </c>
      <c r="D1713">
        <v>0</v>
      </c>
    </row>
    <row r="1714" spans="1:4" x14ac:dyDescent="0.25">
      <c r="A1714">
        <v>156600</v>
      </c>
      <c r="B1714">
        <v>110205</v>
      </c>
      <c r="C1714">
        <v>11020.5</v>
      </c>
      <c r="D1714">
        <v>0</v>
      </c>
    </row>
    <row r="1715" spans="1:4" x14ac:dyDescent="0.25">
      <c r="A1715">
        <v>156600</v>
      </c>
      <c r="B1715">
        <v>189355.5</v>
      </c>
      <c r="C1715">
        <v>18936</v>
      </c>
      <c r="D1715">
        <v>0</v>
      </c>
    </row>
    <row r="1716" spans="1:4" x14ac:dyDescent="0.25">
      <c r="A1716">
        <v>126000</v>
      </c>
      <c r="B1716">
        <v>40477.5</v>
      </c>
      <c r="C1716">
        <v>0</v>
      </c>
      <c r="D1716">
        <v>0</v>
      </c>
    </row>
    <row r="1717" spans="1:4" x14ac:dyDescent="0.25">
      <c r="A1717">
        <v>180000</v>
      </c>
      <c r="B1717">
        <v>38925</v>
      </c>
      <c r="C1717">
        <v>0</v>
      </c>
      <c r="D1717">
        <v>0</v>
      </c>
    </row>
    <row r="1718" spans="1:4" x14ac:dyDescent="0.25">
      <c r="A1718">
        <v>135000</v>
      </c>
      <c r="B1718">
        <v>17851.5</v>
      </c>
      <c r="C1718">
        <v>3573</v>
      </c>
      <c r="D1718">
        <v>0</v>
      </c>
    </row>
    <row r="1719" spans="1:4" x14ac:dyDescent="0.25">
      <c r="A1719">
        <v>135000</v>
      </c>
      <c r="B1719">
        <v>108130.5</v>
      </c>
      <c r="C1719">
        <v>43254</v>
      </c>
      <c r="D1719">
        <v>0</v>
      </c>
    </row>
    <row r="1720" spans="1:4" x14ac:dyDescent="0.25">
      <c r="A1720">
        <v>225000</v>
      </c>
      <c r="B1720">
        <v>83673</v>
      </c>
      <c r="C1720">
        <v>0</v>
      </c>
      <c r="D1720">
        <v>0</v>
      </c>
    </row>
    <row r="1721" spans="1:4" x14ac:dyDescent="0.25">
      <c r="A1721">
        <v>112500</v>
      </c>
      <c r="B1721">
        <v>38700</v>
      </c>
      <c r="C1721">
        <v>3870</v>
      </c>
      <c r="D1721">
        <v>1</v>
      </c>
    </row>
    <row r="1722" spans="1:4" x14ac:dyDescent="0.25">
      <c r="A1722">
        <v>112500</v>
      </c>
      <c r="B1722">
        <v>44996.4</v>
      </c>
      <c r="C1722">
        <v>4500.8999999999996</v>
      </c>
      <c r="D1722">
        <v>0</v>
      </c>
    </row>
    <row r="1723" spans="1:4" x14ac:dyDescent="0.25">
      <c r="A1723">
        <v>112500</v>
      </c>
      <c r="B1723">
        <v>45126</v>
      </c>
      <c r="C1723">
        <v>4513.5</v>
      </c>
      <c r="D1723">
        <v>0</v>
      </c>
    </row>
    <row r="1724" spans="1:4" x14ac:dyDescent="0.25">
      <c r="A1724">
        <v>157500</v>
      </c>
      <c r="B1724">
        <v>106195.5</v>
      </c>
      <c r="C1724">
        <v>10620</v>
      </c>
      <c r="D1724">
        <v>1</v>
      </c>
    </row>
    <row r="1725" spans="1:4" x14ac:dyDescent="0.25">
      <c r="A1725">
        <v>157500</v>
      </c>
      <c r="B1725">
        <v>32490</v>
      </c>
      <c r="C1725">
        <v>3600</v>
      </c>
      <c r="D1725">
        <v>0</v>
      </c>
    </row>
    <row r="1726" spans="1:4" x14ac:dyDescent="0.25">
      <c r="A1726">
        <v>157500</v>
      </c>
      <c r="B1726">
        <v>106195.5</v>
      </c>
      <c r="C1726">
        <v>10620</v>
      </c>
      <c r="D1726">
        <v>1</v>
      </c>
    </row>
    <row r="1727" spans="1:4" x14ac:dyDescent="0.25">
      <c r="A1727">
        <v>247500</v>
      </c>
      <c r="B1727">
        <v>160798.5</v>
      </c>
      <c r="C1727">
        <v>64323</v>
      </c>
      <c r="D1727">
        <v>0</v>
      </c>
    </row>
    <row r="1728" spans="1:4" x14ac:dyDescent="0.25">
      <c r="A1728">
        <v>247500</v>
      </c>
      <c r="B1728">
        <v>33435</v>
      </c>
      <c r="C1728">
        <v>3343.5</v>
      </c>
      <c r="D1728">
        <v>0</v>
      </c>
    </row>
    <row r="1729" spans="1:4" x14ac:dyDescent="0.25">
      <c r="A1729">
        <v>157500</v>
      </c>
      <c r="B1729">
        <v>18382.5</v>
      </c>
      <c r="C1729">
        <v>2250</v>
      </c>
      <c r="D1729">
        <v>0</v>
      </c>
    </row>
    <row r="1730" spans="1:4" x14ac:dyDescent="0.25">
      <c r="A1730">
        <v>315000</v>
      </c>
      <c r="B1730">
        <v>33075</v>
      </c>
      <c r="C1730">
        <v>0</v>
      </c>
      <c r="D1730">
        <v>0</v>
      </c>
    </row>
    <row r="1731" spans="1:4" x14ac:dyDescent="0.25">
      <c r="A1731">
        <v>292500</v>
      </c>
      <c r="B1731">
        <v>352800</v>
      </c>
      <c r="C1731">
        <v>0</v>
      </c>
      <c r="D1731">
        <v>0</v>
      </c>
    </row>
    <row r="1732" spans="1:4" x14ac:dyDescent="0.25">
      <c r="A1732">
        <v>112500</v>
      </c>
      <c r="B1732">
        <v>101574</v>
      </c>
      <c r="C1732">
        <v>0</v>
      </c>
      <c r="D1732">
        <v>0</v>
      </c>
    </row>
    <row r="1733" spans="1:4" x14ac:dyDescent="0.25">
      <c r="A1733">
        <v>315000</v>
      </c>
      <c r="B1733">
        <v>44550</v>
      </c>
      <c r="C1733">
        <v>0</v>
      </c>
      <c r="D1733">
        <v>0</v>
      </c>
    </row>
    <row r="1734" spans="1:4" x14ac:dyDescent="0.25">
      <c r="A1734">
        <v>112500</v>
      </c>
      <c r="B1734">
        <v>41571</v>
      </c>
      <c r="C1734">
        <v>0</v>
      </c>
      <c r="D1734">
        <v>0</v>
      </c>
    </row>
    <row r="1735" spans="1:4" x14ac:dyDescent="0.25">
      <c r="A1735">
        <v>202500</v>
      </c>
      <c r="B1735">
        <v>49495.5</v>
      </c>
      <c r="C1735">
        <v>9900</v>
      </c>
      <c r="D1735">
        <v>0</v>
      </c>
    </row>
    <row r="1736" spans="1:4" x14ac:dyDescent="0.25">
      <c r="A1736">
        <v>202500</v>
      </c>
      <c r="B1736">
        <v>28251</v>
      </c>
      <c r="C1736">
        <v>0</v>
      </c>
      <c r="D1736">
        <v>0</v>
      </c>
    </row>
    <row r="1737" spans="1:4" x14ac:dyDescent="0.25">
      <c r="A1737">
        <v>180000</v>
      </c>
      <c r="B1737">
        <v>45171</v>
      </c>
      <c r="C1737">
        <v>9036</v>
      </c>
      <c r="D1737">
        <v>0</v>
      </c>
    </row>
    <row r="1738" spans="1:4" x14ac:dyDescent="0.25">
      <c r="A1738">
        <v>180000</v>
      </c>
      <c r="B1738">
        <v>32805</v>
      </c>
      <c r="C1738">
        <v>3375</v>
      </c>
      <c r="D1738">
        <v>1</v>
      </c>
    </row>
    <row r="1739" spans="1:4" x14ac:dyDescent="0.25">
      <c r="A1739">
        <v>36000</v>
      </c>
      <c r="B1739">
        <v>288000</v>
      </c>
      <c r="C1739">
        <v>0</v>
      </c>
      <c r="D1739">
        <v>0</v>
      </c>
    </row>
    <row r="1740" spans="1:4" x14ac:dyDescent="0.25">
      <c r="A1740">
        <v>36000</v>
      </c>
      <c r="B1740">
        <v>270000</v>
      </c>
      <c r="C1740">
        <v>0</v>
      </c>
      <c r="D1740">
        <v>0</v>
      </c>
    </row>
    <row r="1741" spans="1:4" x14ac:dyDescent="0.25">
      <c r="A1741">
        <v>90000</v>
      </c>
      <c r="B1741">
        <v>25155</v>
      </c>
      <c r="C1741">
        <v>2515.5</v>
      </c>
      <c r="D1741">
        <v>0</v>
      </c>
    </row>
    <row r="1742" spans="1:4" x14ac:dyDescent="0.25">
      <c r="A1742">
        <v>180000</v>
      </c>
      <c r="B1742">
        <v>123759</v>
      </c>
      <c r="C1742">
        <v>0</v>
      </c>
      <c r="D1742">
        <v>0</v>
      </c>
    </row>
    <row r="1743" spans="1:4" x14ac:dyDescent="0.25">
      <c r="A1743">
        <v>292500</v>
      </c>
      <c r="B1743">
        <v>51277.5</v>
      </c>
      <c r="C1743">
        <v>5400</v>
      </c>
      <c r="D1743">
        <v>0</v>
      </c>
    </row>
    <row r="1744" spans="1:4" x14ac:dyDescent="0.25">
      <c r="A1744">
        <v>292500</v>
      </c>
      <c r="B1744">
        <v>45000</v>
      </c>
      <c r="C1744">
        <v>0</v>
      </c>
      <c r="D1744">
        <v>0</v>
      </c>
    </row>
    <row r="1745" spans="1:4" x14ac:dyDescent="0.25">
      <c r="A1745">
        <v>292500</v>
      </c>
      <c r="B1745">
        <v>97650</v>
      </c>
      <c r="C1745">
        <v>0</v>
      </c>
      <c r="D1745">
        <v>0</v>
      </c>
    </row>
    <row r="1746" spans="1:4" x14ac:dyDescent="0.25">
      <c r="A1746">
        <v>292500</v>
      </c>
      <c r="B1746">
        <v>134910</v>
      </c>
      <c r="C1746">
        <v>0</v>
      </c>
      <c r="D1746">
        <v>0</v>
      </c>
    </row>
    <row r="1747" spans="1:4" x14ac:dyDescent="0.25">
      <c r="A1747">
        <v>135000</v>
      </c>
      <c r="B1747">
        <v>131238</v>
      </c>
      <c r="C1747">
        <v>0</v>
      </c>
      <c r="D1747">
        <v>0</v>
      </c>
    </row>
    <row r="1748" spans="1:4" x14ac:dyDescent="0.25">
      <c r="A1748">
        <v>90000</v>
      </c>
      <c r="B1748">
        <v>25951.5</v>
      </c>
      <c r="C1748">
        <v>0</v>
      </c>
      <c r="D1748">
        <v>0</v>
      </c>
    </row>
    <row r="1749" spans="1:4" x14ac:dyDescent="0.25">
      <c r="A1749">
        <v>90000</v>
      </c>
      <c r="B1749">
        <v>20677.5</v>
      </c>
      <c r="C1749">
        <v>2070</v>
      </c>
      <c r="D1749">
        <v>0</v>
      </c>
    </row>
    <row r="1750" spans="1:4" x14ac:dyDescent="0.25">
      <c r="A1750">
        <v>270000</v>
      </c>
      <c r="B1750">
        <v>34690.5</v>
      </c>
      <c r="C1750">
        <v>3150</v>
      </c>
      <c r="D1750">
        <v>0</v>
      </c>
    </row>
    <row r="1751" spans="1:4" x14ac:dyDescent="0.25">
      <c r="A1751">
        <v>270000</v>
      </c>
      <c r="B1751">
        <v>86850</v>
      </c>
      <c r="C1751">
        <v>0</v>
      </c>
      <c r="D1751">
        <v>0</v>
      </c>
    </row>
    <row r="1752" spans="1:4" x14ac:dyDescent="0.25">
      <c r="A1752">
        <v>135000</v>
      </c>
      <c r="B1752">
        <v>56020.5</v>
      </c>
      <c r="C1752">
        <v>0</v>
      </c>
      <c r="D1752">
        <v>0</v>
      </c>
    </row>
    <row r="1753" spans="1:4" x14ac:dyDescent="0.25">
      <c r="A1753">
        <v>135000</v>
      </c>
      <c r="B1753">
        <v>107958.96</v>
      </c>
      <c r="C1753">
        <v>10799.46</v>
      </c>
      <c r="D1753">
        <v>0</v>
      </c>
    </row>
    <row r="1754" spans="1:4" x14ac:dyDescent="0.25">
      <c r="A1754">
        <v>157500</v>
      </c>
      <c r="B1754">
        <v>89910</v>
      </c>
      <c r="C1754">
        <v>0</v>
      </c>
      <c r="D1754">
        <v>0</v>
      </c>
    </row>
    <row r="1755" spans="1:4" x14ac:dyDescent="0.25">
      <c r="A1755">
        <v>157500</v>
      </c>
      <c r="B1755">
        <v>101160</v>
      </c>
      <c r="C1755">
        <v>0</v>
      </c>
      <c r="D1755">
        <v>0</v>
      </c>
    </row>
    <row r="1756" spans="1:4" x14ac:dyDescent="0.25">
      <c r="A1756">
        <v>157500</v>
      </c>
      <c r="B1756">
        <v>35950.5</v>
      </c>
      <c r="C1756">
        <v>3600</v>
      </c>
      <c r="D1756">
        <v>0</v>
      </c>
    </row>
    <row r="1757" spans="1:4" x14ac:dyDescent="0.25">
      <c r="A1757">
        <v>157500</v>
      </c>
      <c r="B1757">
        <v>30055.5</v>
      </c>
      <c r="C1757">
        <v>3006</v>
      </c>
      <c r="D1757">
        <v>0</v>
      </c>
    </row>
    <row r="1758" spans="1:4" x14ac:dyDescent="0.25">
      <c r="A1758">
        <v>202500</v>
      </c>
      <c r="B1758">
        <v>94455</v>
      </c>
      <c r="C1758">
        <v>0</v>
      </c>
      <c r="D1758">
        <v>0</v>
      </c>
    </row>
    <row r="1759" spans="1:4" x14ac:dyDescent="0.25">
      <c r="A1759">
        <v>112500</v>
      </c>
      <c r="B1759">
        <v>184540.5</v>
      </c>
      <c r="C1759">
        <v>19566</v>
      </c>
      <c r="D1759">
        <v>0</v>
      </c>
    </row>
    <row r="1760" spans="1:4" x14ac:dyDescent="0.25">
      <c r="A1760">
        <v>85500</v>
      </c>
      <c r="B1760">
        <v>19705.5</v>
      </c>
      <c r="C1760">
        <v>0</v>
      </c>
      <c r="D1760">
        <v>0</v>
      </c>
    </row>
    <row r="1761" spans="1:4" x14ac:dyDescent="0.25">
      <c r="A1761">
        <v>810000</v>
      </c>
      <c r="B1761">
        <v>225000</v>
      </c>
      <c r="C1761">
        <v>0</v>
      </c>
      <c r="D1761">
        <v>0</v>
      </c>
    </row>
    <row r="1762" spans="1:4" x14ac:dyDescent="0.25">
      <c r="A1762">
        <v>81000</v>
      </c>
      <c r="B1762">
        <v>66168</v>
      </c>
      <c r="C1762">
        <v>6619.5</v>
      </c>
      <c r="D1762">
        <v>0</v>
      </c>
    </row>
    <row r="1763" spans="1:4" x14ac:dyDescent="0.25">
      <c r="A1763">
        <v>202500</v>
      </c>
      <c r="B1763">
        <v>124740</v>
      </c>
      <c r="C1763">
        <v>12474</v>
      </c>
      <c r="D1763">
        <v>0</v>
      </c>
    </row>
    <row r="1764" spans="1:4" x14ac:dyDescent="0.25">
      <c r="A1764">
        <v>202500</v>
      </c>
      <c r="B1764">
        <v>111591</v>
      </c>
      <c r="C1764">
        <v>0</v>
      </c>
      <c r="D1764">
        <v>0</v>
      </c>
    </row>
    <row r="1765" spans="1:4" x14ac:dyDescent="0.25">
      <c r="A1765">
        <v>90000</v>
      </c>
      <c r="B1765">
        <v>74200.5</v>
      </c>
      <c r="C1765">
        <v>0</v>
      </c>
      <c r="D1765">
        <v>0</v>
      </c>
    </row>
    <row r="1766" spans="1:4" x14ac:dyDescent="0.25">
      <c r="A1766">
        <v>247891.5</v>
      </c>
      <c r="B1766">
        <v>23170.5</v>
      </c>
      <c r="C1766">
        <v>9000</v>
      </c>
      <c r="D1766">
        <v>0</v>
      </c>
    </row>
    <row r="1767" spans="1:4" x14ac:dyDescent="0.25">
      <c r="A1767">
        <v>247891.5</v>
      </c>
      <c r="B1767">
        <v>121045.5</v>
      </c>
      <c r="C1767">
        <v>0</v>
      </c>
      <c r="D1767">
        <v>0</v>
      </c>
    </row>
    <row r="1768" spans="1:4" x14ac:dyDescent="0.25">
      <c r="A1768">
        <v>225000</v>
      </c>
      <c r="B1768">
        <v>90279</v>
      </c>
      <c r="C1768">
        <v>0</v>
      </c>
      <c r="D1768">
        <v>0</v>
      </c>
    </row>
    <row r="1769" spans="1:4" x14ac:dyDescent="0.25">
      <c r="A1769">
        <v>67500</v>
      </c>
      <c r="B1769">
        <v>19755</v>
      </c>
      <c r="C1769">
        <v>2250</v>
      </c>
      <c r="D1769">
        <v>0</v>
      </c>
    </row>
    <row r="1770" spans="1:4" x14ac:dyDescent="0.25">
      <c r="A1770">
        <v>135000</v>
      </c>
      <c r="B1770">
        <v>68490</v>
      </c>
      <c r="C1770">
        <v>9000</v>
      </c>
      <c r="D1770">
        <v>0</v>
      </c>
    </row>
    <row r="1771" spans="1:4" x14ac:dyDescent="0.25">
      <c r="A1771">
        <v>135000</v>
      </c>
      <c r="B1771">
        <v>177997.5</v>
      </c>
      <c r="C1771">
        <v>0</v>
      </c>
      <c r="D1771">
        <v>0</v>
      </c>
    </row>
    <row r="1772" spans="1:4" x14ac:dyDescent="0.25">
      <c r="A1772">
        <v>135000</v>
      </c>
      <c r="B1772">
        <v>179550</v>
      </c>
      <c r="C1772">
        <v>17955</v>
      </c>
      <c r="D1772">
        <v>0</v>
      </c>
    </row>
    <row r="1773" spans="1:4" x14ac:dyDescent="0.25">
      <c r="A1773">
        <v>89100</v>
      </c>
      <c r="B1773">
        <v>101619</v>
      </c>
      <c r="C1773">
        <v>10165.5</v>
      </c>
      <c r="D1773">
        <v>0</v>
      </c>
    </row>
    <row r="1774" spans="1:4" x14ac:dyDescent="0.25">
      <c r="A1774">
        <v>89100</v>
      </c>
      <c r="B1774">
        <v>34195.5</v>
      </c>
      <c r="C1774">
        <v>3420</v>
      </c>
      <c r="D1774">
        <v>0</v>
      </c>
    </row>
    <row r="1775" spans="1:4" x14ac:dyDescent="0.25">
      <c r="A1775">
        <v>270000</v>
      </c>
      <c r="B1775">
        <v>175784.08499999999</v>
      </c>
      <c r="C1775">
        <v>17582.084999999999</v>
      </c>
      <c r="D1775">
        <v>1</v>
      </c>
    </row>
    <row r="1776" spans="1:4" x14ac:dyDescent="0.25">
      <c r="A1776">
        <v>270000</v>
      </c>
      <c r="B1776">
        <v>175784.08499999999</v>
      </c>
      <c r="C1776">
        <v>17582.084999999999</v>
      </c>
      <c r="D1776">
        <v>1</v>
      </c>
    </row>
    <row r="1777" spans="1:4" x14ac:dyDescent="0.25">
      <c r="A1777">
        <v>135000</v>
      </c>
      <c r="B1777">
        <v>118224.9</v>
      </c>
      <c r="C1777">
        <v>23648.400000000001</v>
      </c>
      <c r="D1777">
        <v>0</v>
      </c>
    </row>
    <row r="1778" spans="1:4" x14ac:dyDescent="0.25">
      <c r="A1778">
        <v>135000</v>
      </c>
      <c r="B1778">
        <v>206770.5</v>
      </c>
      <c r="C1778">
        <v>0</v>
      </c>
      <c r="D1778">
        <v>1</v>
      </c>
    </row>
    <row r="1779" spans="1:4" x14ac:dyDescent="0.25">
      <c r="A1779">
        <v>135000</v>
      </c>
      <c r="B1779">
        <v>78903</v>
      </c>
      <c r="C1779">
        <v>20250</v>
      </c>
      <c r="D1779">
        <v>1</v>
      </c>
    </row>
    <row r="1780" spans="1:4" x14ac:dyDescent="0.25">
      <c r="A1780">
        <v>180000</v>
      </c>
      <c r="B1780">
        <v>19030.5</v>
      </c>
      <c r="C1780">
        <v>1903.5</v>
      </c>
      <c r="D1780">
        <v>1</v>
      </c>
    </row>
    <row r="1781" spans="1:4" x14ac:dyDescent="0.25">
      <c r="A1781">
        <v>180000</v>
      </c>
      <c r="B1781">
        <v>112855.5</v>
      </c>
      <c r="C1781">
        <v>0</v>
      </c>
      <c r="D1781">
        <v>0</v>
      </c>
    </row>
    <row r="1782" spans="1:4" x14ac:dyDescent="0.25">
      <c r="A1782">
        <v>180000</v>
      </c>
      <c r="B1782">
        <v>71226</v>
      </c>
      <c r="C1782">
        <v>0</v>
      </c>
      <c r="D1782">
        <v>0</v>
      </c>
    </row>
    <row r="1783" spans="1:4" x14ac:dyDescent="0.25">
      <c r="A1783">
        <v>180000</v>
      </c>
      <c r="B1783">
        <v>19030.5</v>
      </c>
      <c r="C1783">
        <v>1903.5</v>
      </c>
      <c r="D1783">
        <v>1</v>
      </c>
    </row>
    <row r="1784" spans="1:4" x14ac:dyDescent="0.25">
      <c r="A1784">
        <v>180000</v>
      </c>
      <c r="B1784">
        <v>88605</v>
      </c>
      <c r="C1784">
        <v>8860.5</v>
      </c>
      <c r="D1784">
        <v>0</v>
      </c>
    </row>
    <row r="1785" spans="1:4" x14ac:dyDescent="0.25">
      <c r="A1785">
        <v>157500</v>
      </c>
      <c r="B1785">
        <v>22950</v>
      </c>
      <c r="C1785">
        <v>4950</v>
      </c>
      <c r="D1785">
        <v>0</v>
      </c>
    </row>
    <row r="1786" spans="1:4" x14ac:dyDescent="0.25">
      <c r="A1786">
        <v>247500</v>
      </c>
      <c r="B1786">
        <v>151110</v>
      </c>
      <c r="C1786">
        <v>0</v>
      </c>
      <c r="D1786">
        <v>1</v>
      </c>
    </row>
    <row r="1787" spans="1:4" x14ac:dyDescent="0.25">
      <c r="A1787">
        <v>247500</v>
      </c>
      <c r="B1787">
        <v>141727.5</v>
      </c>
      <c r="C1787">
        <v>0</v>
      </c>
      <c r="D1787">
        <v>0</v>
      </c>
    </row>
    <row r="1788" spans="1:4" x14ac:dyDescent="0.25">
      <c r="A1788">
        <v>180000</v>
      </c>
      <c r="B1788">
        <v>45000</v>
      </c>
      <c r="C1788">
        <v>0</v>
      </c>
      <c r="D1788">
        <v>0</v>
      </c>
    </row>
    <row r="1789" spans="1:4" x14ac:dyDescent="0.25">
      <c r="A1789">
        <v>58500</v>
      </c>
      <c r="B1789">
        <v>45450</v>
      </c>
      <c r="C1789">
        <v>0</v>
      </c>
      <c r="D1789">
        <v>0</v>
      </c>
    </row>
    <row r="1790" spans="1:4" x14ac:dyDescent="0.25">
      <c r="A1790">
        <v>315000</v>
      </c>
      <c r="B1790">
        <v>85657.5</v>
      </c>
      <c r="C1790">
        <v>0</v>
      </c>
      <c r="D1790">
        <v>0</v>
      </c>
    </row>
    <row r="1791" spans="1:4" x14ac:dyDescent="0.25">
      <c r="A1791">
        <v>315000</v>
      </c>
      <c r="B1791">
        <v>223789.5</v>
      </c>
      <c r="C1791">
        <v>0</v>
      </c>
      <c r="D1791">
        <v>0</v>
      </c>
    </row>
    <row r="1792" spans="1:4" x14ac:dyDescent="0.25">
      <c r="A1792">
        <v>67500</v>
      </c>
      <c r="B1792">
        <v>180000</v>
      </c>
      <c r="C1792">
        <v>0</v>
      </c>
      <c r="D1792">
        <v>0</v>
      </c>
    </row>
    <row r="1793" spans="1:4" x14ac:dyDescent="0.25">
      <c r="A1793">
        <v>81000</v>
      </c>
      <c r="B1793">
        <v>42241.5</v>
      </c>
      <c r="C1793">
        <v>0</v>
      </c>
      <c r="D1793">
        <v>0</v>
      </c>
    </row>
    <row r="1794" spans="1:4" x14ac:dyDescent="0.25">
      <c r="A1794">
        <v>81000</v>
      </c>
      <c r="B1794">
        <v>37327.5</v>
      </c>
      <c r="C1794">
        <v>0</v>
      </c>
      <c r="D1794">
        <v>0</v>
      </c>
    </row>
    <row r="1795" spans="1:4" x14ac:dyDescent="0.25">
      <c r="A1795">
        <v>135000</v>
      </c>
      <c r="B1795">
        <v>62446.5</v>
      </c>
      <c r="C1795">
        <v>0</v>
      </c>
      <c r="D1795">
        <v>0</v>
      </c>
    </row>
    <row r="1796" spans="1:4" x14ac:dyDescent="0.25">
      <c r="A1796">
        <v>76500</v>
      </c>
      <c r="B1796">
        <v>51114.239999999998</v>
      </c>
      <c r="C1796">
        <v>5115.24</v>
      </c>
      <c r="D1796">
        <v>0</v>
      </c>
    </row>
    <row r="1797" spans="1:4" x14ac:dyDescent="0.25">
      <c r="A1797">
        <v>76500</v>
      </c>
      <c r="B1797">
        <v>45000</v>
      </c>
      <c r="C1797">
        <v>0</v>
      </c>
      <c r="D1797">
        <v>0</v>
      </c>
    </row>
    <row r="1798" spans="1:4" x14ac:dyDescent="0.25">
      <c r="A1798">
        <v>76500</v>
      </c>
      <c r="B1798">
        <v>63000</v>
      </c>
      <c r="C1798">
        <v>0</v>
      </c>
      <c r="D1798">
        <v>0</v>
      </c>
    </row>
    <row r="1799" spans="1:4" x14ac:dyDescent="0.25">
      <c r="A1799">
        <v>180000</v>
      </c>
      <c r="B1799">
        <v>106560</v>
      </c>
      <c r="C1799">
        <v>10656</v>
      </c>
      <c r="D1799">
        <v>0</v>
      </c>
    </row>
    <row r="1800" spans="1:4" x14ac:dyDescent="0.25">
      <c r="A1800">
        <v>112500</v>
      </c>
      <c r="B1800">
        <v>66456</v>
      </c>
      <c r="C1800">
        <v>9000</v>
      </c>
      <c r="D1800">
        <v>0</v>
      </c>
    </row>
    <row r="1801" spans="1:4" x14ac:dyDescent="0.25">
      <c r="A1801">
        <v>112500</v>
      </c>
      <c r="B1801">
        <v>25636.5</v>
      </c>
      <c r="C1801">
        <v>6750</v>
      </c>
      <c r="D1801">
        <v>0</v>
      </c>
    </row>
    <row r="1802" spans="1:4" x14ac:dyDescent="0.25">
      <c r="A1802">
        <v>225000</v>
      </c>
      <c r="B1802">
        <v>48348</v>
      </c>
      <c r="C1802">
        <v>0</v>
      </c>
      <c r="D1802">
        <v>1</v>
      </c>
    </row>
    <row r="1803" spans="1:4" x14ac:dyDescent="0.25">
      <c r="A1803">
        <v>225000</v>
      </c>
      <c r="B1803">
        <v>122850</v>
      </c>
      <c r="C1803">
        <v>12285</v>
      </c>
      <c r="D1803">
        <v>0</v>
      </c>
    </row>
    <row r="1804" spans="1:4" x14ac:dyDescent="0.25">
      <c r="A1804">
        <v>225000</v>
      </c>
      <c r="B1804">
        <v>30874.5</v>
      </c>
      <c r="C1804">
        <v>0</v>
      </c>
      <c r="D1804">
        <v>0</v>
      </c>
    </row>
    <row r="1805" spans="1:4" x14ac:dyDescent="0.25">
      <c r="A1805">
        <v>67500</v>
      </c>
      <c r="B1805">
        <v>43281</v>
      </c>
      <c r="C1805">
        <v>4500</v>
      </c>
      <c r="D1805">
        <v>0</v>
      </c>
    </row>
    <row r="1806" spans="1:4" x14ac:dyDescent="0.25">
      <c r="A1806">
        <v>180000</v>
      </c>
      <c r="B1806">
        <v>151888.5</v>
      </c>
      <c r="C1806">
        <v>0</v>
      </c>
      <c r="D1806">
        <v>0</v>
      </c>
    </row>
    <row r="1807" spans="1:4" x14ac:dyDescent="0.25">
      <c r="A1807">
        <v>121500</v>
      </c>
      <c r="B1807">
        <v>77368.5</v>
      </c>
      <c r="C1807">
        <v>0</v>
      </c>
      <c r="D1807">
        <v>0</v>
      </c>
    </row>
    <row r="1808" spans="1:4" x14ac:dyDescent="0.25">
      <c r="A1808">
        <v>112500</v>
      </c>
      <c r="B1808">
        <v>214983</v>
      </c>
      <c r="C1808">
        <v>0</v>
      </c>
      <c r="D1808">
        <v>0</v>
      </c>
    </row>
    <row r="1809" spans="1:4" x14ac:dyDescent="0.25">
      <c r="A1809">
        <v>157500</v>
      </c>
      <c r="B1809">
        <v>198000</v>
      </c>
      <c r="C1809">
        <v>0</v>
      </c>
      <c r="D1809">
        <v>0</v>
      </c>
    </row>
    <row r="1810" spans="1:4" x14ac:dyDescent="0.25">
      <c r="A1810">
        <v>157500</v>
      </c>
      <c r="B1810">
        <v>72022.5</v>
      </c>
      <c r="C1810">
        <v>0</v>
      </c>
      <c r="D1810">
        <v>0</v>
      </c>
    </row>
    <row r="1811" spans="1:4" x14ac:dyDescent="0.25">
      <c r="A1811">
        <v>90000</v>
      </c>
      <c r="B1811">
        <v>178965</v>
      </c>
      <c r="C1811">
        <v>17896.5</v>
      </c>
      <c r="D1811">
        <v>0</v>
      </c>
    </row>
    <row r="1812" spans="1:4" x14ac:dyDescent="0.25">
      <c r="A1812">
        <v>202500</v>
      </c>
      <c r="B1812">
        <v>45004.5</v>
      </c>
      <c r="C1812">
        <v>0</v>
      </c>
      <c r="D1812">
        <v>0</v>
      </c>
    </row>
    <row r="1813" spans="1:4" x14ac:dyDescent="0.25">
      <c r="A1813">
        <v>135000</v>
      </c>
      <c r="B1813">
        <v>27855</v>
      </c>
      <c r="C1813">
        <v>0</v>
      </c>
      <c r="D1813">
        <v>0</v>
      </c>
    </row>
    <row r="1814" spans="1:4" x14ac:dyDescent="0.25">
      <c r="A1814">
        <v>135000</v>
      </c>
      <c r="B1814">
        <v>121500</v>
      </c>
      <c r="C1814">
        <v>12150</v>
      </c>
      <c r="D1814">
        <v>0</v>
      </c>
    </row>
    <row r="1815" spans="1:4" x14ac:dyDescent="0.25">
      <c r="A1815">
        <v>135000</v>
      </c>
      <c r="B1815">
        <v>54333</v>
      </c>
      <c r="C1815">
        <v>5436</v>
      </c>
      <c r="D1815">
        <v>0</v>
      </c>
    </row>
    <row r="1816" spans="1:4" x14ac:dyDescent="0.25">
      <c r="A1816">
        <v>135000</v>
      </c>
      <c r="B1816">
        <v>137943</v>
      </c>
      <c r="C1816">
        <v>0</v>
      </c>
      <c r="D1816">
        <v>0</v>
      </c>
    </row>
    <row r="1817" spans="1:4" x14ac:dyDescent="0.25">
      <c r="A1817">
        <v>135000</v>
      </c>
      <c r="B1817">
        <v>17865</v>
      </c>
      <c r="C1817">
        <v>1800</v>
      </c>
      <c r="D1817">
        <v>0</v>
      </c>
    </row>
    <row r="1818" spans="1:4" x14ac:dyDescent="0.25">
      <c r="A1818">
        <v>135000</v>
      </c>
      <c r="B1818">
        <v>27855</v>
      </c>
      <c r="C1818">
        <v>2790</v>
      </c>
      <c r="D1818">
        <v>0</v>
      </c>
    </row>
    <row r="1819" spans="1:4" x14ac:dyDescent="0.25">
      <c r="A1819">
        <v>126000</v>
      </c>
      <c r="B1819">
        <v>45760.5</v>
      </c>
      <c r="C1819">
        <v>9180</v>
      </c>
      <c r="D1819">
        <v>0</v>
      </c>
    </row>
    <row r="1820" spans="1:4" x14ac:dyDescent="0.25">
      <c r="A1820">
        <v>112500</v>
      </c>
      <c r="B1820">
        <v>270000</v>
      </c>
      <c r="C1820">
        <v>27000</v>
      </c>
      <c r="D1820">
        <v>0</v>
      </c>
    </row>
    <row r="1821" spans="1:4" x14ac:dyDescent="0.25">
      <c r="A1821">
        <v>90000</v>
      </c>
      <c r="B1821">
        <v>105331.5</v>
      </c>
      <c r="C1821">
        <v>0</v>
      </c>
      <c r="D1821">
        <v>1</v>
      </c>
    </row>
    <row r="1822" spans="1:4" x14ac:dyDescent="0.25">
      <c r="A1822">
        <v>90000</v>
      </c>
      <c r="B1822">
        <v>131994</v>
      </c>
      <c r="C1822">
        <v>13203</v>
      </c>
      <c r="D1822">
        <v>0</v>
      </c>
    </row>
    <row r="1823" spans="1:4" x14ac:dyDescent="0.25">
      <c r="A1823">
        <v>126000</v>
      </c>
      <c r="B1823">
        <v>156554.54999999999</v>
      </c>
      <c r="C1823">
        <v>15659.55</v>
      </c>
      <c r="D1823">
        <v>1</v>
      </c>
    </row>
    <row r="1824" spans="1:4" x14ac:dyDescent="0.25">
      <c r="A1824">
        <v>157500</v>
      </c>
      <c r="B1824">
        <v>158989.5</v>
      </c>
      <c r="C1824">
        <v>0</v>
      </c>
      <c r="D1824">
        <v>0</v>
      </c>
    </row>
    <row r="1825" spans="1:4" x14ac:dyDescent="0.25">
      <c r="A1825">
        <v>157500</v>
      </c>
      <c r="B1825">
        <v>112410</v>
      </c>
      <c r="C1825">
        <v>0</v>
      </c>
      <c r="D1825">
        <v>0</v>
      </c>
    </row>
    <row r="1826" spans="1:4" x14ac:dyDescent="0.25">
      <c r="A1826">
        <v>157500</v>
      </c>
      <c r="B1826">
        <v>45855</v>
      </c>
      <c r="C1826">
        <v>4585.5</v>
      </c>
      <c r="D1826">
        <v>0</v>
      </c>
    </row>
    <row r="1827" spans="1:4" x14ac:dyDescent="0.25">
      <c r="A1827">
        <v>157500</v>
      </c>
      <c r="B1827">
        <v>365107.5</v>
      </c>
      <c r="C1827">
        <v>0</v>
      </c>
      <c r="D1827">
        <v>0</v>
      </c>
    </row>
    <row r="1828" spans="1:4" x14ac:dyDescent="0.25">
      <c r="A1828">
        <v>157500</v>
      </c>
      <c r="B1828">
        <v>650106</v>
      </c>
      <c r="C1828">
        <v>0</v>
      </c>
      <c r="D1828">
        <v>0</v>
      </c>
    </row>
    <row r="1829" spans="1:4" x14ac:dyDescent="0.25">
      <c r="A1829">
        <v>135000</v>
      </c>
      <c r="B1829">
        <v>57919.5</v>
      </c>
      <c r="C1829">
        <v>0</v>
      </c>
      <c r="D1829">
        <v>0</v>
      </c>
    </row>
    <row r="1830" spans="1:4" x14ac:dyDescent="0.25">
      <c r="A1830">
        <v>135000</v>
      </c>
      <c r="B1830">
        <v>45000</v>
      </c>
      <c r="C1830">
        <v>0</v>
      </c>
      <c r="D1830">
        <v>0</v>
      </c>
    </row>
    <row r="1831" spans="1:4" x14ac:dyDescent="0.25">
      <c r="A1831">
        <v>135000</v>
      </c>
      <c r="B1831">
        <v>48600</v>
      </c>
      <c r="C1831">
        <v>4860</v>
      </c>
      <c r="D1831">
        <v>0</v>
      </c>
    </row>
    <row r="1832" spans="1:4" x14ac:dyDescent="0.25">
      <c r="A1832">
        <v>135000</v>
      </c>
      <c r="B1832">
        <v>35145</v>
      </c>
      <c r="C1832">
        <v>3514.5</v>
      </c>
      <c r="D1832">
        <v>0</v>
      </c>
    </row>
    <row r="1833" spans="1:4" x14ac:dyDescent="0.25">
      <c r="A1833">
        <v>76500</v>
      </c>
      <c r="B1833">
        <v>46966.5</v>
      </c>
      <c r="C1833">
        <v>4698</v>
      </c>
      <c r="D1833">
        <v>0</v>
      </c>
    </row>
    <row r="1834" spans="1:4" x14ac:dyDescent="0.25">
      <c r="A1834">
        <v>67500</v>
      </c>
      <c r="B1834">
        <v>22905</v>
      </c>
      <c r="C1834">
        <v>9000</v>
      </c>
      <c r="D1834">
        <v>0</v>
      </c>
    </row>
    <row r="1835" spans="1:4" x14ac:dyDescent="0.25">
      <c r="A1835">
        <v>157500</v>
      </c>
      <c r="B1835">
        <v>35095.5</v>
      </c>
      <c r="C1835">
        <v>0</v>
      </c>
      <c r="D1835">
        <v>0</v>
      </c>
    </row>
    <row r="1836" spans="1:4" x14ac:dyDescent="0.25">
      <c r="A1836">
        <v>225000</v>
      </c>
      <c r="B1836">
        <v>29745</v>
      </c>
      <c r="C1836">
        <v>5949</v>
      </c>
      <c r="D1836">
        <v>0</v>
      </c>
    </row>
    <row r="1837" spans="1:4" x14ac:dyDescent="0.25">
      <c r="A1837">
        <v>157500</v>
      </c>
      <c r="B1837">
        <v>224995.5</v>
      </c>
      <c r="C1837">
        <v>22500</v>
      </c>
      <c r="D1837">
        <v>0</v>
      </c>
    </row>
    <row r="1838" spans="1:4" x14ac:dyDescent="0.25">
      <c r="A1838">
        <v>108000</v>
      </c>
      <c r="B1838">
        <v>44973.9</v>
      </c>
      <c r="C1838">
        <v>3600.9</v>
      </c>
      <c r="D1838">
        <v>1</v>
      </c>
    </row>
    <row r="1839" spans="1:4" x14ac:dyDescent="0.25">
      <c r="A1839">
        <v>198000</v>
      </c>
      <c r="B1839">
        <v>50125.5</v>
      </c>
      <c r="C1839">
        <v>5400</v>
      </c>
      <c r="D1839">
        <v>0</v>
      </c>
    </row>
    <row r="1840" spans="1:4" x14ac:dyDescent="0.25">
      <c r="A1840">
        <v>112500</v>
      </c>
      <c r="B1840">
        <v>315000</v>
      </c>
      <c r="C1840">
        <v>99000</v>
      </c>
      <c r="D1840">
        <v>0</v>
      </c>
    </row>
    <row r="1841" spans="1:4" x14ac:dyDescent="0.25">
      <c r="A1841">
        <v>112500</v>
      </c>
      <c r="B1841">
        <v>21105</v>
      </c>
      <c r="C1841">
        <v>2110.5</v>
      </c>
      <c r="D1841">
        <v>0</v>
      </c>
    </row>
    <row r="1842" spans="1:4" x14ac:dyDescent="0.25">
      <c r="A1842">
        <v>112500</v>
      </c>
      <c r="B1842">
        <v>315000</v>
      </c>
      <c r="C1842">
        <v>90000</v>
      </c>
      <c r="D1842">
        <v>1</v>
      </c>
    </row>
    <row r="1843" spans="1:4" x14ac:dyDescent="0.25">
      <c r="A1843">
        <v>112500</v>
      </c>
      <c r="B1843">
        <v>86355</v>
      </c>
      <c r="C1843">
        <v>6750</v>
      </c>
      <c r="D1843">
        <v>0</v>
      </c>
    </row>
    <row r="1844" spans="1:4" x14ac:dyDescent="0.25">
      <c r="A1844">
        <v>112500</v>
      </c>
      <c r="B1844">
        <v>45000</v>
      </c>
      <c r="C1844">
        <v>4500</v>
      </c>
      <c r="D1844">
        <v>0</v>
      </c>
    </row>
    <row r="1845" spans="1:4" x14ac:dyDescent="0.25">
      <c r="A1845">
        <v>112500</v>
      </c>
      <c r="B1845">
        <v>145800</v>
      </c>
      <c r="C1845">
        <v>0</v>
      </c>
      <c r="D1845">
        <v>0</v>
      </c>
    </row>
    <row r="1846" spans="1:4" x14ac:dyDescent="0.25">
      <c r="A1846">
        <v>180000</v>
      </c>
      <c r="B1846">
        <v>130950</v>
      </c>
      <c r="C1846">
        <v>0</v>
      </c>
      <c r="D1846">
        <v>0</v>
      </c>
    </row>
    <row r="1847" spans="1:4" x14ac:dyDescent="0.25">
      <c r="A1847">
        <v>135000</v>
      </c>
      <c r="B1847">
        <v>99810</v>
      </c>
      <c r="C1847">
        <v>0</v>
      </c>
      <c r="D1847">
        <v>1</v>
      </c>
    </row>
    <row r="1848" spans="1:4" x14ac:dyDescent="0.25">
      <c r="A1848">
        <v>135000</v>
      </c>
      <c r="B1848">
        <v>99810</v>
      </c>
      <c r="C1848">
        <v>19980</v>
      </c>
      <c r="D1848">
        <v>0</v>
      </c>
    </row>
    <row r="1849" spans="1:4" x14ac:dyDescent="0.25">
      <c r="A1849">
        <v>135000</v>
      </c>
      <c r="B1849">
        <v>20776.5</v>
      </c>
      <c r="C1849">
        <v>0</v>
      </c>
      <c r="D1849">
        <v>0</v>
      </c>
    </row>
    <row r="1850" spans="1:4" x14ac:dyDescent="0.25">
      <c r="A1850">
        <v>135000</v>
      </c>
      <c r="B1850">
        <v>225000</v>
      </c>
      <c r="C1850">
        <v>0</v>
      </c>
      <c r="D1850">
        <v>0</v>
      </c>
    </row>
    <row r="1851" spans="1:4" x14ac:dyDescent="0.25">
      <c r="A1851">
        <v>135000</v>
      </c>
      <c r="B1851">
        <v>56250</v>
      </c>
      <c r="C1851">
        <v>0</v>
      </c>
      <c r="D1851">
        <v>0</v>
      </c>
    </row>
    <row r="1852" spans="1:4" x14ac:dyDescent="0.25">
      <c r="A1852">
        <v>135000</v>
      </c>
      <c r="B1852">
        <v>112500</v>
      </c>
      <c r="C1852">
        <v>0</v>
      </c>
      <c r="D1852">
        <v>0</v>
      </c>
    </row>
    <row r="1853" spans="1:4" x14ac:dyDescent="0.25">
      <c r="A1853">
        <v>126000</v>
      </c>
      <c r="B1853">
        <v>35955</v>
      </c>
      <c r="C1853">
        <v>3600</v>
      </c>
      <c r="D1853">
        <v>0</v>
      </c>
    </row>
    <row r="1854" spans="1:4" x14ac:dyDescent="0.25">
      <c r="A1854">
        <v>126000</v>
      </c>
      <c r="B1854">
        <v>34155</v>
      </c>
      <c r="C1854">
        <v>6835.5</v>
      </c>
      <c r="D1854">
        <v>0</v>
      </c>
    </row>
    <row r="1855" spans="1:4" x14ac:dyDescent="0.25">
      <c r="A1855">
        <v>126000</v>
      </c>
      <c r="B1855">
        <v>74205</v>
      </c>
      <c r="C1855">
        <v>0</v>
      </c>
      <c r="D1855">
        <v>0</v>
      </c>
    </row>
    <row r="1856" spans="1:4" x14ac:dyDescent="0.25">
      <c r="A1856">
        <v>630000</v>
      </c>
      <c r="B1856">
        <v>105970.5</v>
      </c>
      <c r="C1856">
        <v>10597.5</v>
      </c>
      <c r="D1856">
        <v>0</v>
      </c>
    </row>
    <row r="1857" spans="1:4" x14ac:dyDescent="0.25">
      <c r="A1857">
        <v>157500</v>
      </c>
      <c r="B1857">
        <v>28615.5</v>
      </c>
      <c r="C1857">
        <v>2862</v>
      </c>
      <c r="D1857">
        <v>0</v>
      </c>
    </row>
    <row r="1858" spans="1:4" x14ac:dyDescent="0.25">
      <c r="A1858">
        <v>157500</v>
      </c>
      <c r="B1858">
        <v>34371</v>
      </c>
      <c r="C1858">
        <v>13500</v>
      </c>
      <c r="D1858">
        <v>0</v>
      </c>
    </row>
    <row r="1859" spans="1:4" x14ac:dyDescent="0.25">
      <c r="A1859">
        <v>157500</v>
      </c>
      <c r="B1859">
        <v>47196</v>
      </c>
      <c r="C1859">
        <v>4720.5</v>
      </c>
      <c r="D1859">
        <v>0</v>
      </c>
    </row>
    <row r="1860" spans="1:4" x14ac:dyDescent="0.25">
      <c r="A1860">
        <v>157500</v>
      </c>
      <c r="B1860">
        <v>48600</v>
      </c>
      <c r="C1860">
        <v>0</v>
      </c>
      <c r="D1860">
        <v>0</v>
      </c>
    </row>
    <row r="1861" spans="1:4" x14ac:dyDescent="0.25">
      <c r="A1861">
        <v>157500</v>
      </c>
      <c r="B1861">
        <v>27598.5</v>
      </c>
      <c r="C1861">
        <v>2763</v>
      </c>
      <c r="D1861">
        <v>0</v>
      </c>
    </row>
    <row r="1862" spans="1:4" x14ac:dyDescent="0.25">
      <c r="A1862">
        <v>292500</v>
      </c>
      <c r="B1862">
        <v>134595</v>
      </c>
      <c r="C1862">
        <v>0</v>
      </c>
      <c r="D1862">
        <v>0</v>
      </c>
    </row>
    <row r="1863" spans="1:4" x14ac:dyDescent="0.25">
      <c r="A1863">
        <v>292500</v>
      </c>
      <c r="B1863">
        <v>22455</v>
      </c>
      <c r="C1863">
        <v>2250</v>
      </c>
      <c r="D1863">
        <v>0</v>
      </c>
    </row>
    <row r="1864" spans="1:4" x14ac:dyDescent="0.25">
      <c r="A1864">
        <v>292500</v>
      </c>
      <c r="B1864">
        <v>38430</v>
      </c>
      <c r="C1864">
        <v>3825</v>
      </c>
      <c r="D1864">
        <v>0</v>
      </c>
    </row>
    <row r="1865" spans="1:4" x14ac:dyDescent="0.25">
      <c r="A1865">
        <v>346500</v>
      </c>
      <c r="B1865">
        <v>160038</v>
      </c>
      <c r="C1865">
        <v>16006.5</v>
      </c>
      <c r="D1865">
        <v>0</v>
      </c>
    </row>
    <row r="1866" spans="1:4" x14ac:dyDescent="0.25">
      <c r="A1866">
        <v>346500</v>
      </c>
      <c r="B1866">
        <v>162832.5</v>
      </c>
      <c r="C1866">
        <v>0</v>
      </c>
      <c r="D1866">
        <v>0</v>
      </c>
    </row>
    <row r="1867" spans="1:4" x14ac:dyDescent="0.25">
      <c r="A1867">
        <v>346500</v>
      </c>
      <c r="B1867">
        <v>51435</v>
      </c>
      <c r="C1867">
        <v>5143.5</v>
      </c>
      <c r="D1867">
        <v>0</v>
      </c>
    </row>
    <row r="1868" spans="1:4" x14ac:dyDescent="0.25">
      <c r="A1868">
        <v>247500</v>
      </c>
      <c r="B1868">
        <v>32760</v>
      </c>
      <c r="C1868">
        <v>3285</v>
      </c>
      <c r="D1868">
        <v>0</v>
      </c>
    </row>
    <row r="1869" spans="1:4" x14ac:dyDescent="0.25">
      <c r="A1869">
        <v>202500</v>
      </c>
      <c r="B1869">
        <v>50310</v>
      </c>
      <c r="C1869">
        <v>5031</v>
      </c>
      <c r="D1869">
        <v>0</v>
      </c>
    </row>
    <row r="1870" spans="1:4" x14ac:dyDescent="0.25">
      <c r="A1870">
        <v>135000</v>
      </c>
      <c r="B1870">
        <v>58446</v>
      </c>
      <c r="C1870">
        <v>0</v>
      </c>
      <c r="D1870">
        <v>1</v>
      </c>
    </row>
    <row r="1871" spans="1:4" x14ac:dyDescent="0.25">
      <c r="A1871">
        <v>135000</v>
      </c>
      <c r="B1871">
        <v>102780</v>
      </c>
      <c r="C1871">
        <v>0</v>
      </c>
      <c r="D1871">
        <v>1</v>
      </c>
    </row>
    <row r="1872" spans="1:4" x14ac:dyDescent="0.25">
      <c r="A1872">
        <v>135000</v>
      </c>
      <c r="B1872">
        <v>58446</v>
      </c>
      <c r="C1872">
        <v>0</v>
      </c>
      <c r="D1872">
        <v>1</v>
      </c>
    </row>
    <row r="1873" spans="1:4" x14ac:dyDescent="0.25">
      <c r="A1873">
        <v>135000</v>
      </c>
      <c r="B1873">
        <v>157500</v>
      </c>
      <c r="C1873">
        <v>0</v>
      </c>
      <c r="D1873">
        <v>1</v>
      </c>
    </row>
    <row r="1874" spans="1:4" x14ac:dyDescent="0.25">
      <c r="A1874">
        <v>67500</v>
      </c>
      <c r="B1874">
        <v>141750</v>
      </c>
      <c r="C1874">
        <v>14400</v>
      </c>
      <c r="D1874">
        <v>0</v>
      </c>
    </row>
    <row r="1875" spans="1:4" x14ac:dyDescent="0.25">
      <c r="A1875">
        <v>157500</v>
      </c>
      <c r="B1875">
        <v>148500</v>
      </c>
      <c r="C1875">
        <v>0</v>
      </c>
      <c r="D1875">
        <v>0</v>
      </c>
    </row>
    <row r="1876" spans="1:4" x14ac:dyDescent="0.25">
      <c r="A1876">
        <v>112500</v>
      </c>
      <c r="B1876">
        <v>65826</v>
      </c>
      <c r="C1876">
        <v>0</v>
      </c>
      <c r="D1876">
        <v>0</v>
      </c>
    </row>
    <row r="1877" spans="1:4" x14ac:dyDescent="0.25">
      <c r="A1877">
        <v>364500</v>
      </c>
      <c r="B1877">
        <v>757215</v>
      </c>
      <c r="C1877">
        <v>0</v>
      </c>
      <c r="D1877">
        <v>0</v>
      </c>
    </row>
    <row r="1878" spans="1:4" x14ac:dyDescent="0.25">
      <c r="A1878">
        <v>180000</v>
      </c>
      <c r="B1878">
        <v>188100</v>
      </c>
      <c r="C1878">
        <v>0</v>
      </c>
      <c r="D1878">
        <v>0</v>
      </c>
    </row>
    <row r="1879" spans="1:4" x14ac:dyDescent="0.25">
      <c r="A1879">
        <v>112500</v>
      </c>
      <c r="B1879">
        <v>85950</v>
      </c>
      <c r="C1879">
        <v>8595</v>
      </c>
      <c r="D1879">
        <v>0</v>
      </c>
    </row>
    <row r="1880" spans="1:4" x14ac:dyDescent="0.25">
      <c r="A1880">
        <v>112500</v>
      </c>
      <c r="B1880">
        <v>27810</v>
      </c>
      <c r="C1880">
        <v>2781</v>
      </c>
      <c r="D1880">
        <v>0</v>
      </c>
    </row>
    <row r="1881" spans="1:4" x14ac:dyDescent="0.25">
      <c r="A1881">
        <v>112500</v>
      </c>
      <c r="B1881">
        <v>16695</v>
      </c>
      <c r="C1881">
        <v>0</v>
      </c>
      <c r="D1881">
        <v>1</v>
      </c>
    </row>
    <row r="1882" spans="1:4" x14ac:dyDescent="0.25">
      <c r="A1882">
        <v>90000</v>
      </c>
      <c r="B1882">
        <v>26955</v>
      </c>
      <c r="C1882">
        <v>2695.5</v>
      </c>
      <c r="D1882">
        <v>0</v>
      </c>
    </row>
    <row r="1883" spans="1:4" x14ac:dyDescent="0.25">
      <c r="A1883">
        <v>144000</v>
      </c>
      <c r="B1883">
        <v>49707</v>
      </c>
      <c r="C1883">
        <v>4972.5</v>
      </c>
      <c r="D1883">
        <v>0</v>
      </c>
    </row>
    <row r="1884" spans="1:4" x14ac:dyDescent="0.25">
      <c r="A1884">
        <v>180000</v>
      </c>
      <c r="B1884">
        <v>100300.5</v>
      </c>
      <c r="C1884">
        <v>0</v>
      </c>
      <c r="D1884">
        <v>0</v>
      </c>
    </row>
    <row r="1885" spans="1:4" x14ac:dyDescent="0.25">
      <c r="A1885">
        <v>337500</v>
      </c>
      <c r="B1885">
        <v>45000</v>
      </c>
      <c r="C1885">
        <v>0</v>
      </c>
      <c r="D1885">
        <v>0</v>
      </c>
    </row>
    <row r="1886" spans="1:4" x14ac:dyDescent="0.25">
      <c r="A1886">
        <v>337500</v>
      </c>
      <c r="B1886">
        <v>350559</v>
      </c>
      <c r="C1886">
        <v>0</v>
      </c>
      <c r="D1886">
        <v>0</v>
      </c>
    </row>
    <row r="1887" spans="1:4" x14ac:dyDescent="0.25">
      <c r="A1887">
        <v>337500</v>
      </c>
      <c r="B1887">
        <v>90000</v>
      </c>
      <c r="C1887">
        <v>0</v>
      </c>
      <c r="D1887">
        <v>0</v>
      </c>
    </row>
    <row r="1888" spans="1:4" x14ac:dyDescent="0.25">
      <c r="A1888">
        <v>337500</v>
      </c>
      <c r="B1888">
        <v>350559</v>
      </c>
      <c r="C1888">
        <v>0</v>
      </c>
      <c r="D1888">
        <v>0</v>
      </c>
    </row>
    <row r="1889" spans="1:4" x14ac:dyDescent="0.25">
      <c r="A1889">
        <v>202500</v>
      </c>
      <c r="B1889">
        <v>49455</v>
      </c>
      <c r="C1889">
        <v>4945.5</v>
      </c>
      <c r="D1889">
        <v>0</v>
      </c>
    </row>
    <row r="1890" spans="1:4" x14ac:dyDescent="0.25">
      <c r="A1890">
        <v>225000</v>
      </c>
      <c r="B1890">
        <v>287991</v>
      </c>
      <c r="C1890">
        <v>135000</v>
      </c>
      <c r="D1890">
        <v>0</v>
      </c>
    </row>
    <row r="1891" spans="1:4" x14ac:dyDescent="0.25">
      <c r="A1891">
        <v>140850</v>
      </c>
      <c r="B1891">
        <v>173826</v>
      </c>
      <c r="C1891">
        <v>0</v>
      </c>
      <c r="D1891">
        <v>0</v>
      </c>
    </row>
    <row r="1892" spans="1:4" x14ac:dyDescent="0.25">
      <c r="A1892">
        <v>144000</v>
      </c>
      <c r="B1892">
        <v>69210</v>
      </c>
      <c r="C1892">
        <v>0</v>
      </c>
      <c r="D1892">
        <v>0</v>
      </c>
    </row>
    <row r="1893" spans="1:4" x14ac:dyDescent="0.25">
      <c r="A1893">
        <v>148500</v>
      </c>
      <c r="B1893">
        <v>124330.5</v>
      </c>
      <c r="C1893">
        <v>0</v>
      </c>
      <c r="D1893">
        <v>1</v>
      </c>
    </row>
    <row r="1894" spans="1:4" x14ac:dyDescent="0.25">
      <c r="A1894">
        <v>148500</v>
      </c>
      <c r="B1894">
        <v>31491</v>
      </c>
      <c r="C1894">
        <v>0</v>
      </c>
      <c r="D1894">
        <v>1</v>
      </c>
    </row>
    <row r="1895" spans="1:4" x14ac:dyDescent="0.25">
      <c r="A1895">
        <v>148500</v>
      </c>
      <c r="B1895">
        <v>289993.5</v>
      </c>
      <c r="C1895">
        <v>29002.5</v>
      </c>
      <c r="D1895">
        <v>0</v>
      </c>
    </row>
    <row r="1896" spans="1:4" x14ac:dyDescent="0.25">
      <c r="A1896">
        <v>148500</v>
      </c>
      <c r="B1896">
        <v>31860</v>
      </c>
      <c r="C1896">
        <v>6390</v>
      </c>
      <c r="D1896">
        <v>0</v>
      </c>
    </row>
    <row r="1897" spans="1:4" x14ac:dyDescent="0.25">
      <c r="A1897">
        <v>166500</v>
      </c>
      <c r="B1897">
        <v>57645</v>
      </c>
      <c r="C1897">
        <v>9000</v>
      </c>
      <c r="D1897">
        <v>0</v>
      </c>
    </row>
    <row r="1898" spans="1:4" x14ac:dyDescent="0.25">
      <c r="A1898">
        <v>112500</v>
      </c>
      <c r="B1898">
        <v>140710.5</v>
      </c>
      <c r="C1898">
        <v>0</v>
      </c>
      <c r="D1898">
        <v>0</v>
      </c>
    </row>
    <row r="1899" spans="1:4" x14ac:dyDescent="0.25">
      <c r="A1899">
        <v>180000</v>
      </c>
      <c r="B1899">
        <v>116424</v>
      </c>
      <c r="C1899">
        <v>11646</v>
      </c>
      <c r="D1899">
        <v>0</v>
      </c>
    </row>
    <row r="1900" spans="1:4" x14ac:dyDescent="0.25">
      <c r="A1900">
        <v>211500</v>
      </c>
      <c r="B1900">
        <v>48757.05</v>
      </c>
      <c r="C1900">
        <v>4873.05</v>
      </c>
      <c r="D1900">
        <v>0</v>
      </c>
    </row>
    <row r="1901" spans="1:4" x14ac:dyDescent="0.25">
      <c r="A1901">
        <v>211500</v>
      </c>
      <c r="B1901">
        <v>43990.47</v>
      </c>
      <c r="C1901">
        <v>0</v>
      </c>
      <c r="D1901">
        <v>1</v>
      </c>
    </row>
    <row r="1902" spans="1:4" x14ac:dyDescent="0.25">
      <c r="A1902">
        <v>211500</v>
      </c>
      <c r="B1902">
        <v>31000.5</v>
      </c>
      <c r="C1902">
        <v>3100.5</v>
      </c>
      <c r="D1902">
        <v>0</v>
      </c>
    </row>
    <row r="1903" spans="1:4" x14ac:dyDescent="0.25">
      <c r="A1903">
        <v>211500</v>
      </c>
      <c r="B1903">
        <v>37755</v>
      </c>
      <c r="C1903">
        <v>4500</v>
      </c>
      <c r="D1903">
        <v>0</v>
      </c>
    </row>
    <row r="1904" spans="1:4" x14ac:dyDescent="0.25">
      <c r="A1904">
        <v>211500</v>
      </c>
      <c r="B1904">
        <v>157500</v>
      </c>
      <c r="C1904">
        <v>0</v>
      </c>
      <c r="D1904">
        <v>1</v>
      </c>
    </row>
    <row r="1905" spans="1:4" x14ac:dyDescent="0.25">
      <c r="A1905">
        <v>270000</v>
      </c>
      <c r="B1905">
        <v>146682</v>
      </c>
      <c r="C1905">
        <v>0</v>
      </c>
      <c r="D1905">
        <v>0</v>
      </c>
    </row>
    <row r="1906" spans="1:4" x14ac:dyDescent="0.25">
      <c r="A1906">
        <v>270000</v>
      </c>
      <c r="B1906">
        <v>250150.5</v>
      </c>
      <c r="C1906">
        <v>75046.5</v>
      </c>
      <c r="D1906">
        <v>0</v>
      </c>
    </row>
    <row r="1907" spans="1:4" x14ac:dyDescent="0.25">
      <c r="A1907">
        <v>270000</v>
      </c>
      <c r="B1907">
        <v>222237</v>
      </c>
      <c r="C1907">
        <v>44451</v>
      </c>
      <c r="D1907">
        <v>0</v>
      </c>
    </row>
    <row r="1908" spans="1:4" x14ac:dyDescent="0.25">
      <c r="A1908">
        <v>180000</v>
      </c>
      <c r="B1908">
        <v>149580</v>
      </c>
      <c r="C1908">
        <v>0</v>
      </c>
      <c r="D1908">
        <v>0</v>
      </c>
    </row>
    <row r="1909" spans="1:4" x14ac:dyDescent="0.25">
      <c r="A1909">
        <v>180000</v>
      </c>
      <c r="B1909">
        <v>68760</v>
      </c>
      <c r="C1909">
        <v>0</v>
      </c>
      <c r="D1909">
        <v>1</v>
      </c>
    </row>
    <row r="1910" spans="1:4" x14ac:dyDescent="0.25">
      <c r="A1910">
        <v>180000</v>
      </c>
      <c r="B1910">
        <v>87705</v>
      </c>
      <c r="C1910">
        <v>0</v>
      </c>
      <c r="D1910">
        <v>0</v>
      </c>
    </row>
    <row r="1911" spans="1:4" x14ac:dyDescent="0.25">
      <c r="A1911">
        <v>180000</v>
      </c>
      <c r="B1911">
        <v>68760</v>
      </c>
      <c r="C1911">
        <v>0</v>
      </c>
      <c r="D1911">
        <v>1</v>
      </c>
    </row>
    <row r="1912" spans="1:4" x14ac:dyDescent="0.25">
      <c r="A1912">
        <v>157500</v>
      </c>
      <c r="B1912">
        <v>119241</v>
      </c>
      <c r="C1912">
        <v>0</v>
      </c>
      <c r="D1912">
        <v>0</v>
      </c>
    </row>
    <row r="1913" spans="1:4" x14ac:dyDescent="0.25">
      <c r="A1913">
        <v>67500</v>
      </c>
      <c r="B1913">
        <v>94050</v>
      </c>
      <c r="C1913">
        <v>0</v>
      </c>
      <c r="D1913">
        <v>0</v>
      </c>
    </row>
    <row r="1914" spans="1:4" x14ac:dyDescent="0.25">
      <c r="A1914">
        <v>67500</v>
      </c>
      <c r="B1914">
        <v>38250</v>
      </c>
      <c r="C1914">
        <v>0</v>
      </c>
      <c r="D1914">
        <v>0</v>
      </c>
    </row>
    <row r="1915" spans="1:4" x14ac:dyDescent="0.25">
      <c r="A1915">
        <v>67500</v>
      </c>
      <c r="B1915">
        <v>118350</v>
      </c>
      <c r="C1915">
        <v>27000</v>
      </c>
      <c r="D1915">
        <v>0</v>
      </c>
    </row>
    <row r="1916" spans="1:4" x14ac:dyDescent="0.25">
      <c r="A1916">
        <v>67500</v>
      </c>
      <c r="B1916">
        <v>30672</v>
      </c>
      <c r="C1916">
        <v>3069</v>
      </c>
      <c r="D1916">
        <v>0</v>
      </c>
    </row>
    <row r="1917" spans="1:4" x14ac:dyDescent="0.25">
      <c r="A1917">
        <v>112500</v>
      </c>
      <c r="B1917">
        <v>112410</v>
      </c>
      <c r="C1917">
        <v>11241</v>
      </c>
      <c r="D1917">
        <v>0</v>
      </c>
    </row>
    <row r="1918" spans="1:4" x14ac:dyDescent="0.25">
      <c r="A1918">
        <v>112500</v>
      </c>
      <c r="B1918">
        <v>24750</v>
      </c>
      <c r="C1918">
        <v>2475</v>
      </c>
      <c r="D1918">
        <v>0</v>
      </c>
    </row>
    <row r="1919" spans="1:4" x14ac:dyDescent="0.25">
      <c r="A1919">
        <v>112500</v>
      </c>
      <c r="B1919">
        <v>90000</v>
      </c>
      <c r="C1919">
        <v>0</v>
      </c>
      <c r="D1919">
        <v>0</v>
      </c>
    </row>
    <row r="1920" spans="1:4" x14ac:dyDescent="0.25">
      <c r="A1920">
        <v>117000</v>
      </c>
      <c r="B1920">
        <v>90000</v>
      </c>
      <c r="C1920">
        <v>0</v>
      </c>
      <c r="D1920">
        <v>0</v>
      </c>
    </row>
    <row r="1921" spans="1:4" x14ac:dyDescent="0.25">
      <c r="A1921">
        <v>117000</v>
      </c>
      <c r="B1921">
        <v>45000</v>
      </c>
      <c r="C1921">
        <v>0</v>
      </c>
      <c r="D1921">
        <v>0</v>
      </c>
    </row>
    <row r="1922" spans="1:4" x14ac:dyDescent="0.25">
      <c r="A1922">
        <v>135000</v>
      </c>
      <c r="B1922">
        <v>127669.5</v>
      </c>
      <c r="C1922">
        <v>0</v>
      </c>
      <c r="D1922">
        <v>0</v>
      </c>
    </row>
    <row r="1923" spans="1:4" x14ac:dyDescent="0.25">
      <c r="A1923">
        <v>202500</v>
      </c>
      <c r="B1923">
        <v>74641.5</v>
      </c>
      <c r="C1923">
        <v>0</v>
      </c>
      <c r="D1923">
        <v>1</v>
      </c>
    </row>
    <row r="1924" spans="1:4" x14ac:dyDescent="0.25">
      <c r="A1924">
        <v>202500</v>
      </c>
      <c r="B1924">
        <v>49275</v>
      </c>
      <c r="C1924">
        <v>4927.5</v>
      </c>
      <c r="D1924">
        <v>0</v>
      </c>
    </row>
    <row r="1925" spans="1:4" x14ac:dyDescent="0.25">
      <c r="A1925">
        <v>51750</v>
      </c>
      <c r="B1925">
        <v>53955</v>
      </c>
      <c r="C1925">
        <v>0</v>
      </c>
      <c r="D1925">
        <v>0</v>
      </c>
    </row>
    <row r="1926" spans="1:4" x14ac:dyDescent="0.25">
      <c r="A1926">
        <v>51750</v>
      </c>
      <c r="B1926">
        <v>41287.5</v>
      </c>
      <c r="C1926">
        <v>4500</v>
      </c>
      <c r="D1926">
        <v>0</v>
      </c>
    </row>
    <row r="1927" spans="1:4" x14ac:dyDescent="0.25">
      <c r="A1927">
        <v>81000</v>
      </c>
      <c r="B1927">
        <v>42750</v>
      </c>
      <c r="C1927">
        <v>8550</v>
      </c>
      <c r="D1927">
        <v>0</v>
      </c>
    </row>
    <row r="1928" spans="1:4" x14ac:dyDescent="0.25">
      <c r="A1928">
        <v>126000</v>
      </c>
      <c r="B1928">
        <v>100798.875</v>
      </c>
      <c r="C1928">
        <v>10083.375</v>
      </c>
      <c r="D1928">
        <v>0</v>
      </c>
    </row>
    <row r="1929" spans="1:4" x14ac:dyDescent="0.25">
      <c r="A1929">
        <v>126000</v>
      </c>
      <c r="B1929">
        <v>58495.5</v>
      </c>
      <c r="C1929">
        <v>0</v>
      </c>
      <c r="D1929">
        <v>0</v>
      </c>
    </row>
    <row r="1930" spans="1:4" x14ac:dyDescent="0.25">
      <c r="A1930">
        <v>126000</v>
      </c>
      <c r="B1930">
        <v>81031.005000000005</v>
      </c>
      <c r="C1930">
        <v>8104.0050000000001</v>
      </c>
      <c r="D1930">
        <v>0</v>
      </c>
    </row>
    <row r="1931" spans="1:4" x14ac:dyDescent="0.25">
      <c r="A1931">
        <v>225000</v>
      </c>
      <c r="B1931">
        <v>34628.400000000001</v>
      </c>
      <c r="C1931">
        <v>17100.900000000001</v>
      </c>
      <c r="D1931">
        <v>0</v>
      </c>
    </row>
    <row r="1932" spans="1:4" x14ac:dyDescent="0.25">
      <c r="A1932">
        <v>225000</v>
      </c>
      <c r="B1932">
        <v>42745.5</v>
      </c>
      <c r="C1932">
        <v>0</v>
      </c>
      <c r="D1932">
        <v>0</v>
      </c>
    </row>
    <row r="1933" spans="1:4" x14ac:dyDescent="0.25">
      <c r="A1933">
        <v>112500</v>
      </c>
      <c r="B1933">
        <v>91125</v>
      </c>
      <c r="C1933">
        <v>9112.5</v>
      </c>
      <c r="D1933">
        <v>0</v>
      </c>
    </row>
    <row r="1934" spans="1:4" x14ac:dyDescent="0.25">
      <c r="A1934">
        <v>189000</v>
      </c>
      <c r="B1934">
        <v>152662.23000000001</v>
      </c>
      <c r="C1934">
        <v>15754.23</v>
      </c>
      <c r="D1934">
        <v>0</v>
      </c>
    </row>
    <row r="1935" spans="1:4" x14ac:dyDescent="0.25">
      <c r="A1935">
        <v>90000</v>
      </c>
      <c r="B1935">
        <v>36900</v>
      </c>
      <c r="C1935">
        <v>0</v>
      </c>
      <c r="D1935">
        <v>0</v>
      </c>
    </row>
    <row r="1936" spans="1:4" x14ac:dyDescent="0.25">
      <c r="A1936">
        <v>90000</v>
      </c>
      <c r="B1936">
        <v>14355</v>
      </c>
      <c r="C1936">
        <v>0</v>
      </c>
      <c r="D1936">
        <v>0</v>
      </c>
    </row>
    <row r="1937" spans="1:4" x14ac:dyDescent="0.25">
      <c r="A1937">
        <v>90000</v>
      </c>
      <c r="B1937">
        <v>72000</v>
      </c>
      <c r="C1937">
        <v>7200</v>
      </c>
      <c r="D1937">
        <v>0</v>
      </c>
    </row>
    <row r="1938" spans="1:4" x14ac:dyDescent="0.25">
      <c r="A1938">
        <v>193500</v>
      </c>
      <c r="B1938">
        <v>71955</v>
      </c>
      <c r="C1938">
        <v>7195.5</v>
      </c>
      <c r="D1938">
        <v>0</v>
      </c>
    </row>
    <row r="1939" spans="1:4" x14ac:dyDescent="0.25">
      <c r="A1939">
        <v>90000</v>
      </c>
      <c r="B1939">
        <v>130837.5</v>
      </c>
      <c r="C1939">
        <v>0</v>
      </c>
      <c r="D1939">
        <v>0</v>
      </c>
    </row>
    <row r="1940" spans="1:4" x14ac:dyDescent="0.25">
      <c r="A1940">
        <v>180000</v>
      </c>
      <c r="B1940">
        <v>27333</v>
      </c>
      <c r="C1940">
        <v>4500</v>
      </c>
      <c r="D1940">
        <v>0</v>
      </c>
    </row>
    <row r="1941" spans="1:4" x14ac:dyDescent="0.25">
      <c r="A1941">
        <v>315000</v>
      </c>
      <c r="B1941">
        <v>64759.5</v>
      </c>
      <c r="C1941">
        <v>19431</v>
      </c>
      <c r="D1941">
        <v>0</v>
      </c>
    </row>
    <row r="1942" spans="1:4" x14ac:dyDescent="0.25">
      <c r="A1942">
        <v>315000</v>
      </c>
      <c r="B1942">
        <v>79087.5</v>
      </c>
      <c r="C1942">
        <v>23728.5</v>
      </c>
      <c r="D1942">
        <v>0</v>
      </c>
    </row>
    <row r="1943" spans="1:4" x14ac:dyDescent="0.25">
      <c r="A1943">
        <v>112500</v>
      </c>
      <c r="B1943">
        <v>131845.5</v>
      </c>
      <c r="C1943">
        <v>0</v>
      </c>
      <c r="D1943">
        <v>0</v>
      </c>
    </row>
    <row r="1944" spans="1:4" x14ac:dyDescent="0.25">
      <c r="A1944">
        <v>112500</v>
      </c>
      <c r="B1944">
        <v>66446.955000000002</v>
      </c>
      <c r="C1944">
        <v>0</v>
      </c>
      <c r="D1944">
        <v>0</v>
      </c>
    </row>
    <row r="1945" spans="1:4" x14ac:dyDescent="0.25">
      <c r="A1945">
        <v>234823.5</v>
      </c>
      <c r="B1945">
        <v>91885.365000000005</v>
      </c>
      <c r="C1945">
        <v>9188.8649999999998</v>
      </c>
      <c r="D1945">
        <v>0</v>
      </c>
    </row>
    <row r="1946" spans="1:4" x14ac:dyDescent="0.25">
      <c r="A1946">
        <v>234823.5</v>
      </c>
      <c r="B1946">
        <v>29970</v>
      </c>
      <c r="C1946">
        <v>3015</v>
      </c>
      <c r="D1946">
        <v>0</v>
      </c>
    </row>
    <row r="1947" spans="1:4" x14ac:dyDescent="0.25">
      <c r="A1947">
        <v>67500</v>
      </c>
      <c r="B1947">
        <v>23184</v>
      </c>
      <c r="C1947">
        <v>2322</v>
      </c>
      <c r="D1947">
        <v>0</v>
      </c>
    </row>
    <row r="1948" spans="1:4" x14ac:dyDescent="0.25">
      <c r="A1948">
        <v>112500</v>
      </c>
      <c r="B1948">
        <v>55710</v>
      </c>
      <c r="C1948">
        <v>0</v>
      </c>
      <c r="D1948">
        <v>0</v>
      </c>
    </row>
    <row r="1949" spans="1:4" x14ac:dyDescent="0.25">
      <c r="A1949">
        <v>112500</v>
      </c>
      <c r="B1949">
        <v>216418.5</v>
      </c>
      <c r="C1949">
        <v>0</v>
      </c>
      <c r="D1949">
        <v>0</v>
      </c>
    </row>
    <row r="1950" spans="1:4" x14ac:dyDescent="0.25">
      <c r="A1950">
        <v>112500</v>
      </c>
      <c r="B1950">
        <v>33331.5</v>
      </c>
      <c r="C1950">
        <v>3334.5</v>
      </c>
      <c r="D1950">
        <v>0</v>
      </c>
    </row>
    <row r="1951" spans="1:4" x14ac:dyDescent="0.25">
      <c r="A1951">
        <v>112500</v>
      </c>
      <c r="B1951">
        <v>224721</v>
      </c>
      <c r="C1951">
        <v>0</v>
      </c>
      <c r="D1951">
        <v>0</v>
      </c>
    </row>
    <row r="1952" spans="1:4" x14ac:dyDescent="0.25">
      <c r="A1952">
        <v>112500</v>
      </c>
      <c r="B1952">
        <v>42705</v>
      </c>
      <c r="C1952">
        <v>18000</v>
      </c>
      <c r="D1952">
        <v>0</v>
      </c>
    </row>
    <row r="1953" spans="1:4" x14ac:dyDescent="0.25">
      <c r="A1953">
        <v>225000</v>
      </c>
      <c r="B1953">
        <v>224955</v>
      </c>
      <c r="C1953">
        <v>0</v>
      </c>
      <c r="D1953">
        <v>0</v>
      </c>
    </row>
    <row r="1954" spans="1:4" x14ac:dyDescent="0.25">
      <c r="A1954">
        <v>157500</v>
      </c>
      <c r="B1954">
        <v>36562.5</v>
      </c>
      <c r="C1954">
        <v>0</v>
      </c>
      <c r="D1954">
        <v>0</v>
      </c>
    </row>
    <row r="1955" spans="1:4" x14ac:dyDescent="0.25">
      <c r="A1955">
        <v>157500</v>
      </c>
      <c r="B1955">
        <v>26955</v>
      </c>
      <c r="C1955">
        <v>0</v>
      </c>
      <c r="D1955">
        <v>0</v>
      </c>
    </row>
    <row r="1956" spans="1:4" x14ac:dyDescent="0.25">
      <c r="A1956">
        <v>112500</v>
      </c>
      <c r="B1956">
        <v>193322.25</v>
      </c>
      <c r="C1956">
        <v>2.25</v>
      </c>
      <c r="D1956">
        <v>0</v>
      </c>
    </row>
    <row r="1957" spans="1:4" x14ac:dyDescent="0.25">
      <c r="A1957">
        <v>225000</v>
      </c>
      <c r="B1957">
        <v>22849.02</v>
      </c>
      <c r="C1957">
        <v>2288.52</v>
      </c>
      <c r="D1957">
        <v>0</v>
      </c>
    </row>
    <row r="1958" spans="1:4" x14ac:dyDescent="0.25">
      <c r="A1958">
        <v>180000</v>
      </c>
      <c r="B1958">
        <v>48055.5</v>
      </c>
      <c r="C1958">
        <v>0</v>
      </c>
      <c r="D1958">
        <v>0</v>
      </c>
    </row>
    <row r="1959" spans="1:4" x14ac:dyDescent="0.25">
      <c r="A1959">
        <v>166500</v>
      </c>
      <c r="B1959">
        <v>19075.5</v>
      </c>
      <c r="C1959">
        <v>5575.5</v>
      </c>
      <c r="D1959">
        <v>0</v>
      </c>
    </row>
    <row r="1960" spans="1:4" x14ac:dyDescent="0.25">
      <c r="A1960">
        <v>166500</v>
      </c>
      <c r="B1960">
        <v>15660</v>
      </c>
      <c r="C1960">
        <v>4698</v>
      </c>
      <c r="D1960">
        <v>0</v>
      </c>
    </row>
    <row r="1961" spans="1:4" x14ac:dyDescent="0.25">
      <c r="A1961">
        <v>166500</v>
      </c>
      <c r="B1961">
        <v>29232</v>
      </c>
      <c r="C1961">
        <v>0</v>
      </c>
      <c r="D196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>
      <selection activeCell="F14" sqref="F14"/>
    </sheetView>
  </sheetViews>
  <sheetFormatPr defaultRowHeight="15" x14ac:dyDescent="0.25"/>
  <cols>
    <col min="3" max="3" width="15.85546875" customWidth="1"/>
    <col min="4" max="4" width="13.42578125" bestFit="1" customWidth="1"/>
    <col min="5" max="5" width="6" customWidth="1"/>
    <col min="6" max="6" width="9.5703125" bestFit="1" customWidth="1"/>
    <col min="7" max="7" width="9.5703125" customWidth="1"/>
  </cols>
  <sheetData>
    <row r="1" spans="1:8" x14ac:dyDescent="0.25">
      <c r="A1" s="2" t="s">
        <v>2</v>
      </c>
      <c r="B1" s="2" t="s">
        <v>9</v>
      </c>
      <c r="C1" s="2" t="s">
        <v>10</v>
      </c>
      <c r="D1" s="3" t="s">
        <v>16</v>
      </c>
      <c r="F1" s="25" t="s">
        <v>185</v>
      </c>
    </row>
    <row r="2" spans="1:8" x14ac:dyDescent="0.25">
      <c r="A2">
        <v>540000</v>
      </c>
      <c r="B2">
        <v>54202.5</v>
      </c>
      <c r="C2">
        <v>5422.5</v>
      </c>
      <c r="D2">
        <v>1</v>
      </c>
      <c r="F2" s="25" t="s">
        <v>174</v>
      </c>
      <c r="H2">
        <f>COUNT(A2:A31)</f>
        <v>30</v>
      </c>
    </row>
    <row r="3" spans="1:8" x14ac:dyDescent="0.25">
      <c r="A3">
        <v>180000</v>
      </c>
      <c r="B3">
        <v>125941.5</v>
      </c>
      <c r="C3">
        <v>13360.5</v>
      </c>
      <c r="D3">
        <v>1</v>
      </c>
      <c r="F3" s="9" t="s">
        <v>178</v>
      </c>
      <c r="G3" s="54" t="s">
        <v>179</v>
      </c>
    </row>
    <row r="4" spans="1:8" x14ac:dyDescent="0.25">
      <c r="A4">
        <v>225000</v>
      </c>
      <c r="B4">
        <v>58590</v>
      </c>
      <c r="C4">
        <v>5859</v>
      </c>
      <c r="D4">
        <v>1</v>
      </c>
      <c r="F4" s="9"/>
      <c r="G4" s="54" t="s">
        <v>180</v>
      </c>
    </row>
    <row r="5" spans="1:8" x14ac:dyDescent="0.25">
      <c r="A5">
        <v>180000</v>
      </c>
      <c r="B5">
        <v>19030.5</v>
      </c>
      <c r="C5">
        <v>1903.5</v>
      </c>
      <c r="D5">
        <v>1</v>
      </c>
      <c r="F5" s="9" t="s">
        <v>181</v>
      </c>
      <c r="G5" t="s">
        <v>16</v>
      </c>
    </row>
    <row r="6" spans="1:8" x14ac:dyDescent="0.25">
      <c r="A6">
        <v>450000</v>
      </c>
      <c r="B6">
        <v>169636.5</v>
      </c>
      <c r="C6">
        <v>16965</v>
      </c>
      <c r="D6">
        <v>0</v>
      </c>
      <c r="G6" t="s">
        <v>182</v>
      </c>
    </row>
    <row r="7" spans="1:8" x14ac:dyDescent="0.25">
      <c r="A7">
        <v>225000</v>
      </c>
      <c r="B7">
        <v>44055</v>
      </c>
      <c r="C7">
        <v>4405.5</v>
      </c>
      <c r="D7">
        <v>0</v>
      </c>
      <c r="G7" s="54" t="s">
        <v>183</v>
      </c>
    </row>
    <row r="8" spans="1:8" x14ac:dyDescent="0.25">
      <c r="A8">
        <v>157500</v>
      </c>
      <c r="B8">
        <v>29587.5</v>
      </c>
      <c r="C8">
        <v>2961</v>
      </c>
      <c r="D8">
        <v>1</v>
      </c>
      <c r="F8" s="55" t="s">
        <v>175</v>
      </c>
    </row>
    <row r="9" spans="1:8" x14ac:dyDescent="0.25">
      <c r="A9">
        <v>90000</v>
      </c>
      <c r="B9">
        <v>33660</v>
      </c>
      <c r="C9">
        <v>3366</v>
      </c>
      <c r="D9">
        <v>1</v>
      </c>
      <c r="F9" s="25" t="s">
        <v>137</v>
      </c>
      <c r="G9" s="25" t="s">
        <v>138</v>
      </c>
    </row>
    <row r="10" spans="1:8" x14ac:dyDescent="0.25">
      <c r="A10">
        <v>189000</v>
      </c>
      <c r="B10">
        <v>45810</v>
      </c>
      <c r="C10">
        <v>4581</v>
      </c>
      <c r="D10">
        <v>0</v>
      </c>
      <c r="F10" s="4">
        <f>AVERAGE(A2:A32)</f>
        <v>183150</v>
      </c>
      <c r="G10" s="4">
        <f>_xlfn.STDEV.P(A2:A32)</f>
        <v>94665.212723576551</v>
      </c>
    </row>
    <row r="11" spans="1:8" x14ac:dyDescent="0.25">
      <c r="A11">
        <v>67500</v>
      </c>
      <c r="B11">
        <v>97357.5</v>
      </c>
      <c r="C11">
        <v>9738</v>
      </c>
      <c r="D11">
        <v>0</v>
      </c>
      <c r="F11" s="55" t="s">
        <v>176</v>
      </c>
    </row>
    <row r="12" spans="1:8" x14ac:dyDescent="0.25">
      <c r="A12">
        <v>135000</v>
      </c>
      <c r="B12">
        <v>18445.5</v>
      </c>
      <c r="C12">
        <v>1845</v>
      </c>
      <c r="D12">
        <v>0</v>
      </c>
      <c r="F12" s="25" t="s">
        <v>139</v>
      </c>
      <c r="G12" s="25" t="s">
        <v>140</v>
      </c>
    </row>
    <row r="13" spans="1:8" x14ac:dyDescent="0.25">
      <c r="A13">
        <v>180000</v>
      </c>
      <c r="B13">
        <v>27675</v>
      </c>
      <c r="C13">
        <v>6750</v>
      </c>
      <c r="D13">
        <v>1</v>
      </c>
      <c r="F13" s="4">
        <f>AVERAGE(B2:B32)</f>
        <v>64010.517</v>
      </c>
      <c r="G13" s="4">
        <f>_xlfn.STDEV.P(B2:B32)</f>
        <v>38347.249900760107</v>
      </c>
    </row>
    <row r="14" spans="1:8" x14ac:dyDescent="0.25">
      <c r="A14">
        <v>225000</v>
      </c>
      <c r="B14">
        <v>29745</v>
      </c>
      <c r="C14">
        <v>5949</v>
      </c>
      <c r="D14">
        <v>0</v>
      </c>
      <c r="F14" t="s">
        <v>177</v>
      </c>
    </row>
    <row r="15" spans="1:8" x14ac:dyDescent="0.25">
      <c r="A15">
        <v>126000</v>
      </c>
      <c r="B15">
        <v>19750.455000000002</v>
      </c>
      <c r="C15">
        <v>4.4550000000000001</v>
      </c>
      <c r="D15">
        <v>0</v>
      </c>
      <c r="F15" s="25" t="s">
        <v>141</v>
      </c>
      <c r="G15" s="25" t="s">
        <v>142</v>
      </c>
    </row>
    <row r="16" spans="1:8" x14ac:dyDescent="0.25">
      <c r="A16">
        <v>126000</v>
      </c>
      <c r="B16">
        <v>50625</v>
      </c>
      <c r="C16">
        <v>5062.5</v>
      </c>
      <c r="D16">
        <v>0</v>
      </c>
      <c r="F16" s="4">
        <f>AVERAGE(C2:C32)</f>
        <v>8901.5670000000009</v>
      </c>
      <c r="G16" s="4">
        <f>_xlfn.STDEV.P(C2:C32)</f>
        <v>12365.062058422754</v>
      </c>
    </row>
    <row r="17" spans="1:6" x14ac:dyDescent="0.25">
      <c r="A17">
        <v>247500</v>
      </c>
      <c r="B17">
        <v>92146.5</v>
      </c>
      <c r="C17">
        <v>9216</v>
      </c>
      <c r="D17">
        <v>1</v>
      </c>
    </row>
    <row r="18" spans="1:6" x14ac:dyDescent="0.25">
      <c r="A18">
        <v>171000</v>
      </c>
      <c r="B18">
        <v>82665</v>
      </c>
      <c r="C18">
        <v>8266.5</v>
      </c>
      <c r="D18">
        <v>0</v>
      </c>
      <c r="F18" s="25" t="s">
        <v>184</v>
      </c>
    </row>
    <row r="19" spans="1:6" x14ac:dyDescent="0.25">
      <c r="A19">
        <v>135000</v>
      </c>
      <c r="B19">
        <v>56205</v>
      </c>
      <c r="C19">
        <v>5400</v>
      </c>
      <c r="D19">
        <v>0</v>
      </c>
    </row>
    <row r="20" spans="1:6" x14ac:dyDescent="0.25">
      <c r="A20">
        <v>157500</v>
      </c>
      <c r="B20">
        <v>143460</v>
      </c>
      <c r="C20">
        <v>71730</v>
      </c>
      <c r="D20">
        <v>1</v>
      </c>
    </row>
    <row r="21" spans="1:6" x14ac:dyDescent="0.25">
      <c r="A21">
        <v>184500</v>
      </c>
      <c r="B21">
        <v>24367.5</v>
      </c>
      <c r="C21">
        <v>3690</v>
      </c>
      <c r="D21">
        <v>0</v>
      </c>
    </row>
    <row r="22" spans="1:6" x14ac:dyDescent="0.25">
      <c r="A22">
        <v>225000</v>
      </c>
      <c r="B22">
        <v>106186.5</v>
      </c>
      <c r="C22">
        <v>10620</v>
      </c>
      <c r="D22">
        <v>1</v>
      </c>
    </row>
    <row r="23" spans="1:6" x14ac:dyDescent="0.25">
      <c r="A23">
        <v>135000</v>
      </c>
      <c r="B23">
        <v>27162</v>
      </c>
      <c r="C23">
        <v>4500</v>
      </c>
      <c r="D23">
        <v>1</v>
      </c>
    </row>
    <row r="24" spans="1:6" x14ac:dyDescent="0.25">
      <c r="A24">
        <v>180000</v>
      </c>
      <c r="B24">
        <v>67679.955000000002</v>
      </c>
      <c r="C24">
        <v>6772.4549999999999</v>
      </c>
      <c r="D24">
        <v>1</v>
      </c>
    </row>
    <row r="25" spans="1:6" x14ac:dyDescent="0.25">
      <c r="A25">
        <v>135000</v>
      </c>
      <c r="B25">
        <v>43560</v>
      </c>
      <c r="C25">
        <v>4356</v>
      </c>
      <c r="D25">
        <v>1</v>
      </c>
    </row>
    <row r="26" spans="1:6" x14ac:dyDescent="0.25">
      <c r="A26">
        <v>99000</v>
      </c>
      <c r="B26">
        <v>105057</v>
      </c>
      <c r="C26">
        <v>11250</v>
      </c>
      <c r="D26">
        <v>1</v>
      </c>
    </row>
    <row r="27" spans="1:6" x14ac:dyDescent="0.25">
      <c r="A27">
        <v>157500</v>
      </c>
      <c r="B27">
        <v>79443</v>
      </c>
      <c r="C27">
        <v>7947</v>
      </c>
      <c r="D27">
        <v>0</v>
      </c>
    </row>
    <row r="28" spans="1:6" x14ac:dyDescent="0.25">
      <c r="A28">
        <v>180000</v>
      </c>
      <c r="B28">
        <v>87259.5</v>
      </c>
      <c r="C28">
        <v>8730</v>
      </c>
      <c r="D28">
        <v>0</v>
      </c>
    </row>
    <row r="29" spans="1:6" x14ac:dyDescent="0.25">
      <c r="A29">
        <v>180000</v>
      </c>
      <c r="B29">
        <v>47927.7</v>
      </c>
      <c r="C29">
        <v>4795.2</v>
      </c>
      <c r="D29">
        <v>0</v>
      </c>
    </row>
    <row r="30" spans="1:6" x14ac:dyDescent="0.25">
      <c r="A30">
        <v>108000</v>
      </c>
      <c r="B30">
        <v>44973.9</v>
      </c>
      <c r="C30">
        <v>3600.9</v>
      </c>
      <c r="D30">
        <v>1</v>
      </c>
    </row>
    <row r="31" spans="1:6" x14ac:dyDescent="0.25">
      <c r="A31">
        <v>103500</v>
      </c>
      <c r="B31">
        <v>88110</v>
      </c>
      <c r="C31">
        <v>18000</v>
      </c>
      <c r="D31">
        <v>0</v>
      </c>
    </row>
  </sheetData>
  <conditionalFormatting sqref="F15:G15">
    <cfRule type="duplicateValues" dxfId="1" priority="1"/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77EFE-D7B0-4265-A165-618200FB6756}">
  <dimension ref="A1:AU71"/>
  <sheetViews>
    <sheetView topLeftCell="N1" zoomScaleNormal="100" workbookViewId="0">
      <selection activeCell="J2" sqref="J2"/>
    </sheetView>
  </sheetViews>
  <sheetFormatPr defaultRowHeight="15" outlineLevelRow="1" outlineLevelCol="1" x14ac:dyDescent="0.25"/>
  <cols>
    <col min="1" max="1" width="6.42578125" customWidth="1"/>
    <col min="2" max="2" width="11.5703125" bestFit="1" customWidth="1"/>
    <col min="3" max="3" width="15.140625" bestFit="1" customWidth="1"/>
    <col min="4" max="4" width="15" bestFit="1" customWidth="1"/>
    <col min="5" max="5" width="13.42578125" bestFit="1" customWidth="1"/>
    <col min="6" max="6" width="3.85546875" customWidth="1"/>
    <col min="7" max="7" width="4.85546875" customWidth="1" outlineLevel="1"/>
    <col min="8" max="8" width="3.85546875" customWidth="1" outlineLevel="1"/>
    <col min="9" max="9" width="7" customWidth="1" outlineLevel="1"/>
    <col min="10" max="10" width="5.140625" customWidth="1" outlineLevel="1"/>
    <col min="11" max="11" width="6.5703125" customWidth="1" outlineLevel="1"/>
    <col min="12" max="12" width="9.42578125" customWidth="1" outlineLevel="1"/>
    <col min="13" max="13" width="8.85546875" customWidth="1" outlineLevel="1"/>
    <col min="14" max="16" width="7.85546875" customWidth="1" outlineLevel="1"/>
    <col min="17" max="17" width="7.7109375" customWidth="1" outlineLevel="1"/>
    <col min="18" max="18" width="14.28515625" customWidth="1" outlineLevel="1"/>
    <col min="19" max="19" width="3.7109375" bestFit="1" customWidth="1"/>
    <col min="20" max="20" width="4.5703125" customWidth="1" outlineLevel="1"/>
    <col min="21" max="22" width="9.140625" customWidth="1" outlineLevel="1"/>
    <col min="23" max="23" width="6.42578125" customWidth="1" outlineLevel="1"/>
    <col min="24" max="24" width="5.28515625" customWidth="1" outlineLevel="1"/>
    <col min="25" max="26" width="7.85546875" customWidth="1" outlineLevel="1"/>
    <col min="27" max="30" width="9.140625" customWidth="1" outlineLevel="1"/>
    <col min="31" max="31" width="13.7109375" customWidth="1" outlineLevel="1"/>
    <col min="32" max="32" width="3.7109375" bestFit="1" customWidth="1"/>
    <col min="33" max="33" width="5" customWidth="1" outlineLevel="1"/>
    <col min="34" max="35" width="9.140625" customWidth="1" outlineLevel="1"/>
    <col min="36" max="36" width="5.28515625" customWidth="1" outlineLevel="1"/>
    <col min="37" max="37" width="5.7109375" customWidth="1" outlineLevel="1"/>
    <col min="38" max="42" width="7.85546875" customWidth="1" outlineLevel="1"/>
    <col min="43" max="43" width="7.42578125" customWidth="1" outlineLevel="1"/>
    <col min="44" max="44" width="11.5703125" customWidth="1" outlineLevel="1"/>
  </cols>
  <sheetData>
    <row r="1" spans="1:47" ht="18" x14ac:dyDescent="0.35">
      <c r="A1" s="21" t="s">
        <v>124</v>
      </c>
      <c r="B1" s="12" t="s">
        <v>119</v>
      </c>
      <c r="C1" s="12" t="s">
        <v>120</v>
      </c>
      <c r="D1" s="12" t="s">
        <v>121</v>
      </c>
      <c r="E1" s="13" t="s">
        <v>117</v>
      </c>
      <c r="F1" s="24" t="s">
        <v>146</v>
      </c>
      <c r="G1" s="22" t="s">
        <v>122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4" t="s">
        <v>147</v>
      </c>
      <c r="T1" s="22" t="s">
        <v>135</v>
      </c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4" t="s">
        <v>148</v>
      </c>
      <c r="AG1" s="22" t="s">
        <v>145</v>
      </c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</row>
    <row r="2" spans="1:47" ht="18" x14ac:dyDescent="0.35">
      <c r="A2" s="21"/>
      <c r="B2" s="14" t="s">
        <v>2</v>
      </c>
      <c r="C2" s="14" t="s">
        <v>9</v>
      </c>
      <c r="D2" s="14" t="s">
        <v>10</v>
      </c>
      <c r="E2" s="15" t="s">
        <v>16</v>
      </c>
      <c r="F2" s="24"/>
      <c r="G2" s="38" t="s">
        <v>164</v>
      </c>
      <c r="H2" s="5">
        <v>0</v>
      </c>
      <c r="I2" s="43" t="s">
        <v>118</v>
      </c>
      <c r="J2" s="39" t="s">
        <v>123</v>
      </c>
      <c r="K2" s="39" t="s">
        <v>130</v>
      </c>
      <c r="L2" s="39" t="s">
        <v>131</v>
      </c>
      <c r="M2" s="39" t="s">
        <v>132</v>
      </c>
      <c r="N2" s="39" t="s">
        <v>133</v>
      </c>
      <c r="O2" s="39" t="s">
        <v>134</v>
      </c>
      <c r="P2" s="44" t="s">
        <v>168</v>
      </c>
      <c r="Q2" s="47" t="s">
        <v>125</v>
      </c>
      <c r="R2" s="5">
        <f>(1/$C$36)*SUM(L3:L32)</f>
        <v>0</v>
      </c>
      <c r="S2" s="46"/>
      <c r="T2" s="38" t="s">
        <v>164</v>
      </c>
      <c r="U2" s="5">
        <f>H2-$R$6*R2</f>
        <v>0</v>
      </c>
      <c r="V2" s="43" t="s">
        <v>118</v>
      </c>
      <c r="W2" s="10" t="s">
        <v>123</v>
      </c>
      <c r="X2" s="10" t="s">
        <v>130</v>
      </c>
      <c r="Y2" s="10" t="s">
        <v>131</v>
      </c>
      <c r="Z2" s="10" t="s">
        <v>132</v>
      </c>
      <c r="AA2" s="10" t="s">
        <v>133</v>
      </c>
      <c r="AB2" s="10" t="s">
        <v>134</v>
      </c>
      <c r="AC2" s="44" t="s">
        <v>168</v>
      </c>
      <c r="AD2" s="47" t="s">
        <v>125</v>
      </c>
      <c r="AE2" s="5">
        <f>(1/$C$36)*SUM(Y3:Y32)</f>
        <v>-5.1043469451172997E-11</v>
      </c>
      <c r="AF2" s="24"/>
      <c r="AG2" s="38" t="s">
        <v>164</v>
      </c>
      <c r="AH2" s="5">
        <f>U2-$AE$6*AE2</f>
        <v>5.1043469451173001E-13</v>
      </c>
      <c r="AI2" s="43" t="s">
        <v>118</v>
      </c>
      <c r="AJ2" s="10" t="s">
        <v>123</v>
      </c>
      <c r="AK2" s="10" t="s">
        <v>130</v>
      </c>
      <c r="AL2" s="10" t="s">
        <v>131</v>
      </c>
      <c r="AM2" s="10" t="s">
        <v>132</v>
      </c>
      <c r="AN2" s="10" t="s">
        <v>133</v>
      </c>
      <c r="AO2" s="10" t="s">
        <v>134</v>
      </c>
      <c r="AP2" s="44" t="s">
        <v>168</v>
      </c>
      <c r="AQ2" s="47" t="s">
        <v>125</v>
      </c>
      <c r="AR2" s="5">
        <f>(1/$C$36)*SUM(AL3:AL32)</f>
        <v>-4.0601023654218694E-10</v>
      </c>
      <c r="AT2">
        <v>-4.0601023654218694E-10</v>
      </c>
      <c r="AU2">
        <f>AR2-AT2</f>
        <v>0</v>
      </c>
    </row>
    <row r="3" spans="1:47" ht="18" x14ac:dyDescent="0.35">
      <c r="A3" s="11">
        <v>1</v>
      </c>
      <c r="B3" s="16">
        <f>('Data-LR-Short-Train'!A2-'Data-LR-Short-Train'!$F$10)/'Data-LR-Short-Train'!$G$10</f>
        <v>3.769600149127704</v>
      </c>
      <c r="C3" s="17">
        <f>('Data-LR-Short-Train'!B2-'Data-LR-Short-Train'!$F$13)/'Data-LR-Short-Train'!$G$13</f>
        <v>-0.25576845863477654</v>
      </c>
      <c r="D3" s="17">
        <f>('Data-LR-Short-Train'!C2-'Data-LR-Short-Train'!$F$16)/'Data-LR-Short-Train'!$G$16</f>
        <v>-0.28136268007083332</v>
      </c>
      <c r="E3" s="11">
        <f>'Data-LR-Short-Train'!D2</f>
        <v>1</v>
      </c>
      <c r="F3" s="24"/>
      <c r="G3" s="38" t="s">
        <v>165</v>
      </c>
      <c r="H3" s="5">
        <v>0</v>
      </c>
      <c r="I3" s="61">
        <f>H$2+H$3*$B3+H$4*$C3+H$5*$D3</f>
        <v>0</v>
      </c>
      <c r="J3" s="11">
        <f>1/(1+EXP(-I3))</f>
        <v>0.5</v>
      </c>
      <c r="K3" s="11">
        <f>J3-$E3</f>
        <v>-0.5</v>
      </c>
      <c r="L3" s="11">
        <f>$K3*A3</f>
        <v>-0.5</v>
      </c>
      <c r="M3" s="18">
        <f>$K3*B3</f>
        <v>-1.884800074563852</v>
      </c>
      <c r="N3" s="11">
        <f t="shared" ref="N3:O3" si="0">$K3*C3</f>
        <v>0.12788422931738827</v>
      </c>
      <c r="O3" s="11">
        <f t="shared" si="0"/>
        <v>0.14068134003541666</v>
      </c>
      <c r="P3" s="45">
        <f>$E3*LN(J3)+(1-$E3)*LN(1-J3)</f>
        <v>-0.69314718055994529</v>
      </c>
      <c r="Q3" s="47" t="s">
        <v>126</v>
      </c>
      <c r="R3" s="5">
        <f>(1/$C$36)*SUM(M3:M32)</f>
        <v>-3.2482893256459831E-2</v>
      </c>
      <c r="S3" s="46"/>
      <c r="T3" s="38" t="s">
        <v>165</v>
      </c>
      <c r="U3" s="5">
        <f>H3-$R$6*R3</f>
        <v>3.2482893256459834E-4</v>
      </c>
      <c r="V3" s="32">
        <f>U$2+ U$3*$B3+U$4*$C3+U$5*$D3</f>
        <v>9.6930598171401147E-4</v>
      </c>
      <c r="W3" s="17">
        <f>1/(1+EXP(-V3))</f>
        <v>0.50024232647645528</v>
      </c>
      <c r="X3" s="17">
        <f t="shared" ref="X3:X32" si="1">W3-$E3</f>
        <v>-0.49975767352354472</v>
      </c>
      <c r="Y3" s="17">
        <f>$X3*A3</f>
        <v>-0.49975767352354472</v>
      </c>
      <c r="Z3" s="17">
        <f>$X3*B3</f>
        <v>-1.8838866006420687</v>
      </c>
      <c r="AA3" s="17">
        <f>$X3*C3</f>
        <v>0.1278222498480189</v>
      </c>
      <c r="AB3" s="17">
        <f>$X3*D3</f>
        <v>0.14061315840854907</v>
      </c>
      <c r="AC3" s="45">
        <f>$E3*LN(W3)+(1-$E3)*LN(1-W3)</f>
        <v>-0.6926626450133444</v>
      </c>
      <c r="AD3" s="47" t="s">
        <v>126</v>
      </c>
      <c r="AE3" s="5">
        <f>(1/$C$36)*SUM(Z3:Z32)</f>
        <v>-3.2387605653225085E-2</v>
      </c>
      <c r="AF3" s="24"/>
      <c r="AG3" s="38" t="s">
        <v>165</v>
      </c>
      <c r="AH3" s="5">
        <f t="shared" ref="AH3:AH5" si="2">U3-$AE$6*AE3</f>
        <v>6.4870498909684919E-4</v>
      </c>
      <c r="AI3" s="32">
        <f>AH$2+ AH$3*$B3+AH$4*$C3+AH$5*$D3</f>
        <v>1.9360950437203009E-3</v>
      </c>
      <c r="AJ3" s="17">
        <f>1/(1+EXP(-AI3))</f>
        <v>0.50048402360973465</v>
      </c>
      <c r="AK3" s="17">
        <f t="shared" ref="AK3" si="3">AJ3-$E3</f>
        <v>-0.49951597639026535</v>
      </c>
      <c r="AL3" s="17">
        <f>$AK3*A3</f>
        <v>-0.49951597639026535</v>
      </c>
      <c r="AM3" s="17">
        <f>$AK3*B3</f>
        <v>-1.882975499092415</v>
      </c>
      <c r="AN3" s="17">
        <f>$AK3*C3</f>
        <v>0.1277604313447836</v>
      </c>
      <c r="AO3" s="17">
        <f>$AK3*D3</f>
        <v>0.14054515385536415</v>
      </c>
      <c r="AP3" s="45">
        <f>$E3*LN(AJ3)+(1-$E3)*LN(1-AJ3)</f>
        <v>-0.69217960159601433</v>
      </c>
      <c r="AQ3" s="47" t="s">
        <v>126</v>
      </c>
      <c r="AR3" s="5">
        <f>(1/$C$36)*SUM(AM3:AM32)</f>
        <v>-3.2292681706290287E-2</v>
      </c>
      <c r="AT3">
        <v>-3.2292681706290287E-2</v>
      </c>
      <c r="AU3">
        <f t="shared" ref="AU3:AU5" si="4">AR3-AT3</f>
        <v>0</v>
      </c>
    </row>
    <row r="4" spans="1:47" ht="18" x14ac:dyDescent="0.35">
      <c r="A4" s="11">
        <v>1</v>
      </c>
      <c r="B4" s="16">
        <f>('Data-LR-Short-Train'!A3-'Data-LR-Short-Train'!$F$10)/'Data-LR-Short-Train'!$G$10</f>
        <v>-3.3275158945641779E-2</v>
      </c>
      <c r="C4" s="17">
        <f>('Data-LR-Short-Train'!B3-'Data-LR-Short-Train'!$F$13)/'Data-LR-Short-Train'!$G$13</f>
        <v>1.6150045481820177</v>
      </c>
      <c r="D4" s="17">
        <f>('Data-LR-Short-Train'!C3-'Data-LR-Short-Train'!$F$16)/'Data-LR-Short-Train'!$G$16</f>
        <v>0.36060740972688377</v>
      </c>
      <c r="E4" s="11">
        <f>'Data-LR-Short-Train'!D3</f>
        <v>1</v>
      </c>
      <c r="F4" s="24"/>
      <c r="G4" s="38" t="s">
        <v>166</v>
      </c>
      <c r="H4" s="5">
        <v>0</v>
      </c>
      <c r="I4" s="32">
        <f t="shared" ref="I4:I32" si="5">H$2+ H$3*$B4+H$4*$C4+H$5*$D4</f>
        <v>0</v>
      </c>
      <c r="J4" s="11">
        <f t="shared" ref="J4:J32" si="6">1/(1+EXP(-I4))</f>
        <v>0.5</v>
      </c>
      <c r="K4" s="11">
        <f t="shared" ref="K4:K32" si="7">J4-$E4</f>
        <v>-0.5</v>
      </c>
      <c r="L4" s="11">
        <f t="shared" ref="L4:L32" si="8">$K4*A4</f>
        <v>-0.5</v>
      </c>
      <c r="M4" s="11">
        <f t="shared" ref="M4:M32" si="9">$K4*B4</f>
        <v>1.663757947282089E-2</v>
      </c>
      <c r="N4" s="11">
        <f t="shared" ref="N4:N32" si="10">$K4*C4</f>
        <v>-0.80750227409100883</v>
      </c>
      <c r="O4" s="11">
        <f t="shared" ref="O4:O32" si="11">$K4*D4</f>
        <v>-0.18030370486344188</v>
      </c>
      <c r="P4" s="45">
        <f t="shared" ref="P4:P32" si="12">$E4*LN(J4)+(1-$E4)*LN(1-J4)</f>
        <v>-0.69314718055994529</v>
      </c>
      <c r="Q4" s="47" t="s">
        <v>127</v>
      </c>
      <c r="R4" s="5">
        <f>(1/$C$36)*SUM(N3:N32)</f>
        <v>-1.6302864002448521E-2</v>
      </c>
      <c r="S4" s="46"/>
      <c r="T4" s="38" t="s">
        <v>166</v>
      </c>
      <c r="U4" s="5">
        <f t="shared" ref="U4:U5" si="13">H4-$R$6*R4</f>
        <v>1.6302864002448522E-4</v>
      </c>
      <c r="V4" s="32">
        <f t="shared" ref="V4:V32" si="14">U$2+ U$3*$B4+U$4*$C4+U$5*$D4</f>
        <v>5.260783602448083E-4</v>
      </c>
      <c r="W4" s="17">
        <f t="shared" ref="W4:W32" si="15">1/(1+EXP(-V4))</f>
        <v>0.50013151958702795</v>
      </c>
      <c r="X4" s="17">
        <f t="shared" si="1"/>
        <v>-0.49986848041297205</v>
      </c>
      <c r="Y4" s="17">
        <f t="shared" ref="Y4:Y32" si="16">$X4*A4</f>
        <v>-0.49986848041297205</v>
      </c>
      <c r="Z4" s="17">
        <f t="shared" ref="Z4:Z32" si="17">$X4*B4</f>
        <v>1.6633203137658068E-2</v>
      </c>
      <c r="AA4" s="17">
        <f t="shared" ref="AA4:AA32" si="18">$X4*C4</f>
        <v>-0.80728986935978364</v>
      </c>
      <c r="AB4" s="17">
        <f t="shared" ref="AB4:AB32" si="19">$X4*D4</f>
        <v>-0.18025627792583537</v>
      </c>
      <c r="AC4" s="45">
        <f t="shared" ref="AC4:AC32" si="20">$E4*LN(W4)+(1-$E4)*LN(1-W4)</f>
        <v>-0.69288417597462759</v>
      </c>
      <c r="AD4" s="47" t="s">
        <v>127</v>
      </c>
      <c r="AE4" s="8">
        <f>(1/$C$36)*SUM(AA3:AA32)</f>
        <v>-1.6121398227516535E-2</v>
      </c>
      <c r="AF4" s="24"/>
      <c r="AG4" s="38" t="s">
        <v>166</v>
      </c>
      <c r="AH4" s="5">
        <f t="shared" si="2"/>
        <v>3.2424262229965059E-4</v>
      </c>
      <c r="AI4" s="32">
        <f t="shared" ref="AI4:AI32" si="21">AH$2+ AH$3*$B4+AH$4*$C4+AH$5*$D4</f>
        <v>1.0484747781282452E-3</v>
      </c>
      <c r="AJ4" s="17">
        <f t="shared" ref="AJ4:AJ32" si="22">1/(1+EXP(-AI4))</f>
        <v>0.50026211867051984</v>
      </c>
      <c r="AK4" s="17">
        <f t="shared" ref="AK4" si="23">AJ4-$E4</f>
        <v>-0.49973788132948016</v>
      </c>
      <c r="AL4" s="17">
        <f t="shared" ref="AL4:AL32" si="24">$AK4*A4</f>
        <v>-0.49973788132948016</v>
      </c>
      <c r="AM4" s="17">
        <f t="shared" ref="AM4:AM32" si="25">$AK4*B4</f>
        <v>1.6628857432396723E-2</v>
      </c>
      <c r="AN4" s="17">
        <f t="shared" ref="AN4:AN32" si="26">$AK4*C4</f>
        <v>-0.80707895124595586</v>
      </c>
      <c r="AO4" s="17">
        <f t="shared" ref="AO4:AO32" si="27">$AK4*D4</f>
        <v>-0.18020918292862467</v>
      </c>
      <c r="AP4" s="45">
        <f t="shared" ref="AP4:AP32" si="28">$E4*LN(AJ4)+(1-$E4)*LN(1-AJ4)</f>
        <v>-0.69262308058329491</v>
      </c>
      <c r="AQ4" s="47" t="s">
        <v>127</v>
      </c>
      <c r="AR4" s="63">
        <f>(1/$C$36)*SUM(AN3:AN32)</f>
        <v>-1.5940790944234378E-2</v>
      </c>
      <c r="AT4">
        <v>-1.5940790944234378E-2</v>
      </c>
      <c r="AU4">
        <f t="shared" si="4"/>
        <v>0</v>
      </c>
    </row>
    <row r="5" spans="1:47" ht="18" x14ac:dyDescent="0.35">
      <c r="A5" s="11">
        <v>1</v>
      </c>
      <c r="B5" s="16">
        <f>('Data-LR-Short-Train'!A4-'Data-LR-Short-Train'!$F$10)/'Data-LR-Short-Train'!$G$10</f>
        <v>0.44208425456352646</v>
      </c>
      <c r="C5" s="17">
        <f>('Data-LR-Short-Train'!B4-'Data-LR-Short-Train'!$F$13)/'Data-LR-Short-Train'!$G$13</f>
        <v>-0.14135347421335046</v>
      </c>
      <c r="D5" s="17">
        <f>('Data-LR-Short-Train'!C4-'Data-LR-Short-Train'!$F$16)/'Data-LR-Short-Train'!$G$16</f>
        <v>-0.24606160370440555</v>
      </c>
      <c r="E5" s="11">
        <f>'Data-LR-Short-Train'!D4</f>
        <v>1</v>
      </c>
      <c r="F5" s="24"/>
      <c r="G5" s="38" t="s">
        <v>167</v>
      </c>
      <c r="H5" s="5">
        <v>0</v>
      </c>
      <c r="I5" s="32">
        <f t="shared" si="5"/>
        <v>0</v>
      </c>
      <c r="J5" s="11">
        <f t="shared" si="6"/>
        <v>0.5</v>
      </c>
      <c r="K5" s="11">
        <f t="shared" si="7"/>
        <v>-0.5</v>
      </c>
      <c r="L5" s="11">
        <f t="shared" si="8"/>
        <v>-0.5</v>
      </c>
      <c r="M5" s="11">
        <f t="shared" si="9"/>
        <v>-0.22104212728176323</v>
      </c>
      <c r="N5" s="11">
        <f t="shared" si="10"/>
        <v>7.0676737106675228E-2</v>
      </c>
      <c r="O5" s="11">
        <f t="shared" si="11"/>
        <v>0.12303080185220278</v>
      </c>
      <c r="P5" s="45">
        <f t="shared" si="12"/>
        <v>-0.69314718055994529</v>
      </c>
      <c r="Q5" s="47" t="s">
        <v>128</v>
      </c>
      <c r="R5" s="5">
        <f>(1/$C$36)*SUM(O3:O32)</f>
        <v>-7.5870626088848495E-2</v>
      </c>
      <c r="S5" s="46"/>
      <c r="T5" s="38" t="s">
        <v>167</v>
      </c>
      <c r="U5" s="5">
        <f t="shared" si="13"/>
        <v>7.5870626088848491E-4</v>
      </c>
      <c r="V5" s="32">
        <f t="shared" si="14"/>
        <v>-6.6131387445045889E-5</v>
      </c>
      <c r="W5" s="17">
        <f t="shared" si="15"/>
        <v>0.49998346715314479</v>
      </c>
      <c r="X5" s="17">
        <f t="shared" si="1"/>
        <v>-0.50001653284685521</v>
      </c>
      <c r="Y5" s="17">
        <f t="shared" si="16"/>
        <v>-0.50001653284685521</v>
      </c>
      <c r="Z5" s="17">
        <f t="shared" si="17"/>
        <v>-0.22104943619304102</v>
      </c>
      <c r="AA5" s="17">
        <f t="shared" si="18"/>
        <v>7.0679074082016846E-2</v>
      </c>
      <c r="AB5" s="17">
        <f t="shared" si="19"/>
        <v>0.12303486995101377</v>
      </c>
      <c r="AC5" s="45">
        <f t="shared" si="20"/>
        <v>-0.69318024680033785</v>
      </c>
      <c r="AD5" s="47" t="s">
        <v>128</v>
      </c>
      <c r="AE5" s="5">
        <f>(1/$C$36)*SUM(AB3:AB32)</f>
        <v>-7.5653500917936004E-2</v>
      </c>
      <c r="AF5" s="24"/>
      <c r="AG5" s="38" t="s">
        <v>167</v>
      </c>
      <c r="AH5" s="5">
        <f t="shared" si="2"/>
        <v>1.5152412700678449E-3</v>
      </c>
      <c r="AI5" s="32">
        <f t="shared" si="21"/>
        <v>-1.3189325601514114E-4</v>
      </c>
      <c r="AJ5" s="17">
        <f t="shared" si="22"/>
        <v>0.49996702668604398</v>
      </c>
      <c r="AK5" s="17">
        <f t="shared" ref="AK5" si="29">AJ5-$E5</f>
        <v>-0.50003297331395602</v>
      </c>
      <c r="AL5" s="17">
        <f t="shared" si="24"/>
        <v>-0.50003297331395602</v>
      </c>
      <c r="AM5" s="17">
        <f t="shared" si="25"/>
        <v>-0.22105670426468396</v>
      </c>
      <c r="AN5" s="17">
        <f t="shared" si="26"/>
        <v>7.0681397999159234E-2</v>
      </c>
      <c r="AO5" s="17">
        <f t="shared" si="27"/>
        <v>0.12303891531871425</v>
      </c>
      <c r="AP5" s="45">
        <f t="shared" si="28"/>
        <v>-0.69321312936243185</v>
      </c>
      <c r="AQ5" s="47" t="s">
        <v>128</v>
      </c>
      <c r="AR5" s="5">
        <f>(1/$C$36)*SUM(AO3:AO32)</f>
        <v>-7.5437212280178537E-2</v>
      </c>
      <c r="AT5">
        <v>-7.5437212280178537E-2</v>
      </c>
      <c r="AU5">
        <f t="shared" si="4"/>
        <v>0</v>
      </c>
    </row>
    <row r="6" spans="1:47" x14ac:dyDescent="0.25">
      <c r="A6" s="11">
        <v>1</v>
      </c>
      <c r="B6" s="16">
        <f>('Data-LR-Short-Train'!A5-'Data-LR-Short-Train'!$F$10)/'Data-LR-Short-Train'!$G$10</f>
        <v>-3.3275158945641779E-2</v>
      </c>
      <c r="C6" s="17">
        <f>('Data-LR-Short-Train'!B5-'Data-LR-Short-Train'!$F$13)/'Data-LR-Short-Train'!$G$13</f>
        <v>-1.1729659132377162</v>
      </c>
      <c r="D6" s="17">
        <f>('Data-LR-Short-Train'!C5-'Data-LR-Short-Train'!$F$16)/'Data-LR-Short-Train'!$G$16</f>
        <v>-0.56595486273626117</v>
      </c>
      <c r="E6" s="11">
        <f>'Data-LR-Short-Train'!D5</f>
        <v>1</v>
      </c>
      <c r="F6" s="24"/>
      <c r="I6" s="11">
        <f t="shared" si="5"/>
        <v>0</v>
      </c>
      <c r="J6" s="11">
        <f t="shared" si="6"/>
        <v>0.5</v>
      </c>
      <c r="K6" s="11">
        <f t="shared" si="7"/>
        <v>-0.5</v>
      </c>
      <c r="L6" s="11">
        <f t="shared" si="8"/>
        <v>-0.5</v>
      </c>
      <c r="M6" s="11">
        <f t="shared" si="9"/>
        <v>1.663757947282089E-2</v>
      </c>
      <c r="N6" s="11">
        <f t="shared" si="10"/>
        <v>0.58648295661885808</v>
      </c>
      <c r="O6" s="11">
        <f t="shared" si="11"/>
        <v>0.28297743136813058</v>
      </c>
      <c r="P6" s="42">
        <f t="shared" si="12"/>
        <v>-0.69314718055994529</v>
      </c>
      <c r="Q6" s="6" t="s">
        <v>136</v>
      </c>
      <c r="R6" s="7">
        <f>C38</f>
        <v>0.01</v>
      </c>
      <c r="S6" s="24"/>
      <c r="V6" s="11">
        <f t="shared" si="14"/>
        <v>-6.3142926972973776E-4</v>
      </c>
      <c r="W6" s="17">
        <f t="shared" si="15"/>
        <v>0.49984214268781241</v>
      </c>
      <c r="X6" s="17">
        <f t="shared" si="1"/>
        <v>-0.50015785731218765</v>
      </c>
      <c r="Y6" s="17">
        <f t="shared" si="16"/>
        <v>-0.50015785731218765</v>
      </c>
      <c r="Z6" s="17">
        <f t="shared" si="17"/>
        <v>1.6642832199974665E-2</v>
      </c>
      <c r="AA6" s="17">
        <f t="shared" si="18"/>
        <v>0.58666811786520956</v>
      </c>
      <c r="AB6" s="17">
        <f t="shared" si="19"/>
        <v>0.28306677148158166</v>
      </c>
      <c r="AC6" s="42">
        <f t="shared" si="20"/>
        <v>-0.69346294503267469</v>
      </c>
      <c r="AD6" s="6" t="s">
        <v>136</v>
      </c>
      <c r="AE6" s="7">
        <v>0.01</v>
      </c>
      <c r="AF6" s="24"/>
      <c r="AI6" s="11">
        <f t="shared" si="21"/>
        <v>-1.2594694697004604E-3</v>
      </c>
      <c r="AJ6" s="17">
        <f t="shared" si="22"/>
        <v>0.49968513267419673</v>
      </c>
      <c r="AK6" s="17">
        <f t="shared" ref="AK6" si="30">AJ6-$E6</f>
        <v>-0.50031486732580333</v>
      </c>
      <c r="AL6" s="17">
        <f t="shared" si="24"/>
        <v>-0.50031486732580333</v>
      </c>
      <c r="AM6" s="17">
        <f t="shared" si="25"/>
        <v>1.6648056733133784E-2</v>
      </c>
      <c r="AN6" s="17">
        <f t="shared" si="26"/>
        <v>0.58685228525921773</v>
      </c>
      <c r="AO6" s="17">
        <f t="shared" si="27"/>
        <v>0.28315563206228572</v>
      </c>
      <c r="AP6" s="42">
        <f t="shared" si="28"/>
        <v>-0.69377711357770067</v>
      </c>
      <c r="AQ6" s="6" t="s">
        <v>136</v>
      </c>
      <c r="AR6" s="7">
        <v>0.01</v>
      </c>
    </row>
    <row r="7" spans="1:47" x14ac:dyDescent="0.25">
      <c r="A7" s="11">
        <v>1</v>
      </c>
      <c r="B7" s="16">
        <f>('Data-LR-Short-Train'!A6-'Data-LR-Short-Train'!$F$10)/'Data-LR-Short-Train'!$G$10</f>
        <v>2.8188813221093678</v>
      </c>
      <c r="C7" s="17">
        <f>('Data-LR-Short-Train'!B6-'Data-LR-Short-Train'!$F$13)/'Data-LR-Short-Train'!$G$13</f>
        <v>2.7544604443174507</v>
      </c>
      <c r="D7" s="17">
        <f>('Data-LR-Short-Train'!C6-'Data-LR-Short-Train'!$F$16)/'Data-LR-Short-Train'!$G$16</f>
        <v>0.65211423621666342</v>
      </c>
      <c r="E7" s="11">
        <f>'Data-LR-Short-Train'!D6</f>
        <v>0</v>
      </c>
      <c r="F7" s="24"/>
      <c r="I7" s="11">
        <f t="shared" si="5"/>
        <v>0</v>
      </c>
      <c r="J7" s="11">
        <f t="shared" si="6"/>
        <v>0.5</v>
      </c>
      <c r="K7" s="11">
        <f t="shared" si="7"/>
        <v>0.5</v>
      </c>
      <c r="L7" s="11">
        <f t="shared" si="8"/>
        <v>0.5</v>
      </c>
      <c r="M7" s="11">
        <f t="shared" si="9"/>
        <v>1.4094406610546839</v>
      </c>
      <c r="N7" s="11">
        <f t="shared" si="10"/>
        <v>1.3772302221587254</v>
      </c>
      <c r="O7" s="11">
        <f t="shared" si="11"/>
        <v>0.32605711810833171</v>
      </c>
      <c r="P7" s="42">
        <f t="shared" si="12"/>
        <v>-0.69314718055994529</v>
      </c>
      <c r="Q7" s="9" t="s">
        <v>144</v>
      </c>
      <c r="R7">
        <v>1E-3</v>
      </c>
      <c r="S7" s="24"/>
      <c r="V7" s="11">
        <f t="shared" si="14"/>
        <v>1.8594733049574778E-3</v>
      </c>
      <c r="W7" s="17">
        <f t="shared" si="15"/>
        <v>0.50046486819229374</v>
      </c>
      <c r="X7" s="17">
        <f t="shared" si="1"/>
        <v>0.50046486819229374</v>
      </c>
      <c r="Y7" s="17">
        <f t="shared" si="16"/>
        <v>0.50046486819229374</v>
      </c>
      <c r="Z7" s="17">
        <f t="shared" si="17"/>
        <v>1.4107510693191836</v>
      </c>
      <c r="AA7" s="17">
        <f t="shared" si="18"/>
        <v>1.3785106832062199</v>
      </c>
      <c r="AB7" s="17">
        <f t="shared" si="19"/>
        <v>0.32636026527449075</v>
      </c>
      <c r="AC7" s="42">
        <f t="shared" si="20"/>
        <v>-0.69407734941748322</v>
      </c>
      <c r="AD7" s="9" t="s">
        <v>144</v>
      </c>
      <c r="AE7">
        <v>1E-3</v>
      </c>
      <c r="AF7" s="24"/>
      <c r="AI7" s="11">
        <f t="shared" si="21"/>
        <v>3.709846258835115E-3</v>
      </c>
      <c r="AJ7" s="17">
        <f t="shared" si="22"/>
        <v>0.50092746050099224</v>
      </c>
      <c r="AK7" s="17">
        <f t="shared" ref="AK7" si="31">AJ7-$E7</f>
        <v>0.50092746050099224</v>
      </c>
      <c r="AL7" s="17">
        <f t="shared" si="24"/>
        <v>0.50092746050099224</v>
      </c>
      <c r="AM7" s="17">
        <f t="shared" si="25"/>
        <v>1.4120550621379251</v>
      </c>
      <c r="AN7" s="17">
        <f t="shared" si="26"/>
        <v>1.3797848754223754</v>
      </c>
      <c r="AO7" s="17">
        <f t="shared" si="27"/>
        <v>0.32666192830455737</v>
      </c>
      <c r="AP7" s="42">
        <f t="shared" si="28"/>
        <v>-0.69500382405828431</v>
      </c>
      <c r="AQ7" s="9" t="s">
        <v>144</v>
      </c>
      <c r="AR7">
        <v>1E-3</v>
      </c>
    </row>
    <row r="8" spans="1:47" x14ac:dyDescent="0.25">
      <c r="A8" s="11">
        <v>1</v>
      </c>
      <c r="B8" s="16">
        <f>('Data-LR-Short-Train'!A7-'Data-LR-Short-Train'!$F$10)/'Data-LR-Short-Train'!$G$10</f>
        <v>0.44208425456352646</v>
      </c>
      <c r="C8" s="17">
        <f>('Data-LR-Short-Train'!B7-'Data-LR-Short-Train'!$F$13)/'Data-LR-Short-Train'!$G$13</f>
        <v>-0.5203897815786902</v>
      </c>
      <c r="D8" s="17">
        <f>('Data-LR-Short-Train'!C7-'Data-LR-Short-Train'!$F$16)/'Data-LR-Short-Train'!$G$16</f>
        <v>-0.36361054871838661</v>
      </c>
      <c r="E8" s="11">
        <f>'Data-LR-Short-Train'!D7</f>
        <v>0</v>
      </c>
      <c r="F8" s="24"/>
      <c r="I8" s="11">
        <f t="shared" si="5"/>
        <v>0</v>
      </c>
      <c r="J8" s="11">
        <f t="shared" si="6"/>
        <v>0.5</v>
      </c>
      <c r="K8" s="11">
        <f t="shared" si="7"/>
        <v>0.5</v>
      </c>
      <c r="L8" s="11">
        <f t="shared" si="8"/>
        <v>0.5</v>
      </c>
      <c r="M8" s="11">
        <f t="shared" si="9"/>
        <v>0.22104212728176323</v>
      </c>
      <c r="N8" s="11">
        <f t="shared" si="10"/>
        <v>-0.2601948907893451</v>
      </c>
      <c r="O8" s="11">
        <f t="shared" si="11"/>
        <v>-0.1818052743591933</v>
      </c>
      <c r="P8" s="42">
        <f t="shared" si="12"/>
        <v>-0.69314718055994529</v>
      </c>
      <c r="Q8" s="9" t="s">
        <v>143</v>
      </c>
      <c r="R8" s="62">
        <f>SQRT(R2^2 + R3^2 + R4^2 +R5^2)</f>
        <v>8.4126533460655281E-2</v>
      </c>
      <c r="S8" s="24"/>
      <c r="V8" s="11">
        <f t="shared" si="14"/>
        <v>-2.1711028169766366E-4</v>
      </c>
      <c r="W8" s="17">
        <f t="shared" si="15"/>
        <v>0.49994572242978874</v>
      </c>
      <c r="X8" s="17">
        <f t="shared" si="1"/>
        <v>0.49994572242978874</v>
      </c>
      <c r="Y8" s="17">
        <f t="shared" si="16"/>
        <v>0.49994572242978874</v>
      </c>
      <c r="Z8" s="17">
        <f t="shared" si="17"/>
        <v>0.22101813202259687</v>
      </c>
      <c r="AA8" s="17">
        <f t="shared" si="18"/>
        <v>-0.26016664529643824</v>
      </c>
      <c r="AB8" s="17">
        <f t="shared" si="19"/>
        <v>-0.18178553846210568</v>
      </c>
      <c r="AC8" s="42">
        <f t="shared" si="20"/>
        <v>-0.69303863131120569</v>
      </c>
      <c r="AD8" s="9" t="s">
        <v>143</v>
      </c>
      <c r="AE8" s="19">
        <f>SQRT(AE2^2 + AE3^2 + AE4^2 +AE5^2)</f>
        <v>8.3858861677816338E-2</v>
      </c>
      <c r="AF8" s="24"/>
      <c r="AI8" s="11">
        <f t="shared" si="21"/>
        <v>-4.329079950001752E-4</v>
      </c>
      <c r="AJ8" s="17">
        <f t="shared" si="22"/>
        <v>0.49989177300294013</v>
      </c>
      <c r="AK8" s="17">
        <f t="shared" ref="AK8" si="32">AJ8-$E8</f>
        <v>0.49989177300294013</v>
      </c>
      <c r="AL8" s="17">
        <f t="shared" si="24"/>
        <v>0.49989177300294013</v>
      </c>
      <c r="AM8" s="17">
        <f t="shared" si="25"/>
        <v>0.22099428183044437</v>
      </c>
      <c r="AN8" s="17">
        <f t="shared" si="26"/>
        <v>-0.26013857056598422</v>
      </c>
      <c r="AO8" s="17">
        <f t="shared" si="27"/>
        <v>-0.18176592188140622</v>
      </c>
      <c r="AP8" s="42">
        <f t="shared" si="28"/>
        <v>-0.69293074998861159</v>
      </c>
      <c r="AQ8" s="9" t="s">
        <v>143</v>
      </c>
      <c r="AR8" s="19">
        <f>SQRT(AR2^2 + AR3^2 + AR4^2 +AR5^2)</f>
        <v>8.3592458417708224E-2</v>
      </c>
    </row>
    <row r="9" spans="1:47" x14ac:dyDescent="0.25">
      <c r="A9" s="11">
        <v>1</v>
      </c>
      <c r="B9" s="16">
        <f>('Data-LR-Short-Train'!A8-'Data-LR-Short-Train'!$F$10)/'Data-LR-Short-Train'!$G$10</f>
        <v>-0.27095486570022592</v>
      </c>
      <c r="C9" s="17">
        <f>('Data-LR-Short-Train'!B8-'Data-LR-Short-Train'!$F$13)/'Data-LR-Short-Train'!$G$13</f>
        <v>-0.89766585841446944</v>
      </c>
      <c r="D9" s="17">
        <f>('Data-LR-Short-Train'!C8-'Data-LR-Short-Train'!$F$16)/'Data-LR-Short-Train'!$G$16</f>
        <v>-0.4804316364876991</v>
      </c>
      <c r="E9" s="11">
        <f>'Data-LR-Short-Train'!D8</f>
        <v>1</v>
      </c>
      <c r="F9" s="24"/>
      <c r="I9" s="11">
        <f t="shared" si="5"/>
        <v>0</v>
      </c>
      <c r="J9" s="11">
        <f t="shared" si="6"/>
        <v>0.5</v>
      </c>
      <c r="K9" s="11">
        <f t="shared" si="7"/>
        <v>-0.5</v>
      </c>
      <c r="L9" s="11">
        <f t="shared" si="8"/>
        <v>-0.5</v>
      </c>
      <c r="M9" s="11">
        <f t="shared" si="9"/>
        <v>0.13547743285011296</v>
      </c>
      <c r="N9" s="11">
        <f t="shared" si="10"/>
        <v>0.44883292920723472</v>
      </c>
      <c r="O9" s="11">
        <f t="shared" si="11"/>
        <v>0.24021581824384955</v>
      </c>
      <c r="P9" s="42">
        <f t="shared" si="12"/>
        <v>-0.69314718055994529</v>
      </c>
      <c r="Q9" s="37" t="s">
        <v>160</v>
      </c>
      <c r="R9" s="41">
        <f>(-1/$C$36)*SUM(P3:P32)</f>
        <v>0.69314718055994495</v>
      </c>
      <c r="S9" s="24"/>
      <c r="V9" s="11">
        <f t="shared" si="14"/>
        <v>-5.9886571442442952E-4</v>
      </c>
      <c r="W9" s="17">
        <f t="shared" si="15"/>
        <v>0.49985028357586841</v>
      </c>
      <c r="X9" s="17">
        <f t="shared" si="1"/>
        <v>-0.50014971642413153</v>
      </c>
      <c r="Y9" s="17">
        <f t="shared" si="16"/>
        <v>-0.50014971642413153</v>
      </c>
      <c r="Z9" s="17">
        <f t="shared" si="17"/>
        <v>0.13551799924370664</v>
      </c>
      <c r="AA9" s="17">
        <f t="shared" si="18"/>
        <v>0.44896732452962151</v>
      </c>
      <c r="AB9" s="17">
        <f t="shared" si="19"/>
        <v>0.24028774675050416</v>
      </c>
      <c r="AC9" s="42">
        <f t="shared" si="20"/>
        <v>-0.69344665824717489</v>
      </c>
      <c r="AD9" s="37" t="s">
        <v>160</v>
      </c>
      <c r="AE9" s="41">
        <f>(-1/$C$36)*SUM(AC3:AC32)</f>
        <v>0.69307652045893398</v>
      </c>
      <c r="AF9" s="24"/>
      <c r="AI9" s="11">
        <f t="shared" si="21"/>
        <v>-1.1948011476229374E-3</v>
      </c>
      <c r="AJ9" s="17">
        <f>1/(1+EXP(-AI9))</f>
        <v>0.49970129974862842</v>
      </c>
      <c r="AK9" s="17">
        <f>AJ9-$E9</f>
        <v>-0.50029870025137158</v>
      </c>
      <c r="AL9" s="17">
        <f t="shared" si="24"/>
        <v>-0.50029870025137158</v>
      </c>
      <c r="AM9" s="17">
        <f t="shared" si="25"/>
        <v>0.13555836713660796</v>
      </c>
      <c r="AN9" s="17">
        <f t="shared" si="26"/>
        <v>0.44910106222479079</v>
      </c>
      <c r="AO9" s="17">
        <f t="shared" si="27"/>
        <v>0.2403593232944353</v>
      </c>
      <c r="AP9" s="42">
        <f t="shared" si="28"/>
        <v>-0.69374475957746884</v>
      </c>
      <c r="AQ9" s="37" t="s">
        <v>160</v>
      </c>
      <c r="AR9" s="41">
        <f>(-1/$C$36)*SUM(AP3:AP32)</f>
        <v>0.69300630911723882</v>
      </c>
    </row>
    <row r="10" spans="1:47" hidden="1" outlineLevel="1" x14ac:dyDescent="0.25">
      <c r="A10" s="11">
        <v>1</v>
      </c>
      <c r="B10" s="16">
        <f>('Data-LR-Short-Train'!A9-'Data-LR-Short-Train'!$F$10)/'Data-LR-Short-Train'!$G$10</f>
        <v>-0.98399398596397825</v>
      </c>
      <c r="C10" s="17">
        <f>('Data-LR-Short-Train'!B9-'Data-LR-Short-Train'!$F$13)/'Data-LR-Short-Train'!$G$13</f>
        <v>-0.79146528313099196</v>
      </c>
      <c r="D10" s="17">
        <f>('Data-LR-Short-Train'!C9-'Data-LR-Short-Train'!$F$16)/'Data-LR-Short-Train'!$G$16</f>
        <v>-0.44767806047761149</v>
      </c>
      <c r="E10" s="11">
        <f>'Data-LR-Short-Train'!D9</f>
        <v>1</v>
      </c>
      <c r="F10" s="24"/>
      <c r="I10" s="11">
        <f t="shared" si="5"/>
        <v>0</v>
      </c>
      <c r="J10" s="11">
        <f t="shared" si="6"/>
        <v>0.5</v>
      </c>
      <c r="K10" s="11">
        <f t="shared" si="7"/>
        <v>-0.5</v>
      </c>
      <c r="L10" s="11">
        <f t="shared" si="8"/>
        <v>-0.5</v>
      </c>
      <c r="M10" s="11">
        <f t="shared" si="9"/>
        <v>0.49199699298198912</v>
      </c>
      <c r="N10" s="11">
        <f t="shared" si="10"/>
        <v>0.39573264156549598</v>
      </c>
      <c r="O10" s="11">
        <f t="shared" si="11"/>
        <v>0.22383903023880575</v>
      </c>
      <c r="P10" s="42">
        <f t="shared" si="12"/>
        <v>-0.69314718055994529</v>
      </c>
      <c r="S10" s="24"/>
      <c r="V10" s="11">
        <f t="shared" si="14"/>
        <v>-7.8831737219288087E-4</v>
      </c>
      <c r="W10" s="17">
        <f t="shared" si="15"/>
        <v>0.49980292066715792</v>
      </c>
      <c r="X10" s="17">
        <f t="shared" si="1"/>
        <v>-0.50019707933284208</v>
      </c>
      <c r="Y10" s="17">
        <f t="shared" si="16"/>
        <v>-0.50019707933284208</v>
      </c>
      <c r="Z10" s="17">
        <f t="shared" si="17"/>
        <v>0.49219091786026353</v>
      </c>
      <c r="AA10" s="17">
        <f t="shared" si="18"/>
        <v>0.39588862301546313</v>
      </c>
      <c r="AB10" s="17">
        <f t="shared" si="19"/>
        <v>0.22392725833229271</v>
      </c>
      <c r="AC10" s="42">
        <f t="shared" si="20"/>
        <v>-0.69354141692657467</v>
      </c>
      <c r="AF10" s="24"/>
      <c r="AI10" s="11">
        <f t="shared" si="21"/>
        <v>-1.5732888592268268E-3</v>
      </c>
      <c r="AJ10" s="17">
        <f t="shared" si="22"/>
        <v>0.49960667786632373</v>
      </c>
      <c r="AK10" s="17">
        <f t="shared" ref="AK10" si="33">AJ10-$E10</f>
        <v>-0.50039332213367627</v>
      </c>
      <c r="AL10" s="17">
        <f t="shared" si="24"/>
        <v>-0.50039332213367627</v>
      </c>
      <c r="AM10" s="17">
        <f t="shared" si="25"/>
        <v>0.49238401959607309</v>
      </c>
      <c r="AN10" s="17">
        <f t="shared" si="26"/>
        <v>0.39604394237938773</v>
      </c>
      <c r="AO10" s="17">
        <f t="shared" si="27"/>
        <v>0.22401511192875284</v>
      </c>
      <c r="AP10" s="42">
        <f t="shared" si="28"/>
        <v>-0.69393413439425622</v>
      </c>
    </row>
    <row r="11" spans="1:47" hidden="1" outlineLevel="1" x14ac:dyDescent="0.25">
      <c r="A11" s="11">
        <v>1</v>
      </c>
      <c r="B11" s="16">
        <f>('Data-LR-Short-Train'!A10-'Data-LR-Short-Train'!$F$10)/'Data-LR-Short-Train'!$G$10</f>
        <v>6.1796723756191871E-2</v>
      </c>
      <c r="C11" s="17">
        <f>('Data-LR-Short-Train'!B10-'Data-LR-Short-Train'!$F$13)/'Data-LR-Short-Train'!$G$13</f>
        <v>-0.47462378781011971</v>
      </c>
      <c r="D11" s="17">
        <f>('Data-LR-Short-Train'!C10-'Data-LR-Short-Train'!$F$16)/'Data-LR-Short-Train'!$G$16</f>
        <v>-0.34941733244734868</v>
      </c>
      <c r="E11" s="11">
        <f>'Data-LR-Short-Train'!D10</f>
        <v>0</v>
      </c>
      <c r="F11" s="24"/>
      <c r="I11" s="11">
        <f t="shared" si="5"/>
        <v>0</v>
      </c>
      <c r="J11" s="11">
        <f t="shared" si="6"/>
        <v>0.5</v>
      </c>
      <c r="K11" s="11">
        <f t="shared" si="7"/>
        <v>0.5</v>
      </c>
      <c r="L11" s="11">
        <f t="shared" si="8"/>
        <v>0.5</v>
      </c>
      <c r="M11" s="11">
        <f t="shared" si="9"/>
        <v>3.0898361878095935E-2</v>
      </c>
      <c r="N11" s="11">
        <f t="shared" si="10"/>
        <v>-0.23731189390505986</v>
      </c>
      <c r="O11" s="11">
        <f t="shared" si="11"/>
        <v>-0.17470866622367434</v>
      </c>
      <c r="P11" s="42">
        <f t="shared" si="12"/>
        <v>-0.69314718055994529</v>
      </c>
      <c r="S11" s="24"/>
      <c r="V11" s="11">
        <f t="shared" si="14"/>
        <v>-3.2240902462699712E-4</v>
      </c>
      <c r="W11" s="17">
        <f t="shared" si="15"/>
        <v>0.49991939774454142</v>
      </c>
      <c r="X11" s="17">
        <f t="shared" si="1"/>
        <v>0.49991939774454142</v>
      </c>
      <c r="Y11" s="17">
        <f t="shared" si="16"/>
        <v>0.49991939774454142</v>
      </c>
      <c r="Z11" s="17">
        <f t="shared" si="17"/>
        <v>3.0893380922781235E-2</v>
      </c>
      <c r="AA11" s="17">
        <f t="shared" si="18"/>
        <v>-0.23727363815726807</v>
      </c>
      <c r="AB11" s="17">
        <f t="shared" si="19"/>
        <v>-0.17468050239858277</v>
      </c>
      <c r="AC11" s="42">
        <f t="shared" si="20"/>
        <v>-0.69298598904107911</v>
      </c>
      <c r="AF11" s="24"/>
      <c r="AI11" s="11">
        <f t="shared" si="21"/>
        <v>-6.4325698064566909E-4</v>
      </c>
      <c r="AJ11" s="17">
        <f t="shared" si="22"/>
        <v>0.49983918576038372</v>
      </c>
      <c r="AK11" s="17">
        <f t="shared" ref="AK11" si="34">AJ11-$E11</f>
        <v>0.49983918576038372</v>
      </c>
      <c r="AL11" s="17">
        <f t="shared" si="24"/>
        <v>0.49983918576038372</v>
      </c>
      <c r="AM11" s="17">
        <f t="shared" si="25"/>
        <v>3.0888424084954305E-2</v>
      </c>
      <c r="AN11" s="17">
        <f t="shared" si="26"/>
        <v>-0.23723556764151937</v>
      </c>
      <c r="AO11" s="17">
        <f t="shared" si="27"/>
        <v>-0.17465247494104807</v>
      </c>
      <c r="AP11" s="42">
        <f t="shared" si="28"/>
        <v>-0.69282560379206437</v>
      </c>
    </row>
    <row r="12" spans="1:47" hidden="1" outlineLevel="1" x14ac:dyDescent="0.25">
      <c r="A12" s="11">
        <v>1</v>
      </c>
      <c r="B12" s="16">
        <f>('Data-LR-Short-Train'!A11-'Data-LR-Short-Train'!$F$10)/'Data-LR-Short-Train'!$G$10</f>
        <v>-1.2216736927185623</v>
      </c>
      <c r="C12" s="17">
        <f>('Data-LR-Short-Train'!B11-'Data-LR-Short-Train'!$F$13)/'Data-LR-Short-Train'!$G$13</f>
        <v>0.86960559326417319</v>
      </c>
      <c r="D12" s="17">
        <f>('Data-LR-Short-Train'!C11-'Data-LR-Short-Train'!$F$16)/'Data-LR-Short-Train'!$G$16</f>
        <v>6.7644868747766859E-2</v>
      </c>
      <c r="E12" s="11">
        <f>'Data-LR-Short-Train'!D11</f>
        <v>0</v>
      </c>
      <c r="F12" s="24"/>
      <c r="I12" s="11">
        <f t="shared" si="5"/>
        <v>0</v>
      </c>
      <c r="J12" s="11">
        <f t="shared" si="6"/>
        <v>0.5</v>
      </c>
      <c r="K12" s="11">
        <f t="shared" si="7"/>
        <v>0.5</v>
      </c>
      <c r="L12" s="11">
        <f t="shared" si="8"/>
        <v>0.5</v>
      </c>
      <c r="M12" s="11">
        <f t="shared" si="9"/>
        <v>-0.61083684635928115</v>
      </c>
      <c r="N12" s="11">
        <f t="shared" si="10"/>
        <v>0.4348027966320866</v>
      </c>
      <c r="O12" s="11">
        <f t="shared" si="11"/>
        <v>3.382243437388343E-2</v>
      </c>
      <c r="P12" s="42">
        <f t="shared" si="12"/>
        <v>-0.69314718055994529</v>
      </c>
      <c r="S12" s="24"/>
      <c r="V12" s="11">
        <f t="shared" si="14"/>
        <v>-2.0374175888456737E-4</v>
      </c>
      <c r="W12" s="17">
        <f t="shared" si="15"/>
        <v>0.49994906456045513</v>
      </c>
      <c r="X12" s="17">
        <f t="shared" si="1"/>
        <v>0.49994906456045513</v>
      </c>
      <c r="Y12" s="17">
        <f t="shared" si="16"/>
        <v>0.49994906456045513</v>
      </c>
      <c r="Z12" s="17">
        <f t="shared" si="17"/>
        <v>-0.61077461987276216</v>
      </c>
      <c r="AA12" s="17">
        <f t="shared" si="18"/>
        <v>0.43475850288896301</v>
      </c>
      <c r="AB12" s="17">
        <f t="shared" si="19"/>
        <v>3.3818988852760808E-2</v>
      </c>
      <c r="AC12" s="42">
        <f t="shared" si="20"/>
        <v>-0.69304531486934129</v>
      </c>
      <c r="AF12" s="24"/>
      <c r="AI12" s="11">
        <f t="shared" si="21"/>
        <v>-4.0804432424310999E-4</v>
      </c>
      <c r="AJ12" s="17">
        <f t="shared" si="22"/>
        <v>0.4998979889203547</v>
      </c>
      <c r="AK12" s="17">
        <f t="shared" ref="AK12" si="35">AJ12-$E12</f>
        <v>0.4998979889203547</v>
      </c>
      <c r="AL12" s="17">
        <f t="shared" si="24"/>
        <v>0.4998979889203547</v>
      </c>
      <c r="AM12" s="17">
        <f t="shared" si="25"/>
        <v>-0.61071222210691267</v>
      </c>
      <c r="AN12" s="17">
        <f t="shared" si="26"/>
        <v>0.43471408722665211</v>
      </c>
      <c r="AO12" s="17">
        <f t="shared" si="27"/>
        <v>3.3815533847790007E-2</v>
      </c>
      <c r="AP12" s="42">
        <f t="shared" si="28"/>
        <v>-0.69294317921034521</v>
      </c>
    </row>
    <row r="13" spans="1:47" hidden="1" outlineLevel="1" x14ac:dyDescent="0.25">
      <c r="A13" s="11">
        <v>1</v>
      </c>
      <c r="B13" s="16">
        <f>('Data-LR-Short-Train'!A12-'Data-LR-Short-Train'!$F$10)/'Data-LR-Short-Train'!$G$10</f>
        <v>-0.50863457245481003</v>
      </c>
      <c r="C13" s="17">
        <f>('Data-LR-Short-Train'!B12-'Data-LR-Short-Train'!$F$13)/'Data-LR-Short-Train'!$G$13</f>
        <v>-1.1882212444939062</v>
      </c>
      <c r="D13" s="17">
        <f>('Data-LR-Short-Train'!C12-'Data-LR-Short-Train'!$F$16)/'Data-LR-Short-Train'!$G$16</f>
        <v>-0.57068593482660712</v>
      </c>
      <c r="E13" s="11">
        <f>'Data-LR-Short-Train'!D12</f>
        <v>0</v>
      </c>
      <c r="F13" s="24"/>
      <c r="I13" s="11">
        <f t="shared" si="5"/>
        <v>0</v>
      </c>
      <c r="J13" s="11">
        <f t="shared" si="6"/>
        <v>0.5</v>
      </c>
      <c r="K13" s="11">
        <f t="shared" si="7"/>
        <v>0.5</v>
      </c>
      <c r="L13" s="11">
        <f t="shared" si="8"/>
        <v>0.5</v>
      </c>
      <c r="M13" s="11">
        <f t="shared" si="9"/>
        <v>-0.25431728622740501</v>
      </c>
      <c r="N13" s="11">
        <f t="shared" si="10"/>
        <v>-0.5941106222469531</v>
      </c>
      <c r="O13" s="11">
        <f t="shared" si="11"/>
        <v>-0.28534296741330356</v>
      </c>
      <c r="P13" s="42">
        <f t="shared" si="12"/>
        <v>-0.69314718055994529</v>
      </c>
      <c r="S13" s="24"/>
      <c r="V13" s="11">
        <f t="shared" si="14"/>
        <v>-7.9191631052793435E-4</v>
      </c>
      <c r="W13" s="17">
        <f t="shared" si="15"/>
        <v>0.49980202093271464</v>
      </c>
      <c r="X13" s="17">
        <f t="shared" si="1"/>
        <v>0.49980202093271464</v>
      </c>
      <c r="Y13" s="17">
        <f t="shared" si="16"/>
        <v>0.49980202093271464</v>
      </c>
      <c r="Z13" s="17">
        <f t="shared" si="17"/>
        <v>-0.25421658722916135</v>
      </c>
      <c r="AA13" s="17">
        <f t="shared" si="18"/>
        <v>-0.59387537931323953</v>
      </c>
      <c r="AB13" s="17">
        <f t="shared" si="19"/>
        <v>-0.28522998354421369</v>
      </c>
      <c r="AC13" s="42">
        <f t="shared" si="20"/>
        <v>-0.6927513007961098</v>
      </c>
      <c r="AF13" s="24"/>
      <c r="AI13" s="11">
        <f t="shared" si="21"/>
        <v>-1.5799526371515255E-3</v>
      </c>
      <c r="AJ13" s="17">
        <f t="shared" si="22"/>
        <v>0.49960501192287782</v>
      </c>
      <c r="AK13" s="17">
        <f t="shared" ref="AK13" si="36">AJ13-$E13</f>
        <v>0.49960501192287782</v>
      </c>
      <c r="AL13" s="17">
        <f t="shared" si="24"/>
        <v>0.49960501192287782</v>
      </c>
      <c r="AM13" s="17">
        <f t="shared" si="25"/>
        <v>-0.25411638163567324</v>
      </c>
      <c r="AN13" s="17">
        <f t="shared" si="26"/>
        <v>-0.59364128902239477</v>
      </c>
      <c r="AO13" s="17">
        <f t="shared" si="27"/>
        <v>-0.28511755327326571</v>
      </c>
      <c r="AP13" s="42">
        <f t="shared" si="28"/>
        <v>-0.69235751627262909</v>
      </c>
    </row>
    <row r="14" spans="1:47" hidden="1" outlineLevel="1" x14ac:dyDescent="0.25">
      <c r="A14" s="11">
        <v>1</v>
      </c>
      <c r="B14" s="16">
        <f>('Data-LR-Short-Train'!A13-'Data-LR-Short-Train'!$F$10)/'Data-LR-Short-Train'!$G$10</f>
        <v>-3.3275158945641779E-2</v>
      </c>
      <c r="C14" s="17">
        <f>('Data-LR-Short-Train'!B13-'Data-LR-Short-Train'!$F$13)/'Data-LR-Short-Train'!$G$13</f>
        <v>-0.94753905675201411</v>
      </c>
      <c r="D14" s="17">
        <f>('Data-LR-Short-Train'!C13-'Data-LR-Short-Train'!$F$16)/'Data-LR-Short-Train'!$G$16</f>
        <v>-0.17400373648221282</v>
      </c>
      <c r="E14" s="11">
        <f>'Data-LR-Short-Train'!D13</f>
        <v>1</v>
      </c>
      <c r="F14" s="24"/>
      <c r="I14" s="11">
        <f t="shared" si="5"/>
        <v>0</v>
      </c>
      <c r="J14" s="11">
        <f t="shared" si="6"/>
        <v>0.5</v>
      </c>
      <c r="K14" s="11">
        <f t="shared" si="7"/>
        <v>-0.5</v>
      </c>
      <c r="L14" s="11">
        <f t="shared" si="8"/>
        <v>-0.5</v>
      </c>
      <c r="M14" s="11">
        <f t="shared" si="9"/>
        <v>1.663757947282089E-2</v>
      </c>
      <c r="N14" s="11">
        <f t="shared" si="10"/>
        <v>0.47376952837600705</v>
      </c>
      <c r="O14" s="11">
        <f t="shared" si="11"/>
        <v>8.7001868241106409E-2</v>
      </c>
      <c r="P14" s="42">
        <f t="shared" si="12"/>
        <v>-0.69314718055994529</v>
      </c>
      <c r="S14" s="24"/>
      <c r="V14" s="11">
        <f t="shared" si="14"/>
        <v>-2.9730246244063949E-4</v>
      </c>
      <c r="W14" s="17">
        <f t="shared" si="15"/>
        <v>0.49992567438493729</v>
      </c>
      <c r="X14" s="17">
        <f t="shared" si="1"/>
        <v>-0.50007432561506271</v>
      </c>
      <c r="Y14" s="17">
        <f t="shared" si="16"/>
        <v>-0.50007432561506271</v>
      </c>
      <c r="Z14" s="17">
        <f t="shared" si="17"/>
        <v>1.6640052669475835E-2</v>
      </c>
      <c r="AA14" s="17">
        <f t="shared" si="18"/>
        <v>0.47383995479919611</v>
      </c>
      <c r="AB14" s="17">
        <f t="shared" si="19"/>
        <v>8.7014801175843662E-2</v>
      </c>
      <c r="AC14" s="42">
        <f t="shared" si="20"/>
        <v>-0.69329584283975987</v>
      </c>
      <c r="AF14" s="24"/>
      <c r="AI14" s="11">
        <f t="shared" si="21"/>
        <v>-5.9247595226706302E-4</v>
      </c>
      <c r="AJ14" s="17">
        <f t="shared" si="22"/>
        <v>0.4998518810162661</v>
      </c>
      <c r="AK14" s="17">
        <f t="shared" ref="AK14" si="37">AJ14-$E14</f>
        <v>-0.5001481189837339</v>
      </c>
      <c r="AL14" s="17">
        <f t="shared" si="24"/>
        <v>-0.5001481189837339</v>
      </c>
      <c r="AM14" s="17">
        <f t="shared" si="25"/>
        <v>1.6642508155547502E-2</v>
      </c>
      <c r="AN14" s="17">
        <f t="shared" si="26"/>
        <v>0.47390987689814135</v>
      </c>
      <c r="AO14" s="17">
        <f t="shared" si="27"/>
        <v>8.7027641497720062E-2</v>
      </c>
      <c r="AP14" s="42">
        <f t="shared" si="28"/>
        <v>-0.69344346241454735</v>
      </c>
    </row>
    <row r="15" spans="1:47" hidden="1" outlineLevel="1" x14ac:dyDescent="0.25">
      <c r="A15" s="11">
        <v>1</v>
      </c>
      <c r="B15" s="16">
        <f>('Data-LR-Short-Train'!A14-'Data-LR-Short-Train'!$F$10)/'Data-LR-Short-Train'!$G$10</f>
        <v>0.44208425456352646</v>
      </c>
      <c r="C15" s="17">
        <f>('Data-LR-Short-Train'!B14-'Data-LR-Short-Train'!$F$13)/'Data-LR-Short-Train'!$G$13</f>
        <v>-0.89355865384549515</v>
      </c>
      <c r="D15" s="17">
        <f>('Data-LR-Short-Train'!C14-'Data-LR-Short-Train'!$F$16)/'Data-LR-Short-Train'!$G$16</f>
        <v>-0.23878303125771941</v>
      </c>
      <c r="E15" s="11">
        <f>'Data-LR-Short-Train'!D14</f>
        <v>0</v>
      </c>
      <c r="F15" s="24"/>
      <c r="I15" s="11">
        <f t="shared" si="5"/>
        <v>0</v>
      </c>
      <c r="J15" s="11">
        <f t="shared" si="6"/>
        <v>0.5</v>
      </c>
      <c r="K15" s="11">
        <f t="shared" si="7"/>
        <v>0.5</v>
      </c>
      <c r="L15" s="11">
        <f t="shared" si="8"/>
        <v>0.5</v>
      </c>
      <c r="M15" s="11">
        <f t="shared" si="9"/>
        <v>0.22104212728176323</v>
      </c>
      <c r="N15" s="11">
        <f t="shared" si="10"/>
        <v>-0.44677932692274758</v>
      </c>
      <c r="O15" s="11">
        <f t="shared" si="11"/>
        <v>-0.1193915156288597</v>
      </c>
      <c r="P15" s="42">
        <f t="shared" si="12"/>
        <v>-0.69314718055994529</v>
      </c>
      <c r="S15" s="24"/>
      <c r="V15" s="11">
        <f t="shared" si="14"/>
        <v>-1.8324007641421685E-4</v>
      </c>
      <c r="W15" s="17">
        <f t="shared" si="15"/>
        <v>0.49995418998102459</v>
      </c>
      <c r="X15" s="17">
        <f t="shared" si="1"/>
        <v>0.49995418998102459</v>
      </c>
      <c r="Y15" s="17">
        <f t="shared" si="16"/>
        <v>0.49995418998102459</v>
      </c>
      <c r="Z15" s="17">
        <f t="shared" si="17"/>
        <v>0.22102187539367293</v>
      </c>
      <c r="AA15" s="17">
        <f t="shared" si="18"/>
        <v>-0.44673839298385926</v>
      </c>
      <c r="AB15" s="17">
        <f t="shared" si="19"/>
        <v>-0.11938057697366679</v>
      </c>
      <c r="AC15" s="42">
        <f t="shared" si="20"/>
        <v>-0.69305556471885377</v>
      </c>
      <c r="AF15" s="24"/>
      <c r="AI15" s="11">
        <f t="shared" si="21"/>
        <v>-3.6476144260805E-4</v>
      </c>
      <c r="AJ15" s="17">
        <f t="shared" si="22"/>
        <v>0.49990880964035911</v>
      </c>
      <c r="AK15" s="17">
        <f t="shared" ref="AK15" si="38">AJ15-$E15</f>
        <v>0.49990880964035911</v>
      </c>
      <c r="AL15" s="17">
        <f t="shared" si="24"/>
        <v>0.49990880964035911</v>
      </c>
      <c r="AM15" s="17">
        <f t="shared" si="25"/>
        <v>0.22100181345959802</v>
      </c>
      <c r="AN15" s="17">
        <f t="shared" si="26"/>
        <v>-0.44669784298774318</v>
      </c>
      <c r="AO15" s="17">
        <f t="shared" si="27"/>
        <v>-0.11936974091836317</v>
      </c>
      <c r="AP15" s="42">
        <f t="shared" si="28"/>
        <v>-0.69296481647000507</v>
      </c>
    </row>
    <row r="16" spans="1:47" hidden="1" outlineLevel="1" x14ac:dyDescent="0.25">
      <c r="A16" s="11">
        <v>1</v>
      </c>
      <c r="B16" s="16">
        <f>('Data-LR-Short-Train'!A15-'Data-LR-Short-Train'!$F$10)/'Data-LR-Short-Train'!$G$10</f>
        <v>-0.60370645515664367</v>
      </c>
      <c r="C16" s="17">
        <f>('Data-LR-Short-Train'!B15-'Data-LR-Short-Train'!$F$13)/'Data-LR-Short-Train'!$G$13</f>
        <v>-1.1541912944094248</v>
      </c>
      <c r="D16" s="17">
        <f>('Data-LR-Short-Train'!C15-'Data-LR-Short-Train'!$F$16)/'Data-LR-Short-Train'!$G$16</f>
        <v>-0.71953638064756198</v>
      </c>
      <c r="E16" s="11">
        <f>'Data-LR-Short-Train'!D15</f>
        <v>0</v>
      </c>
      <c r="F16" s="24"/>
      <c r="I16" s="11">
        <f t="shared" si="5"/>
        <v>0</v>
      </c>
      <c r="J16" s="11">
        <f t="shared" si="6"/>
        <v>0.5</v>
      </c>
      <c r="K16" s="11">
        <f t="shared" si="7"/>
        <v>0.5</v>
      </c>
      <c r="L16" s="11">
        <f t="shared" si="8"/>
        <v>0.5</v>
      </c>
      <c r="M16" s="11">
        <f t="shared" si="9"/>
        <v>-0.30185322757832184</v>
      </c>
      <c r="N16" s="11">
        <f t="shared" si="10"/>
        <v>-0.5770956472047124</v>
      </c>
      <c r="O16" s="11">
        <f t="shared" si="11"/>
        <v>-0.35976819032378099</v>
      </c>
      <c r="P16" s="42">
        <f t="shared" si="12"/>
        <v>-0.69314718055994529</v>
      </c>
      <c r="S16" s="24"/>
      <c r="V16" s="11">
        <f t="shared" si="14"/>
        <v>-9.3018431740090419E-4</v>
      </c>
      <c r="W16" s="17">
        <f t="shared" si="15"/>
        <v>0.49976745393741712</v>
      </c>
      <c r="X16" s="17">
        <f t="shared" si="1"/>
        <v>0.49976745393741712</v>
      </c>
      <c r="Y16" s="17">
        <f t="shared" si="16"/>
        <v>0.49976745393741712</v>
      </c>
      <c r="Z16" s="17">
        <f t="shared" si="17"/>
        <v>-0.30171283801921928</v>
      </c>
      <c r="AA16" s="17">
        <f t="shared" si="18"/>
        <v>-0.57682724456373002</v>
      </c>
      <c r="AB16" s="17">
        <f t="shared" si="19"/>
        <v>-0.35960086497157628</v>
      </c>
      <c r="AC16" s="42">
        <f t="shared" si="20"/>
        <v>-0.69268219655659879</v>
      </c>
      <c r="AF16" s="24"/>
      <c r="AI16" s="11">
        <f t="shared" si="21"/>
        <v>-1.8561366201068252E-3</v>
      </c>
      <c r="AJ16" s="17">
        <f t="shared" si="22"/>
        <v>0.49953596597819905</v>
      </c>
      <c r="AK16" s="17">
        <f t="shared" ref="AK16" si="39">AJ16-$E16</f>
        <v>0.49953596597819905</v>
      </c>
      <c r="AL16" s="17">
        <f t="shared" si="24"/>
        <v>0.49953596597819905</v>
      </c>
      <c r="AM16" s="17">
        <f t="shared" si="25"/>
        <v>-0.30157308724394832</v>
      </c>
      <c r="AN16" s="17">
        <f t="shared" si="26"/>
        <v>-0.57656006317643993</v>
      </c>
      <c r="AO16" s="17">
        <f t="shared" si="27"/>
        <v>-0.35943430096323697</v>
      </c>
      <c r="AP16" s="42">
        <f t="shared" si="28"/>
        <v>-0.69221954290522403</v>
      </c>
    </row>
    <row r="17" spans="1:42" hidden="1" outlineLevel="1" x14ac:dyDescent="0.25">
      <c r="A17" s="11">
        <v>1</v>
      </c>
      <c r="B17" s="16">
        <f>('Data-LR-Short-Train'!A16-'Data-LR-Short-Train'!$F$10)/'Data-LR-Short-Train'!$G$10</f>
        <v>-0.60370645515664367</v>
      </c>
      <c r="C17" s="17">
        <f>('Data-LR-Short-Train'!B16-'Data-LR-Short-Train'!$F$13)/'Data-LR-Short-Train'!$G$13</f>
        <v>-0.34906067670147778</v>
      </c>
      <c r="D17" s="17">
        <f>('Data-LR-Short-Train'!C16-'Data-LR-Short-Train'!$F$16)/'Data-LR-Short-Train'!$G$16</f>
        <v>-0.31047696985757783</v>
      </c>
      <c r="E17" s="11">
        <f>'Data-LR-Short-Train'!D16</f>
        <v>0</v>
      </c>
      <c r="F17" s="24"/>
      <c r="I17" s="11">
        <f t="shared" si="5"/>
        <v>0</v>
      </c>
      <c r="J17" s="11">
        <f t="shared" si="6"/>
        <v>0.5</v>
      </c>
      <c r="K17" s="11">
        <f t="shared" si="7"/>
        <v>0.5</v>
      </c>
      <c r="L17" s="11">
        <f t="shared" si="8"/>
        <v>0.5</v>
      </c>
      <c r="M17" s="11">
        <f t="shared" si="9"/>
        <v>-0.30185322757832184</v>
      </c>
      <c r="N17" s="11">
        <f t="shared" si="10"/>
        <v>-0.17453033835073889</v>
      </c>
      <c r="O17" s="11">
        <f t="shared" si="11"/>
        <v>-0.15523848492878892</v>
      </c>
      <c r="P17" s="42">
        <f t="shared" si="12"/>
        <v>-0.69314718055994529</v>
      </c>
      <c r="S17" s="24"/>
      <c r="V17" s="11">
        <f t="shared" si="14"/>
        <v>-4.8856903171218833E-4</v>
      </c>
      <c r="W17" s="17">
        <f t="shared" si="15"/>
        <v>0.49987785774450155</v>
      </c>
      <c r="X17" s="17">
        <f t="shared" si="1"/>
        <v>0.49987785774450155</v>
      </c>
      <c r="Y17" s="17">
        <f t="shared" si="16"/>
        <v>0.49987785774450155</v>
      </c>
      <c r="Z17" s="17">
        <f t="shared" si="17"/>
        <v>-0.30177948951023004</v>
      </c>
      <c r="AA17" s="17">
        <f t="shared" si="18"/>
        <v>-0.17448770329238075</v>
      </c>
      <c r="AB17" s="17">
        <f t="shared" si="19"/>
        <v>-0.15520056257141018</v>
      </c>
      <c r="AC17" s="42">
        <f t="shared" si="20"/>
        <v>-0.69290292588155122</v>
      </c>
      <c r="AF17" s="24"/>
      <c r="AI17" s="11">
        <f t="shared" si="21"/>
        <v>-9.7525525618884332E-4</v>
      </c>
      <c r="AJ17" s="17">
        <f t="shared" si="22"/>
        <v>0.49975618620527756</v>
      </c>
      <c r="AK17" s="17">
        <f t="shared" ref="AK17" si="40">AJ17-$E17</f>
        <v>0.49975618620527756</v>
      </c>
      <c r="AL17" s="17">
        <f t="shared" si="24"/>
        <v>0.49975618620527756</v>
      </c>
      <c r="AM17" s="17">
        <f t="shared" si="25"/>
        <v>-0.30170603561659165</v>
      </c>
      <c r="AN17" s="17">
        <f t="shared" si="26"/>
        <v>-0.17444523254256392</v>
      </c>
      <c r="AO17" s="17">
        <f t="shared" si="27"/>
        <v>-0.15516278636059402</v>
      </c>
      <c r="AP17" s="42">
        <f t="shared" si="28"/>
        <v>-0.69265967182219801</v>
      </c>
    </row>
    <row r="18" spans="1:42" hidden="1" outlineLevel="1" x14ac:dyDescent="0.25">
      <c r="A18" s="11">
        <v>1</v>
      </c>
      <c r="B18" s="16">
        <f>('Data-LR-Short-Train'!A17-'Data-LR-Short-Train'!$F$10)/'Data-LR-Short-Train'!$G$10</f>
        <v>0.67976396131811057</v>
      </c>
      <c r="C18" s="17">
        <f>('Data-LR-Short-Train'!B17-'Data-LR-Short-Train'!$F$13)/'Data-LR-Short-Train'!$G$13</f>
        <v>0.73371579638211026</v>
      </c>
      <c r="D18" s="17">
        <f>('Data-LR-Short-Train'!C17-'Data-LR-Short-Train'!$F$16)/'Data-LR-Short-Train'!$G$16</f>
        <v>2.5429148556987274E-2</v>
      </c>
      <c r="E18" s="11">
        <f>'Data-LR-Short-Train'!D17</f>
        <v>1</v>
      </c>
      <c r="F18" s="24"/>
      <c r="I18" s="11">
        <f t="shared" si="5"/>
        <v>0</v>
      </c>
      <c r="J18" s="11">
        <f t="shared" si="6"/>
        <v>0.5</v>
      </c>
      <c r="K18" s="11">
        <f t="shared" si="7"/>
        <v>-0.5</v>
      </c>
      <c r="L18" s="11">
        <f t="shared" si="8"/>
        <v>-0.5</v>
      </c>
      <c r="M18" s="11">
        <f t="shared" si="9"/>
        <v>-0.33988198065905528</v>
      </c>
      <c r="N18" s="11">
        <f t="shared" si="10"/>
        <v>-0.36685789819105513</v>
      </c>
      <c r="O18" s="11">
        <f t="shared" si="11"/>
        <v>-1.2714574278493637E-2</v>
      </c>
      <c r="P18" s="42">
        <f t="shared" si="12"/>
        <v>-0.69314718055994529</v>
      </c>
      <c r="S18" s="24"/>
      <c r="V18" s="11">
        <f t="shared" si="14"/>
        <v>3.5971694461875192E-4</v>
      </c>
      <c r="W18" s="17">
        <f t="shared" si="15"/>
        <v>0.50008992923518492</v>
      </c>
      <c r="X18" s="17">
        <f t="shared" si="1"/>
        <v>-0.49991007076481508</v>
      </c>
      <c r="Y18" s="17">
        <f t="shared" si="16"/>
        <v>-0.49991007076481508</v>
      </c>
      <c r="Z18" s="17">
        <f t="shared" si="17"/>
        <v>-0.33982085000590767</v>
      </c>
      <c r="AA18" s="17">
        <f t="shared" si="18"/>
        <v>-0.3667919156906434</v>
      </c>
      <c r="AB18" s="17">
        <f t="shared" si="19"/>
        <v>-1.2712287454612503E-2</v>
      </c>
      <c r="AC18" s="42">
        <f t="shared" si="20"/>
        <v>-0.69296733826217105</v>
      </c>
      <c r="AF18" s="24"/>
      <c r="AI18" s="11">
        <f t="shared" si="21"/>
        <v>7.1739950282357582E-4</v>
      </c>
      <c r="AJ18" s="17">
        <f t="shared" si="22"/>
        <v>0.50017934986801382</v>
      </c>
      <c r="AK18" s="17">
        <f t="shared" ref="AK18" si="41">AJ18-$E18</f>
        <v>-0.49982065013198618</v>
      </c>
      <c r="AL18" s="17">
        <f t="shared" si="24"/>
        <v>-0.49982065013198618</v>
      </c>
      <c r="AM18" s="17">
        <f t="shared" si="25"/>
        <v>-0.33976006508231232</v>
      </c>
      <c r="AN18" s="17">
        <f t="shared" si="26"/>
        <v>-0.36672630635981435</v>
      </c>
      <c r="AO18" s="17">
        <f t="shared" si="27"/>
        <v>-1.2710013564056238E-2</v>
      </c>
      <c r="AP18" s="42">
        <f t="shared" si="28"/>
        <v>-0.69278854514128807</v>
      </c>
    </row>
    <row r="19" spans="1:42" hidden="1" outlineLevel="1" x14ac:dyDescent="0.25">
      <c r="A19" s="11">
        <v>1</v>
      </c>
      <c r="B19" s="16">
        <f>('Data-LR-Short-Train'!A18-'Data-LR-Short-Train'!$F$10)/'Data-LR-Short-Train'!$G$10</f>
        <v>-0.12834704164747543</v>
      </c>
      <c r="C19" s="17">
        <f>('Data-LR-Short-Train'!B18-'Data-LR-Short-Train'!$F$13)/'Data-LR-Short-Train'!$G$13</f>
        <v>0.48646208132985924</v>
      </c>
      <c r="D19" s="17">
        <f>('Data-LR-Short-Train'!C18-'Data-LR-Short-Train'!$F$16)/'Data-LR-Short-Train'!$G$16</f>
        <v>-5.1359790755551443E-2</v>
      </c>
      <c r="E19" s="11">
        <f>'Data-LR-Short-Train'!D18</f>
        <v>0</v>
      </c>
      <c r="F19" s="24"/>
      <c r="I19" s="11">
        <f t="shared" si="5"/>
        <v>0</v>
      </c>
      <c r="J19" s="11">
        <f t="shared" si="6"/>
        <v>0.5</v>
      </c>
      <c r="K19" s="11">
        <f t="shared" si="7"/>
        <v>0.5</v>
      </c>
      <c r="L19" s="11">
        <f t="shared" si="8"/>
        <v>0.5</v>
      </c>
      <c r="M19" s="11">
        <f t="shared" si="9"/>
        <v>-6.4173520823737715E-2</v>
      </c>
      <c r="N19" s="11">
        <f t="shared" si="10"/>
        <v>0.24323104066492962</v>
      </c>
      <c r="O19" s="11">
        <f t="shared" si="11"/>
        <v>-2.5679895377775722E-2</v>
      </c>
      <c r="P19" s="42">
        <f t="shared" si="12"/>
        <v>-0.69314718055994529</v>
      </c>
      <c r="S19" s="24"/>
      <c r="V19" s="11">
        <f t="shared" si="14"/>
        <v>-1.3505757976454362E-6</v>
      </c>
      <c r="W19" s="17">
        <f t="shared" si="15"/>
        <v>0.49999966235605059</v>
      </c>
      <c r="X19" s="17">
        <f t="shared" si="1"/>
        <v>0.49999966235605059</v>
      </c>
      <c r="Y19" s="17">
        <f t="shared" si="16"/>
        <v>0.49999966235605059</v>
      </c>
      <c r="Z19" s="17">
        <f t="shared" si="17"/>
        <v>-6.4173477488135677E-2</v>
      </c>
      <c r="AA19" s="17">
        <f t="shared" si="18"/>
        <v>0.24323087641395125</v>
      </c>
      <c r="AB19" s="17">
        <f t="shared" si="19"/>
        <v>-2.5679878036453128E-2</v>
      </c>
      <c r="AC19" s="42">
        <f t="shared" si="20"/>
        <v>-0.69314650527227439</v>
      </c>
      <c r="AF19" s="24"/>
      <c r="AI19" s="11">
        <f t="shared" si="21"/>
        <v>-3.3500994172247647E-6</v>
      </c>
      <c r="AJ19" s="17">
        <f t="shared" si="22"/>
        <v>0.49999916247514564</v>
      </c>
      <c r="AK19" s="17">
        <f t="shared" ref="AK19" si="42">AJ19-$E19</f>
        <v>0.49999916247514564</v>
      </c>
      <c r="AL19" s="17">
        <f t="shared" si="24"/>
        <v>0.49999916247514564</v>
      </c>
      <c r="AM19" s="17">
        <f t="shared" si="25"/>
        <v>-6.4173413329900356E-2</v>
      </c>
      <c r="AN19" s="17">
        <f t="shared" si="26"/>
        <v>0.24323063324084582</v>
      </c>
      <c r="AO19" s="17">
        <f t="shared" si="27"/>
        <v>-2.5679852362674449E-2</v>
      </c>
      <c r="AP19" s="42">
        <f t="shared" si="28"/>
        <v>-0.69314550551163945</v>
      </c>
    </row>
    <row r="20" spans="1:42" hidden="1" outlineLevel="1" x14ac:dyDescent="0.25">
      <c r="A20" s="11">
        <v>1</v>
      </c>
      <c r="B20" s="16">
        <f>('Data-LR-Short-Train'!A19-'Data-LR-Short-Train'!$F$10)/'Data-LR-Short-Train'!$G$10</f>
        <v>-0.50863457245481003</v>
      </c>
      <c r="C20" s="17">
        <f>('Data-LR-Short-Train'!B19-'Data-LR-Short-Train'!$F$13)/'Data-LR-Short-Train'!$G$13</f>
        <v>-0.20354828625781796</v>
      </c>
      <c r="D20" s="17">
        <f>('Data-LR-Short-Train'!C19-'Data-LR-Short-Train'!$F$16)/'Data-LR-Short-Train'!$G$16</f>
        <v>-0.28318232318250486</v>
      </c>
      <c r="E20" s="11">
        <f>'Data-LR-Short-Train'!D19</f>
        <v>0</v>
      </c>
      <c r="F20" s="24"/>
      <c r="I20" s="11">
        <f t="shared" si="5"/>
        <v>0</v>
      </c>
      <c r="J20" s="11">
        <f t="shared" si="6"/>
        <v>0.5</v>
      </c>
      <c r="K20" s="11">
        <f t="shared" si="7"/>
        <v>0.5</v>
      </c>
      <c r="L20" s="11">
        <f t="shared" si="8"/>
        <v>0.5</v>
      </c>
      <c r="M20" s="11">
        <f t="shared" si="9"/>
        <v>-0.25431728622740501</v>
      </c>
      <c r="N20" s="11">
        <f t="shared" si="10"/>
        <v>-0.10177414312890898</v>
      </c>
      <c r="O20" s="11">
        <f t="shared" si="11"/>
        <v>-0.14159116159125243</v>
      </c>
      <c r="P20" s="42">
        <f t="shared" si="12"/>
        <v>-0.69314718055994529</v>
      </c>
      <c r="S20" s="24"/>
      <c r="V20" s="11">
        <f t="shared" si="14"/>
        <v>-4.1325562709538621E-4</v>
      </c>
      <c r="W20" s="17">
        <f t="shared" si="15"/>
        <v>0.49989668609469645</v>
      </c>
      <c r="X20" s="17">
        <f t="shared" si="1"/>
        <v>0.49989668609469645</v>
      </c>
      <c r="Y20" s="17">
        <f t="shared" si="16"/>
        <v>0.49989668609469645</v>
      </c>
      <c r="Z20" s="17">
        <f t="shared" si="17"/>
        <v>-0.2542647372033523</v>
      </c>
      <c r="AA20" s="17">
        <f t="shared" si="18"/>
        <v>-0.10175311376053783</v>
      </c>
      <c r="AB20" s="17">
        <f t="shared" si="19"/>
        <v>-0.14156190491953152</v>
      </c>
      <c r="AC20" s="42">
        <f t="shared" si="20"/>
        <v>-0.69294057409392418</v>
      </c>
      <c r="AF20" s="24"/>
      <c r="AI20" s="11">
        <f t="shared" si="21"/>
        <v>-8.2504235740879983E-4</v>
      </c>
      <c r="AJ20" s="17">
        <f t="shared" si="22"/>
        <v>0.49979373942234778</v>
      </c>
      <c r="AK20" s="17">
        <f t="shared" ref="AK20" si="43">AJ20-$E20</f>
        <v>0.49979373942234778</v>
      </c>
      <c r="AL20" s="17">
        <f t="shared" si="24"/>
        <v>0.49979373942234778</v>
      </c>
      <c r="AM20" s="17">
        <f t="shared" si="25"/>
        <v>-0.25421237496667659</v>
      </c>
      <c r="AN20" s="17">
        <f t="shared" si="26"/>
        <v>-0.10173215914180532</v>
      </c>
      <c r="AO20" s="17">
        <f t="shared" si="27"/>
        <v>-0.1415327522416919</v>
      </c>
      <c r="AP20" s="42">
        <f t="shared" si="28"/>
        <v>-0.69273474446809968</v>
      </c>
    </row>
    <row r="21" spans="1:42" hidden="1" outlineLevel="1" x14ac:dyDescent="0.25">
      <c r="A21" s="11">
        <v>1</v>
      </c>
      <c r="B21" s="16">
        <f>('Data-LR-Short-Train'!A20-'Data-LR-Short-Train'!$F$10)/'Data-LR-Short-Train'!$G$10</f>
        <v>-0.27095486570022592</v>
      </c>
      <c r="C21" s="17">
        <f>('Data-LR-Short-Train'!B20-'Data-LR-Short-Train'!$F$13)/'Data-LR-Short-Train'!$G$13</f>
        <v>2.0718430449539271</v>
      </c>
      <c r="D21" s="17">
        <f>('Data-LR-Short-Train'!C20-'Data-LR-Short-Train'!$F$16)/'Data-LR-Short-Train'!$G$16</f>
        <v>5.0811255700251765</v>
      </c>
      <c r="E21" s="11">
        <f>'Data-LR-Short-Train'!D20</f>
        <v>1</v>
      </c>
      <c r="F21" s="24"/>
      <c r="I21" s="11">
        <f t="shared" si="5"/>
        <v>0</v>
      </c>
      <c r="J21" s="11">
        <f t="shared" si="6"/>
        <v>0.5</v>
      </c>
      <c r="K21" s="11">
        <f t="shared" si="7"/>
        <v>-0.5</v>
      </c>
      <c r="L21" s="11">
        <f t="shared" si="8"/>
        <v>-0.5</v>
      </c>
      <c r="M21" s="11">
        <f t="shared" si="9"/>
        <v>0.13547743285011296</v>
      </c>
      <c r="N21" s="11">
        <f t="shared" si="10"/>
        <v>-1.0359215224769636</v>
      </c>
      <c r="O21" s="11">
        <f t="shared" si="11"/>
        <v>-2.5405627850125883</v>
      </c>
      <c r="P21" s="42">
        <f t="shared" si="12"/>
        <v>-0.69314718055994529</v>
      </c>
      <c r="S21" s="24"/>
      <c r="V21" s="11">
        <f t="shared" si="14"/>
        <v>4.1048375565031119E-3</v>
      </c>
      <c r="W21" s="17">
        <f t="shared" si="15"/>
        <v>0.50102620794818564</v>
      </c>
      <c r="X21" s="17">
        <f t="shared" si="1"/>
        <v>-0.49897379205181436</v>
      </c>
      <c r="Y21" s="17">
        <f t="shared" si="16"/>
        <v>-0.49897379205181436</v>
      </c>
      <c r="Z21" s="17">
        <f t="shared" si="17"/>
        <v>0.13519937681333183</v>
      </c>
      <c r="AA21" s="17">
        <f t="shared" si="18"/>
        <v>-1.0337953806768387</v>
      </c>
      <c r="AB21" s="17">
        <f t="shared" si="19"/>
        <v>-2.5353484935668993</v>
      </c>
      <c r="AC21" s="42">
        <f t="shared" si="20"/>
        <v>-0.69109686799163561</v>
      </c>
      <c r="AF21" s="24"/>
      <c r="AI21" s="11">
        <f t="shared" si="21"/>
        <v>8.1951412112989362E-3</v>
      </c>
      <c r="AJ21" s="17">
        <f t="shared" si="22"/>
        <v>0.50204877383647539</v>
      </c>
      <c r="AK21" s="17">
        <f t="shared" ref="AK21" si="44">AJ21-$E21</f>
        <v>-0.49795122616352461</v>
      </c>
      <c r="AL21" s="17">
        <f t="shared" si="24"/>
        <v>-0.49795122616352461</v>
      </c>
      <c r="AM21" s="17">
        <f t="shared" si="25"/>
        <v>0.13492230761040064</v>
      </c>
      <c r="AN21" s="17">
        <f t="shared" si="26"/>
        <v>-1.0316767846531785</v>
      </c>
      <c r="AO21" s="17">
        <f t="shared" si="27"/>
        <v>-2.5301527078848745</v>
      </c>
      <c r="AP21" s="42">
        <f t="shared" si="28"/>
        <v>-0.68905800497323777</v>
      </c>
    </row>
    <row r="22" spans="1:42" hidden="1" outlineLevel="1" x14ac:dyDescent="0.25">
      <c r="A22" s="11">
        <v>1</v>
      </c>
      <c r="B22" s="16">
        <f>('Data-LR-Short-Train'!A21-'Data-LR-Short-Train'!$F$10)/'Data-LR-Short-Train'!$G$10</f>
        <v>1.4260782405275048E-2</v>
      </c>
      <c r="C22" s="17">
        <f>('Data-LR-Short-Train'!B21-'Data-LR-Short-Train'!$F$13)/'Data-LR-Short-Train'!$G$13</f>
        <v>-1.0337903527004737</v>
      </c>
      <c r="D22" s="17">
        <f>('Data-LR-Short-Train'!C21-'Data-LR-Short-Train'!$F$16)/'Data-LR-Short-Train'!$G$16</f>
        <v>-0.42147519966954139</v>
      </c>
      <c r="E22" s="11">
        <f>'Data-LR-Short-Train'!D21</f>
        <v>0</v>
      </c>
      <c r="F22" s="24"/>
      <c r="I22" s="11">
        <f t="shared" si="5"/>
        <v>0</v>
      </c>
      <c r="J22" s="11">
        <f t="shared" si="6"/>
        <v>0.5</v>
      </c>
      <c r="K22" s="11">
        <f t="shared" si="7"/>
        <v>0.5</v>
      </c>
      <c r="L22" s="11">
        <f t="shared" si="8"/>
        <v>0.5</v>
      </c>
      <c r="M22" s="11">
        <f t="shared" si="9"/>
        <v>7.1303912026375238E-3</v>
      </c>
      <c r="N22" s="11">
        <f t="shared" si="10"/>
        <v>-0.51689517635023685</v>
      </c>
      <c r="O22" s="11">
        <f t="shared" si="11"/>
        <v>-0.21073759983477069</v>
      </c>
      <c r="P22" s="42">
        <f t="shared" si="12"/>
        <v>-0.69314718055994529</v>
      </c>
      <c r="S22" s="24"/>
      <c r="V22" s="11">
        <f t="shared" si="14"/>
        <v>-4.8368099334345502E-4</v>
      </c>
      <c r="W22" s="17">
        <f t="shared" si="15"/>
        <v>0.49987907975402146</v>
      </c>
      <c r="X22" s="17">
        <f t="shared" si="1"/>
        <v>0.49987907975402146</v>
      </c>
      <c r="Y22" s="17">
        <f t="shared" si="16"/>
        <v>0.49987907975402146</v>
      </c>
      <c r="Z22" s="17">
        <f t="shared" si="17"/>
        <v>7.1286667853212313E-3</v>
      </c>
      <c r="AA22" s="17">
        <f t="shared" si="18"/>
        <v>-0.51677017016649807</v>
      </c>
      <c r="AB22" s="17">
        <f t="shared" si="19"/>
        <v>-0.21068663494995279</v>
      </c>
      <c r="AC22" s="42">
        <f t="shared" si="20"/>
        <v>-0.692905369306686</v>
      </c>
      <c r="AF22" s="24"/>
      <c r="AI22" s="11">
        <f t="shared" si="21"/>
        <v>-9.6458447051189561E-4</v>
      </c>
      <c r="AJ22" s="17">
        <f t="shared" si="22"/>
        <v>0.49975885390106933</v>
      </c>
      <c r="AK22" s="17">
        <f t="shared" ref="AK22" si="45">AJ22-$E22</f>
        <v>0.49975885390106933</v>
      </c>
      <c r="AL22" s="17">
        <f t="shared" si="24"/>
        <v>0.49975885390106933</v>
      </c>
      <c r="AM22" s="17">
        <f t="shared" si="25"/>
        <v>7.1269522705927927E-3</v>
      </c>
      <c r="AN22" s="17">
        <f t="shared" si="26"/>
        <v>-0.51664588183957094</v>
      </c>
      <c r="AO22" s="17">
        <f t="shared" si="27"/>
        <v>-0.21063596273457436</v>
      </c>
      <c r="AP22" s="42">
        <f t="shared" si="28"/>
        <v>-0.69266500462758496</v>
      </c>
    </row>
    <row r="23" spans="1:42" hidden="1" outlineLevel="1" x14ac:dyDescent="0.25">
      <c r="A23" s="11">
        <v>1</v>
      </c>
      <c r="B23" s="16">
        <f>('Data-LR-Short-Train'!A22-'Data-LR-Short-Train'!$F$10)/'Data-LR-Short-Train'!$G$10</f>
        <v>0.44208425456352646</v>
      </c>
      <c r="C23" s="17">
        <f>('Data-LR-Short-Train'!B22-'Data-LR-Short-Train'!$F$13)/'Data-LR-Short-Train'!$G$13</f>
        <v>1.0998437465306736</v>
      </c>
      <c r="D23" s="17">
        <f>('Data-LR-Short-Train'!C22-'Data-LR-Short-Train'!$F$16)/'Data-LR-Short-Train'!$G$16</f>
        <v>0.13897487872529096</v>
      </c>
      <c r="E23" s="11">
        <f>'Data-LR-Short-Train'!D22</f>
        <v>1</v>
      </c>
      <c r="F23" s="24"/>
      <c r="I23" s="11">
        <f t="shared" si="5"/>
        <v>0</v>
      </c>
      <c r="J23" s="11">
        <f t="shared" si="6"/>
        <v>0.5</v>
      </c>
      <c r="K23" s="11">
        <f t="shared" si="7"/>
        <v>-0.5</v>
      </c>
      <c r="L23" s="11">
        <f t="shared" si="8"/>
        <v>-0.5</v>
      </c>
      <c r="M23" s="11">
        <f t="shared" si="9"/>
        <v>-0.22104212728176323</v>
      </c>
      <c r="N23" s="11">
        <f t="shared" si="10"/>
        <v>-0.54992187326533681</v>
      </c>
      <c r="O23" s="11">
        <f t="shared" si="11"/>
        <v>-6.9487439362645481E-2</v>
      </c>
      <c r="P23" s="42">
        <f t="shared" si="12"/>
        <v>-0.69314718055994529</v>
      </c>
      <c r="S23" s="24"/>
      <c r="V23" s="11">
        <f t="shared" si="14"/>
        <v>4.2834889734491295E-4</v>
      </c>
      <c r="W23" s="17">
        <f t="shared" si="15"/>
        <v>0.50010708722269881</v>
      </c>
      <c r="X23" s="17">
        <f t="shared" si="1"/>
        <v>-0.49989291277730119</v>
      </c>
      <c r="Y23" s="17">
        <f t="shared" si="16"/>
        <v>-0.49989291277730119</v>
      </c>
      <c r="Z23" s="17">
        <f t="shared" si="17"/>
        <v>-0.22099478570674314</v>
      </c>
      <c r="AA23" s="17">
        <f t="shared" si="18"/>
        <v>-0.54980409405311814</v>
      </c>
      <c r="AB23" s="17">
        <f t="shared" si="19"/>
        <v>-6.9472556928857884E-2</v>
      </c>
      <c r="AC23" s="42">
        <f t="shared" si="20"/>
        <v>-0.69293302904662002</v>
      </c>
      <c r="AF23" s="24"/>
      <c r="AI23" s="11">
        <f t="shared" si="21"/>
        <v>8.5397895428916822E-4</v>
      </c>
      <c r="AJ23" s="17">
        <f t="shared" si="22"/>
        <v>0.50021349472559751</v>
      </c>
      <c r="AK23" s="17">
        <f t="shared" ref="AK23" si="46">AJ23-$E23</f>
        <v>-0.49978650527440249</v>
      </c>
      <c r="AL23" s="17">
        <f t="shared" si="24"/>
        <v>-0.49978650527440249</v>
      </c>
      <c r="AM23" s="17">
        <f t="shared" si="25"/>
        <v>-0.22094774462514422</v>
      </c>
      <c r="AN23" s="17">
        <f t="shared" si="26"/>
        <v>-0.54968706242647114</v>
      </c>
      <c r="AO23" s="17">
        <f t="shared" si="27"/>
        <v>-6.9457768959047081E-2</v>
      </c>
      <c r="AP23" s="42">
        <f t="shared" si="28"/>
        <v>-0.6927202822428048</v>
      </c>
    </row>
    <row r="24" spans="1:42" hidden="1" outlineLevel="1" x14ac:dyDescent="0.25">
      <c r="A24" s="11">
        <v>1</v>
      </c>
      <c r="B24" s="16">
        <f>('Data-LR-Short-Train'!A23-'Data-LR-Short-Train'!$F$10)/'Data-LR-Short-Train'!$G$10</f>
        <v>-0.50863457245481003</v>
      </c>
      <c r="C24" s="17">
        <f>('Data-LR-Short-Train'!B23-'Data-LR-Short-Train'!$F$13)/'Data-LR-Short-Train'!$G$13</f>
        <v>-0.96091680877667318</v>
      </c>
      <c r="D24" s="17">
        <f>('Data-LR-Short-Train'!C23-'Data-LR-Short-Train'!$F$16)/'Data-LR-Short-Train'!$G$16</f>
        <v>-0.35596804764936618</v>
      </c>
      <c r="E24" s="11">
        <f>'Data-LR-Short-Train'!D23</f>
        <v>1</v>
      </c>
      <c r="F24" s="24"/>
      <c r="I24" s="11">
        <f t="shared" si="5"/>
        <v>0</v>
      </c>
      <c r="J24" s="11">
        <f t="shared" si="6"/>
        <v>0.5</v>
      </c>
      <c r="K24" s="11">
        <f t="shared" si="7"/>
        <v>-0.5</v>
      </c>
      <c r="L24" s="11">
        <f t="shared" si="8"/>
        <v>-0.5</v>
      </c>
      <c r="M24" s="11">
        <f t="shared" si="9"/>
        <v>0.25431728622740501</v>
      </c>
      <c r="N24" s="11">
        <f t="shared" si="10"/>
        <v>0.48045840438833659</v>
      </c>
      <c r="O24" s="11">
        <f t="shared" si="11"/>
        <v>0.17798402382468309</v>
      </c>
      <c r="P24" s="42">
        <f t="shared" si="12"/>
        <v>-0.69314718055994529</v>
      </c>
      <c r="S24" s="24"/>
      <c r="V24" s="11">
        <f t="shared" si="14"/>
        <v>-5.9195137217530084E-4</v>
      </c>
      <c r="W24" s="17">
        <f t="shared" si="15"/>
        <v>0.4998520121612775</v>
      </c>
      <c r="X24" s="17">
        <f t="shared" si="1"/>
        <v>-0.5001479878387225</v>
      </c>
      <c r="Y24" s="17">
        <f t="shared" si="16"/>
        <v>-0.5001479878387225</v>
      </c>
      <c r="Z24" s="17">
        <f t="shared" si="17"/>
        <v>0.25439255795848215</v>
      </c>
      <c r="AA24" s="17">
        <f t="shared" si="18"/>
        <v>0.48060060839005958</v>
      </c>
      <c r="AB24" s="17">
        <f t="shared" si="19"/>
        <v>0.17803670276670899</v>
      </c>
      <c r="AC24" s="42">
        <f t="shared" si="20"/>
        <v>-0.69344320004683568</v>
      </c>
      <c r="AF24" s="24"/>
      <c r="AI24" s="11">
        <f t="shared" si="21"/>
        <v>-1.1809014467815005E-3</v>
      </c>
      <c r="AJ24" s="17">
        <f t="shared" si="22"/>
        <v>0.49970477467261304</v>
      </c>
      <c r="AK24" s="17">
        <f t="shared" ref="AK24" si="47">AJ24-$E24</f>
        <v>-0.50029522532738691</v>
      </c>
      <c r="AL24" s="17">
        <f t="shared" si="24"/>
        <v>-0.50029522532738691</v>
      </c>
      <c r="AM24" s="17">
        <f t="shared" si="25"/>
        <v>0.2544674480355783</v>
      </c>
      <c r="AN24" s="17">
        <f t="shared" si="26"/>
        <v>0.48074209136779927</v>
      </c>
      <c r="AO24" s="17">
        <f t="shared" si="27"/>
        <v>0.17808911460808965</v>
      </c>
      <c r="AP24" s="42">
        <f t="shared" si="28"/>
        <v>-0.69373780559935416</v>
      </c>
    </row>
    <row r="25" spans="1:42" hidden="1" outlineLevel="1" x14ac:dyDescent="0.25">
      <c r="A25" s="11">
        <v>1</v>
      </c>
      <c r="B25" s="16">
        <f>('Data-LR-Short-Train'!A24-'Data-LR-Short-Train'!$F$10)/'Data-LR-Short-Train'!$G$10</f>
        <v>-3.3275158945641779E-2</v>
      </c>
      <c r="C25" s="17">
        <f>('Data-LR-Short-Train'!B24-'Data-LR-Short-Train'!$F$13)/'Data-LR-Short-Train'!$G$13</f>
        <v>9.5689730280430554E-2</v>
      </c>
      <c r="D25" s="17">
        <f>('Data-LR-Short-Train'!C24-'Data-LR-Short-Train'!$F$16)/'Data-LR-Short-Train'!$G$16</f>
        <v>-0.17218773265676462</v>
      </c>
      <c r="E25" s="11">
        <f>'Data-LR-Short-Train'!D24</f>
        <v>1</v>
      </c>
      <c r="F25" s="24"/>
      <c r="I25" s="11">
        <f t="shared" si="5"/>
        <v>0</v>
      </c>
      <c r="J25" s="11">
        <f t="shared" si="6"/>
        <v>0.5</v>
      </c>
      <c r="K25" s="11">
        <f t="shared" si="7"/>
        <v>-0.5</v>
      </c>
      <c r="L25" s="11">
        <f t="shared" si="8"/>
        <v>-0.5</v>
      </c>
      <c r="M25" s="11">
        <f t="shared" si="9"/>
        <v>1.663757947282089E-2</v>
      </c>
      <c r="N25" s="11">
        <f t="shared" si="10"/>
        <v>-4.7844865140215277E-2</v>
      </c>
      <c r="O25" s="11">
        <f t="shared" si="11"/>
        <v>8.6093866328382312E-2</v>
      </c>
      <c r="P25" s="42">
        <f t="shared" si="12"/>
        <v>-0.69314718055994529</v>
      </c>
      <c r="S25" s="24"/>
      <c r="V25" s="11">
        <f t="shared" si="14"/>
        <v>-1.2584847858418172E-4</v>
      </c>
      <c r="W25" s="17">
        <f t="shared" si="15"/>
        <v>0.49996853788039552</v>
      </c>
      <c r="X25" s="17">
        <f t="shared" si="1"/>
        <v>-0.50003146211960448</v>
      </c>
      <c r="Y25" s="17">
        <f t="shared" si="16"/>
        <v>-0.50003146211960448</v>
      </c>
      <c r="Z25" s="17">
        <f t="shared" si="17"/>
        <v>1.6638626379851494E-2</v>
      </c>
      <c r="AA25" s="17">
        <f t="shared" si="18"/>
        <v>-4.7847875741954281E-2</v>
      </c>
      <c r="AB25" s="17">
        <f t="shared" si="19"/>
        <v>8.6099283719421577E-2</v>
      </c>
      <c r="AC25" s="42">
        <f t="shared" si="20"/>
        <v>-0.69321010677896722</v>
      </c>
      <c r="AF25" s="24"/>
      <c r="AI25" s="11">
        <f t="shared" si="21"/>
        <v>-2.5146503075825925E-4</v>
      </c>
      <c r="AJ25" s="17">
        <f t="shared" si="22"/>
        <v>0.49993713374264165</v>
      </c>
      <c r="AK25" s="17">
        <f t="shared" ref="AK25" si="48">AJ25-$E25</f>
        <v>-0.5000628662573583</v>
      </c>
      <c r="AL25" s="17">
        <f t="shared" si="24"/>
        <v>-0.5000628662573583</v>
      </c>
      <c r="AM25" s="17">
        <f t="shared" si="25"/>
        <v>1.6639671357526805E-2</v>
      </c>
      <c r="AN25" s="17">
        <f t="shared" si="26"/>
        <v>-4.7850880795425633E-2</v>
      </c>
      <c r="AO25" s="17">
        <f t="shared" si="27"/>
        <v>8.6104691126697455E-2</v>
      </c>
      <c r="AP25" s="42">
        <f t="shared" si="28"/>
        <v>-0.6932729209796572</v>
      </c>
    </row>
    <row r="26" spans="1:42" hidden="1" outlineLevel="1" x14ac:dyDescent="0.25">
      <c r="A26" s="11">
        <v>1</v>
      </c>
      <c r="B26" s="16">
        <f>('Data-LR-Short-Train'!A25-'Data-LR-Short-Train'!$F$10)/'Data-LR-Short-Train'!$G$10</f>
        <v>-0.50863457245481003</v>
      </c>
      <c r="C26" s="17">
        <f>('Data-LR-Short-Train'!B25-'Data-LR-Short-Train'!$F$13)/'Data-LR-Short-Train'!$G$13</f>
        <v>-0.53329813879546639</v>
      </c>
      <c r="D26" s="17">
        <f>('Data-LR-Short-Train'!C25-'Data-LR-Short-Train'!$F$16)/'Data-LR-Short-Train'!$G$16</f>
        <v>-0.367613763564064</v>
      </c>
      <c r="E26" s="11">
        <f>'Data-LR-Short-Train'!D25</f>
        <v>1</v>
      </c>
      <c r="F26" s="24"/>
      <c r="I26" s="11">
        <f t="shared" si="5"/>
        <v>0</v>
      </c>
      <c r="J26" s="11">
        <f t="shared" si="6"/>
        <v>0.5</v>
      </c>
      <c r="K26" s="11">
        <f t="shared" si="7"/>
        <v>-0.5</v>
      </c>
      <c r="L26" s="11">
        <f t="shared" si="8"/>
        <v>-0.5</v>
      </c>
      <c r="M26" s="11">
        <f t="shared" si="9"/>
        <v>0.25431728622740501</v>
      </c>
      <c r="N26" s="11">
        <f t="shared" si="10"/>
        <v>0.2666490693977332</v>
      </c>
      <c r="O26" s="11">
        <f t="shared" si="11"/>
        <v>0.183806881782032</v>
      </c>
      <c r="P26" s="42">
        <f t="shared" si="12"/>
        <v>-0.69314718055994529</v>
      </c>
      <c r="S26" s="24"/>
      <c r="V26" s="11">
        <f t="shared" si="14"/>
        <v>-5.3107295953619535E-4</v>
      </c>
      <c r="W26" s="17">
        <f t="shared" si="15"/>
        <v>0.49986723176323639</v>
      </c>
      <c r="X26" s="17">
        <f t="shared" si="1"/>
        <v>-0.50013276823676356</v>
      </c>
      <c r="Y26" s="17">
        <f t="shared" si="16"/>
        <v>-0.50013276823676356</v>
      </c>
      <c r="Z26" s="17">
        <f t="shared" si="17"/>
        <v>0.25438481674274682</v>
      </c>
      <c r="AA26" s="17">
        <f t="shared" si="18"/>
        <v>0.26671987445129036</v>
      </c>
      <c r="AB26" s="17">
        <f t="shared" si="19"/>
        <v>0.18385568921323042</v>
      </c>
      <c r="AC26" s="42">
        <f t="shared" si="20"/>
        <v>-0.69341275229452415</v>
      </c>
      <c r="AF26" s="24"/>
      <c r="AI26" s="11">
        <f t="shared" si="21"/>
        <v>-1.0598953172559411E-3</v>
      </c>
      <c r="AJ26" s="17">
        <f t="shared" si="22"/>
        <v>0.49973502619549159</v>
      </c>
      <c r="AK26" s="17">
        <f t="shared" ref="AK26" si="49">AJ26-$E26</f>
        <v>-0.50026497380450841</v>
      </c>
      <c r="AL26" s="17">
        <f t="shared" si="24"/>
        <v>-0.50026497380450841</v>
      </c>
      <c r="AM26" s="17">
        <f t="shared" si="25"/>
        <v>0.25445206106517287</v>
      </c>
      <c r="AN26" s="17">
        <f t="shared" si="26"/>
        <v>0.26679037943450706</v>
      </c>
      <c r="AO26" s="17">
        <f t="shared" si="27"/>
        <v>0.18390428979955323</v>
      </c>
      <c r="AP26" s="42">
        <f t="shared" si="28"/>
        <v>-0.69367726864082691</v>
      </c>
    </row>
    <row r="27" spans="1:42" hidden="1" outlineLevel="1" x14ac:dyDescent="0.25">
      <c r="A27" s="11">
        <v>1</v>
      </c>
      <c r="B27" s="16">
        <f>('Data-LR-Short-Train'!A26-'Data-LR-Short-Train'!$F$10)/'Data-LR-Short-Train'!$G$10</f>
        <v>-0.8889221032621446</v>
      </c>
      <c r="C27" s="17">
        <f>('Data-LR-Short-Train'!B26-'Data-LR-Short-Train'!$F$13)/'Data-LR-Short-Train'!$G$13</f>
        <v>1.0703892223360296</v>
      </c>
      <c r="D27" s="17">
        <f>('Data-LR-Short-Train'!C26-'Data-LR-Short-Train'!$F$16)/'Data-LR-Short-Train'!$G$16</f>
        <v>0.18992488585209391</v>
      </c>
      <c r="E27" s="11">
        <f>'Data-LR-Short-Train'!D26</f>
        <v>1</v>
      </c>
      <c r="F27" s="24"/>
      <c r="I27" s="11">
        <f t="shared" si="5"/>
        <v>0</v>
      </c>
      <c r="J27" s="11">
        <f t="shared" si="6"/>
        <v>0.5</v>
      </c>
      <c r="K27" s="11">
        <f t="shared" si="7"/>
        <v>-0.5</v>
      </c>
      <c r="L27" s="11">
        <f t="shared" si="8"/>
        <v>-0.5</v>
      </c>
      <c r="M27" s="11">
        <f t="shared" si="9"/>
        <v>0.4444610516310723</v>
      </c>
      <c r="N27" s="11">
        <f t="shared" si="10"/>
        <v>-0.53519461116801481</v>
      </c>
      <c r="O27" s="11">
        <f t="shared" si="11"/>
        <v>-9.4962442926046955E-2</v>
      </c>
      <c r="P27" s="42">
        <f t="shared" si="12"/>
        <v>-0.69314718055994529</v>
      </c>
      <c r="S27" s="24"/>
      <c r="V27" s="11">
        <f t="shared" si="14"/>
        <v>2.9853681273103646E-5</v>
      </c>
      <c r="W27" s="17">
        <f t="shared" si="15"/>
        <v>0.50000746342031777</v>
      </c>
      <c r="X27" s="17">
        <f t="shared" si="1"/>
        <v>-0.49999253657968223</v>
      </c>
      <c r="Y27" s="17">
        <f t="shared" si="16"/>
        <v>-0.49999253657968223</v>
      </c>
      <c r="Z27" s="17">
        <f t="shared" si="17"/>
        <v>0.44445441723178591</v>
      </c>
      <c r="AA27" s="17">
        <f t="shared" si="18"/>
        <v>-0.53518662240334491</v>
      </c>
      <c r="AB27" s="17">
        <f t="shared" si="19"/>
        <v>-9.4961025436795035E-2</v>
      </c>
      <c r="AC27" s="42">
        <f t="shared" si="20"/>
        <v>-0.69313225383071397</v>
      </c>
      <c r="AF27" s="24"/>
      <c r="AI27" s="11">
        <f t="shared" si="21"/>
        <v>5.8199630793352166E-5</v>
      </c>
      <c r="AJ27" s="17">
        <f t="shared" si="22"/>
        <v>0.50001454990769423</v>
      </c>
      <c r="AK27" s="17">
        <f t="shared" ref="AK27" si="50">AJ27-$E27</f>
        <v>-0.49998545009230577</v>
      </c>
      <c r="AL27" s="17">
        <f t="shared" si="24"/>
        <v>-0.49998545009230577</v>
      </c>
      <c r="AM27" s="17">
        <f t="shared" si="25"/>
        <v>0.4444481178965225</v>
      </c>
      <c r="AN27" s="17">
        <f t="shared" si="26"/>
        <v>-0.5351790371036329</v>
      </c>
      <c r="AO27" s="17">
        <f t="shared" si="27"/>
        <v>-9.495967953648897E-2</v>
      </c>
      <c r="AP27" s="42">
        <f t="shared" si="28"/>
        <v>-0.69311808116794826</v>
      </c>
    </row>
    <row r="28" spans="1:42" hidden="1" outlineLevel="1" x14ac:dyDescent="0.25">
      <c r="A28" s="11">
        <v>1</v>
      </c>
      <c r="B28" s="16">
        <f>('Data-LR-Short-Train'!A27-'Data-LR-Short-Train'!$F$10)/'Data-LR-Short-Train'!$G$10</f>
        <v>-0.27095486570022592</v>
      </c>
      <c r="C28" s="17">
        <f>('Data-LR-Short-Train'!B27-'Data-LR-Short-Train'!$F$13)/'Data-LR-Short-Train'!$G$13</f>
        <v>0.40244041071884279</v>
      </c>
      <c r="D28" s="17">
        <f>('Data-LR-Short-Train'!C27-'Data-LR-Short-Train'!$F$16)/'Data-LR-Short-Train'!$G$16</f>
        <v>-7.7198722941287226E-2</v>
      </c>
      <c r="E28" s="11">
        <f>'Data-LR-Short-Train'!D27</f>
        <v>0</v>
      </c>
      <c r="F28" s="24"/>
      <c r="I28" s="11">
        <f t="shared" si="5"/>
        <v>0</v>
      </c>
      <c r="J28" s="11">
        <f t="shared" si="6"/>
        <v>0.5</v>
      </c>
      <c r="K28" s="11">
        <f t="shared" si="7"/>
        <v>0.5</v>
      </c>
      <c r="L28" s="11">
        <f t="shared" si="8"/>
        <v>0.5</v>
      </c>
      <c r="M28" s="11">
        <f t="shared" si="9"/>
        <v>-0.13547743285011296</v>
      </c>
      <c r="N28" s="11">
        <f t="shared" si="10"/>
        <v>0.20122020535942139</v>
      </c>
      <c r="O28" s="11">
        <f t="shared" si="11"/>
        <v>-3.8599361470643613E-2</v>
      </c>
      <c r="P28" s="42">
        <f t="shared" si="12"/>
        <v>-0.69314718055994529</v>
      </c>
      <c r="S28" s="24"/>
      <c r="V28" s="11">
        <f t="shared" si="14"/>
        <v>-8.0975821376350402E-5</v>
      </c>
      <c r="W28" s="17">
        <f t="shared" si="15"/>
        <v>0.49997975604466693</v>
      </c>
      <c r="X28" s="17">
        <f t="shared" si="1"/>
        <v>0.49997975604466693</v>
      </c>
      <c r="Y28" s="17">
        <f t="shared" si="16"/>
        <v>0.49997975604466693</v>
      </c>
      <c r="Z28" s="17">
        <f t="shared" si="17"/>
        <v>-0.13547194765191445</v>
      </c>
      <c r="AA28" s="17">
        <f t="shared" si="18"/>
        <v>0.20121205837372258</v>
      </c>
      <c r="AB28" s="17">
        <f t="shared" si="19"/>
        <v>-3.8597798663144618E-2</v>
      </c>
      <c r="AC28" s="42">
        <f t="shared" si="20"/>
        <v>-0.69310669346889253</v>
      </c>
      <c r="AF28" s="24"/>
      <c r="AI28" s="11">
        <f t="shared" si="21"/>
        <v>-1.6225612959571437E-4</v>
      </c>
      <c r="AJ28" s="17">
        <f t="shared" si="22"/>
        <v>0.4999594359676901</v>
      </c>
      <c r="AK28" s="17">
        <f t="shared" ref="AK28" si="51">AJ28-$E28</f>
        <v>0.4999594359676901</v>
      </c>
      <c r="AL28" s="17">
        <f t="shared" si="24"/>
        <v>0.4999594359676901</v>
      </c>
      <c r="AM28" s="17">
        <f t="shared" si="25"/>
        <v>-0.13546644182818618</v>
      </c>
      <c r="AN28" s="17">
        <f t="shared" si="26"/>
        <v>0.20120388075359819</v>
      </c>
      <c r="AO28" s="17">
        <f t="shared" si="27"/>
        <v>-3.8596229979151943E-2</v>
      </c>
      <c r="AP28" s="42">
        <f t="shared" si="28"/>
        <v>-0.69306605578602898</v>
      </c>
    </row>
    <row r="29" spans="1:42" hidden="1" outlineLevel="1" x14ac:dyDescent="0.25">
      <c r="A29" s="11">
        <v>1</v>
      </c>
      <c r="B29" s="16">
        <f>('Data-LR-Short-Train'!A28-'Data-LR-Short-Train'!$F$10)/'Data-LR-Short-Train'!$G$10</f>
        <v>-3.3275158945641779E-2</v>
      </c>
      <c r="C29" s="17">
        <f>('Data-LR-Short-Train'!B28-'Data-LR-Short-Train'!$F$13)/'Data-LR-Short-Train'!$G$13</f>
        <v>0.60627510604193724</v>
      </c>
      <c r="D29" s="17">
        <f>('Data-LR-Short-Train'!C28-'Data-LR-Short-Train'!$F$16)/'Data-LR-Short-Train'!$G$16</f>
        <v>-1.3875142655117852E-2</v>
      </c>
      <c r="E29" s="11">
        <f>'Data-LR-Short-Train'!D28</f>
        <v>0</v>
      </c>
      <c r="F29" s="24"/>
      <c r="I29" s="11">
        <f t="shared" si="5"/>
        <v>0</v>
      </c>
      <c r="J29" s="11">
        <f t="shared" si="6"/>
        <v>0.5</v>
      </c>
      <c r="K29" s="11">
        <f t="shared" si="7"/>
        <v>0.5</v>
      </c>
      <c r="L29" s="11">
        <f t="shared" si="8"/>
        <v>0.5</v>
      </c>
      <c r="M29" s="11">
        <f t="shared" si="9"/>
        <v>-1.663757947282089E-2</v>
      </c>
      <c r="N29" s="11">
        <f t="shared" si="10"/>
        <v>0.30313755302096862</v>
      </c>
      <c r="O29" s="11">
        <f t="shared" si="11"/>
        <v>-6.9375713275589262E-3</v>
      </c>
      <c r="P29" s="42">
        <f t="shared" si="12"/>
        <v>-0.69314718055994529</v>
      </c>
      <c r="S29" s="24"/>
      <c r="V29" s="11">
        <f t="shared" si="14"/>
        <v>7.7504314054328626E-5</v>
      </c>
      <c r="W29" s="17">
        <f t="shared" si="15"/>
        <v>0.50001937607850389</v>
      </c>
      <c r="X29" s="17">
        <f t="shared" si="1"/>
        <v>0.50001937607850389</v>
      </c>
      <c r="Y29" s="17">
        <f t="shared" si="16"/>
        <v>0.50001937607850389</v>
      </c>
      <c r="Z29" s="17">
        <f t="shared" si="17"/>
        <v>-1.6638224214912848E-2</v>
      </c>
      <c r="AA29" s="17">
        <f t="shared" si="18"/>
        <v>0.30314930025501824</v>
      </c>
      <c r="AB29" s="17">
        <f t="shared" si="19"/>
        <v>-6.9378401734122644E-3</v>
      </c>
      <c r="AC29" s="42">
        <f t="shared" si="20"/>
        <v>-0.6931859334678373</v>
      </c>
      <c r="AF29" s="24"/>
      <c r="AI29" s="11">
        <f t="shared" si="21"/>
        <v>1.5397028032832939E-4</v>
      </c>
      <c r="AJ29" s="17">
        <f t="shared" si="22"/>
        <v>0.50003849257000599</v>
      </c>
      <c r="AK29" s="17">
        <f t="shared" ref="AK29" si="52">AJ29-$E29</f>
        <v>0.50003849257000599</v>
      </c>
      <c r="AL29" s="17">
        <f t="shared" si="24"/>
        <v>0.50003849257000599</v>
      </c>
      <c r="AM29" s="17">
        <f t="shared" si="25"/>
        <v>-1.6638860319206066E-2</v>
      </c>
      <c r="AN29" s="17">
        <f t="shared" si="26"/>
        <v>0.30316089010793085</v>
      </c>
      <c r="AO29" s="17">
        <f t="shared" si="27"/>
        <v>-6.9381054174589216E-3</v>
      </c>
      <c r="AP29" s="42">
        <f t="shared" si="28"/>
        <v>-0.69322416866346526</v>
      </c>
    </row>
    <row r="30" spans="1:42" hidden="1" outlineLevel="1" x14ac:dyDescent="0.25">
      <c r="A30" s="11">
        <v>1</v>
      </c>
      <c r="B30" s="16">
        <f>('Data-LR-Short-Train'!A29-'Data-LR-Short-Train'!$F$10)/'Data-LR-Short-Train'!$G$10</f>
        <v>-3.3275158945641779E-2</v>
      </c>
      <c r="C30" s="17">
        <f>('Data-LR-Short-Train'!B29-'Data-LR-Short-Train'!$F$13)/'Data-LR-Short-Train'!$G$13</f>
        <v>-0.41939948866271148</v>
      </c>
      <c r="D30" s="17">
        <f>('Data-LR-Short-Train'!C29-'Data-LR-Short-Train'!$F$16)/'Data-LR-Short-Train'!$G$16</f>
        <v>-0.33209433002423566</v>
      </c>
      <c r="E30" s="11">
        <f>'Data-LR-Short-Train'!D29</f>
        <v>0</v>
      </c>
      <c r="F30" s="24"/>
      <c r="I30" s="11">
        <f t="shared" si="5"/>
        <v>0</v>
      </c>
      <c r="J30" s="11">
        <f t="shared" si="6"/>
        <v>0.5</v>
      </c>
      <c r="K30" s="11">
        <f t="shared" si="7"/>
        <v>0.5</v>
      </c>
      <c r="L30" s="11">
        <f t="shared" si="8"/>
        <v>0.5</v>
      </c>
      <c r="M30" s="11">
        <f t="shared" si="9"/>
        <v>-1.663757947282089E-2</v>
      </c>
      <c r="N30" s="11">
        <f t="shared" si="10"/>
        <v>-0.20969974433135574</v>
      </c>
      <c r="O30" s="11">
        <f t="shared" si="11"/>
        <v>-0.16604716501211783</v>
      </c>
      <c r="P30" s="42">
        <f t="shared" si="12"/>
        <v>-0.69314718055994529</v>
      </c>
      <c r="S30" s="24"/>
      <c r="V30" s="11">
        <f t="shared" si="14"/>
        <v>-3.3114491001983088E-4</v>
      </c>
      <c r="W30" s="17">
        <f t="shared" si="15"/>
        <v>0.49991721377325155</v>
      </c>
      <c r="X30" s="17">
        <f t="shared" si="1"/>
        <v>0.49991721377325155</v>
      </c>
      <c r="Y30" s="17">
        <f t="shared" si="16"/>
        <v>0.49991721377325155</v>
      </c>
      <c r="Z30" s="17">
        <f t="shared" si="17"/>
        <v>-1.6634824747967326E-2</v>
      </c>
      <c r="AA30" s="17">
        <f t="shared" si="18"/>
        <v>-0.20966502383018912</v>
      </c>
      <c r="AB30" s="17">
        <f t="shared" si="19"/>
        <v>-0.16601967217561056</v>
      </c>
      <c r="AC30" s="42">
        <f t="shared" si="20"/>
        <v>-0.69298162181205414</v>
      </c>
      <c r="AF30" s="24"/>
      <c r="AI30" s="11">
        <f t="shared" si="21"/>
        <v>-6.607759855139768E-4</v>
      </c>
      <c r="AJ30" s="17">
        <f t="shared" si="22"/>
        <v>0.49983480600963215</v>
      </c>
      <c r="AK30" s="17">
        <f t="shared" ref="AK30" si="53">AJ30-$E30</f>
        <v>0.49983480600963215</v>
      </c>
      <c r="AL30" s="17">
        <f t="shared" si="24"/>
        <v>0.49983480600963215</v>
      </c>
      <c r="AM30" s="17">
        <f t="shared" si="25"/>
        <v>-1.6632082616534535E-2</v>
      </c>
      <c r="AN30" s="17">
        <f t="shared" si="26"/>
        <v>-0.20963046205626532</v>
      </c>
      <c r="AO30" s="17">
        <f t="shared" si="27"/>
        <v>-0.16599230502456258</v>
      </c>
      <c r="AP30" s="42">
        <f t="shared" si="28"/>
        <v>-0.69281684714530023</v>
      </c>
    </row>
    <row r="31" spans="1:42" hidden="1" outlineLevel="1" x14ac:dyDescent="0.25">
      <c r="A31" s="11">
        <v>1</v>
      </c>
      <c r="B31" s="16">
        <f>('Data-LR-Short-Train'!A30-'Data-LR-Short-Train'!$F$10)/'Data-LR-Short-Train'!$G$10</f>
        <v>-0.79385022056031096</v>
      </c>
      <c r="C31" s="17">
        <f>('Data-LR-Short-Train'!B30-'Data-LR-Short-Train'!$F$13)/'Data-LR-Short-Train'!$G$13</f>
        <v>-0.4964271766362745</v>
      </c>
      <c r="D31" s="17">
        <f>('Data-LR-Short-Train'!C30-'Data-LR-Short-Train'!$F$16)/'Data-LR-Short-Train'!$G$16</f>
        <v>-0.42868098639176067</v>
      </c>
      <c r="E31" s="11">
        <f>'Data-LR-Short-Train'!D30</f>
        <v>1</v>
      </c>
      <c r="F31" s="24"/>
      <c r="I31" s="11">
        <f t="shared" si="5"/>
        <v>0</v>
      </c>
      <c r="J31" s="11">
        <f t="shared" si="6"/>
        <v>0.5</v>
      </c>
      <c r="K31" s="11">
        <f t="shared" si="7"/>
        <v>-0.5</v>
      </c>
      <c r="L31" s="11">
        <f t="shared" si="8"/>
        <v>-0.5</v>
      </c>
      <c r="M31" s="11">
        <f t="shared" si="9"/>
        <v>0.39692511028015548</v>
      </c>
      <c r="N31" s="11">
        <f t="shared" si="10"/>
        <v>0.24821358831813725</v>
      </c>
      <c r="O31" s="11">
        <f t="shared" si="11"/>
        <v>0.21434049319588033</v>
      </c>
      <c r="P31" s="42">
        <f t="shared" si="12"/>
        <v>-0.69314718055994529</v>
      </c>
      <c r="S31" s="24"/>
      <c r="V31" s="11">
        <f t="shared" si="14"/>
        <v>-6.6404031553826378E-4</v>
      </c>
      <c r="W31" s="17">
        <f t="shared" si="15"/>
        <v>0.49983398992721567</v>
      </c>
      <c r="X31" s="17">
        <f t="shared" si="1"/>
        <v>-0.50016601007278427</v>
      </c>
      <c r="Y31" s="17">
        <f t="shared" si="16"/>
        <v>-0.50016601007278427</v>
      </c>
      <c r="Z31" s="17">
        <f t="shared" si="17"/>
        <v>0.3970568974130505</v>
      </c>
      <c r="AA31" s="17">
        <f t="shared" si="18"/>
        <v>0.24829600022986273</v>
      </c>
      <c r="AB31" s="17">
        <f t="shared" si="19"/>
        <v>0.21441165855763247</v>
      </c>
      <c r="AC31" s="42">
        <f t="shared" si="20"/>
        <v>-0.69347925583640591</v>
      </c>
      <c r="AF31" s="24"/>
      <c r="AI31" s="11">
        <f t="shared" si="21"/>
        <v>-1.3254925699702185E-3</v>
      </c>
      <c r="AJ31" s="17">
        <f t="shared" si="22"/>
        <v>0.49966862690602404</v>
      </c>
      <c r="AK31" s="17">
        <f t="shared" ref="AK31" si="54">AJ31-$E31</f>
        <v>-0.50033137309397602</v>
      </c>
      <c r="AL31" s="17">
        <f t="shared" si="24"/>
        <v>-0.50033137309397602</v>
      </c>
      <c r="AM31" s="17">
        <f t="shared" si="25"/>
        <v>0.39718817088389607</v>
      </c>
      <c r="AN31" s="17">
        <f t="shared" si="26"/>
        <v>0.248378090927593</v>
      </c>
      <c r="AO31" s="17">
        <f t="shared" si="27"/>
        <v>0.21448254654066967</v>
      </c>
      <c r="AP31" s="42">
        <f t="shared" si="28"/>
        <v>-0.69381014646123351</v>
      </c>
    </row>
    <row r="32" spans="1:42" hidden="1" outlineLevel="1" x14ac:dyDescent="0.25">
      <c r="A32" s="11">
        <v>1</v>
      </c>
      <c r="B32" s="16">
        <f>('Data-LR-Short-Train'!A31-'Data-LR-Short-Train'!$F$10)/'Data-LR-Short-Train'!$G$10</f>
        <v>-0.84138616191122773</v>
      </c>
      <c r="C32" s="17">
        <f>('Data-LR-Short-Train'!B31-'Data-LR-Short-Train'!$F$13)/'Data-LR-Short-Train'!$G$13</f>
        <v>0.62845401071439821</v>
      </c>
      <c r="D32" s="17">
        <f>('Data-LR-Short-Train'!C31-'Data-LR-Short-Train'!$F$16)/'Data-LR-Short-Train'!$G$16</f>
        <v>0.73581781935355406</v>
      </c>
      <c r="E32" s="11">
        <f>'Data-LR-Short-Train'!D31</f>
        <v>0</v>
      </c>
      <c r="F32" s="24"/>
      <c r="I32" s="11">
        <f t="shared" si="5"/>
        <v>0</v>
      </c>
      <c r="J32" s="11">
        <f t="shared" si="6"/>
        <v>0.5</v>
      </c>
      <c r="K32" s="11">
        <f t="shared" si="7"/>
        <v>0.5</v>
      </c>
      <c r="L32" s="11">
        <f t="shared" si="8"/>
        <v>0.5</v>
      </c>
      <c r="M32" s="11">
        <f t="shared" si="9"/>
        <v>-0.42069308095561386</v>
      </c>
      <c r="N32" s="11">
        <f t="shared" si="10"/>
        <v>0.31422700535719911</v>
      </c>
      <c r="O32" s="11">
        <f t="shared" si="11"/>
        <v>0.36790890967677703</v>
      </c>
      <c r="P32" s="42">
        <f t="shared" si="12"/>
        <v>-0.69314718055994529</v>
      </c>
      <c r="S32" s="24"/>
      <c r="V32" s="11">
        <f t="shared" si="14"/>
        <v>3.8741902025330686E-4</v>
      </c>
      <c r="W32" s="17">
        <f t="shared" si="15"/>
        <v>0.5000968547538519</v>
      </c>
      <c r="X32" s="17">
        <f t="shared" si="1"/>
        <v>0.5000968547538519</v>
      </c>
      <c r="Y32" s="17">
        <f t="shared" si="16"/>
        <v>0.5000968547538519</v>
      </c>
      <c r="Z32" s="17">
        <f t="shared" si="17"/>
        <v>-0.42077457320522016</v>
      </c>
      <c r="AA32" s="17">
        <f t="shared" si="18"/>
        <v>0.31428787411571407</v>
      </c>
      <c r="AB32" s="17">
        <f t="shared" si="19"/>
        <v>0.36798017713055037</v>
      </c>
      <c r="AC32" s="42">
        <f t="shared" si="20"/>
        <v>-0.69334090883175903</v>
      </c>
      <c r="AF32" s="24"/>
      <c r="AI32" s="11">
        <f t="shared" si="21"/>
        <v>7.7290170308617228E-4</v>
      </c>
      <c r="AJ32" s="17">
        <f t="shared" si="22"/>
        <v>0.50019322541615252</v>
      </c>
      <c r="AK32" s="17">
        <f t="shared" ref="AK32" si="55">AJ32-$E32</f>
        <v>0.50019322541615252</v>
      </c>
      <c r="AL32" s="17">
        <f t="shared" si="24"/>
        <v>0.50019322541615252</v>
      </c>
      <c r="AM32" s="17">
        <f t="shared" si="25"/>
        <v>-0.42085565814689413</v>
      </c>
      <c r="AN32" s="17">
        <f t="shared" si="26"/>
        <v>0.3143484386449521</v>
      </c>
      <c r="AO32" s="17">
        <f t="shared" si="27"/>
        <v>0.36805108838113404</v>
      </c>
      <c r="AP32" s="42">
        <f t="shared" si="28"/>
        <v>-0.69353370608361686</v>
      </c>
    </row>
    <row r="33" spans="2:5" collapsed="1" x14ac:dyDescent="0.25"/>
    <row r="34" spans="2:5" x14ac:dyDescent="0.25">
      <c r="B34" s="25" t="s">
        <v>186</v>
      </c>
    </row>
    <row r="35" spans="2:5" x14ac:dyDescent="0.25">
      <c r="B35" s="27" t="s">
        <v>153</v>
      </c>
      <c r="C35" s="27" t="s">
        <v>155</v>
      </c>
      <c r="D35" s="31" t="s">
        <v>156</v>
      </c>
      <c r="E35" s="32"/>
    </row>
    <row r="36" spans="2:5" x14ac:dyDescent="0.25">
      <c r="B36" s="28" t="s">
        <v>129</v>
      </c>
      <c r="C36" s="27">
        <f>COUNT(A3:A32)</f>
        <v>30</v>
      </c>
      <c r="D36" s="33" t="s">
        <v>154</v>
      </c>
      <c r="E36" s="32"/>
    </row>
    <row r="37" spans="2:5" x14ac:dyDescent="0.25">
      <c r="B37" s="28" t="s">
        <v>144</v>
      </c>
      <c r="C37" s="29">
        <v>1E-3</v>
      </c>
      <c r="D37" s="33" t="s">
        <v>158</v>
      </c>
      <c r="E37" s="32"/>
    </row>
    <row r="38" spans="2:5" x14ac:dyDescent="0.25">
      <c r="B38" s="34" t="s">
        <v>136</v>
      </c>
      <c r="C38" s="29">
        <v>0.01</v>
      </c>
      <c r="D38" s="11" t="s">
        <v>159</v>
      </c>
      <c r="E38" s="11"/>
    </row>
    <row r="39" spans="2:5" x14ac:dyDescent="0.25">
      <c r="B39" s="57" t="s">
        <v>187</v>
      </c>
      <c r="C39" s="59"/>
      <c r="D39" s="60"/>
      <c r="E39" s="32"/>
    </row>
    <row r="40" spans="2:5" x14ac:dyDescent="0.25">
      <c r="B40" s="58" t="s">
        <v>188</v>
      </c>
      <c r="C40" s="11"/>
      <c r="D40" s="33"/>
      <c r="E40" s="32"/>
    </row>
    <row r="41" spans="2:5" x14ac:dyDescent="0.25">
      <c r="B41" s="56"/>
    </row>
    <row r="42" spans="2:5" x14ac:dyDescent="0.25">
      <c r="B42" s="25" t="s">
        <v>162</v>
      </c>
    </row>
    <row r="43" spans="2:5" hidden="1" outlineLevel="1" x14ac:dyDescent="0.25">
      <c r="B43" s="10" t="s">
        <v>157</v>
      </c>
      <c r="C43" s="10" t="s">
        <v>155</v>
      </c>
      <c r="D43" s="31" t="s">
        <v>156</v>
      </c>
      <c r="E43" s="32"/>
    </row>
    <row r="44" spans="2:5" ht="18" hidden="1" outlineLevel="1" x14ac:dyDescent="0.35">
      <c r="B44" s="36" t="s">
        <v>164</v>
      </c>
      <c r="C44" s="11">
        <f>H2</f>
        <v>0</v>
      </c>
      <c r="D44" s="49" t="s">
        <v>163</v>
      </c>
      <c r="E44" s="49"/>
    </row>
    <row r="45" spans="2:5" ht="18" hidden="1" outlineLevel="1" x14ac:dyDescent="0.35">
      <c r="B45" s="36" t="s">
        <v>165</v>
      </c>
      <c r="C45" s="11">
        <f>H3</f>
        <v>0</v>
      </c>
      <c r="D45" s="49"/>
      <c r="E45" s="49"/>
    </row>
    <row r="46" spans="2:5" ht="18" hidden="1" outlineLevel="1" x14ac:dyDescent="0.35">
      <c r="B46" s="36" t="s">
        <v>166</v>
      </c>
      <c r="C46" s="11">
        <f>H4</f>
        <v>0</v>
      </c>
      <c r="D46" s="49"/>
      <c r="E46" s="49"/>
    </row>
    <row r="47" spans="2:5" ht="18" hidden="1" outlineLevel="1" x14ac:dyDescent="0.35">
      <c r="B47" s="36" t="s">
        <v>167</v>
      </c>
      <c r="C47" s="11">
        <f>H5</f>
        <v>0</v>
      </c>
      <c r="D47" s="49"/>
      <c r="E47" s="49"/>
    </row>
    <row r="48" spans="2:5" hidden="1" outlineLevel="1" x14ac:dyDescent="0.25">
      <c r="B48" s="35" t="s">
        <v>161</v>
      </c>
      <c r="C48" s="48">
        <f>R8</f>
        <v>8.4126533460655281E-2</v>
      </c>
      <c r="D48" s="33" t="s">
        <v>169</v>
      </c>
      <c r="E48" s="32"/>
    </row>
    <row r="49" spans="2:5" hidden="1" outlineLevel="1" x14ac:dyDescent="0.25">
      <c r="B49" s="30" t="s">
        <v>160</v>
      </c>
      <c r="C49" s="48">
        <f>R9</f>
        <v>0.69314718055994495</v>
      </c>
      <c r="D49" s="33" t="s">
        <v>170</v>
      </c>
      <c r="E49" s="32"/>
    </row>
    <row r="50" spans="2:5" collapsed="1" x14ac:dyDescent="0.25">
      <c r="B50" s="26"/>
    </row>
    <row r="51" spans="2:5" x14ac:dyDescent="0.25">
      <c r="B51" s="25" t="s">
        <v>172</v>
      </c>
    </row>
    <row r="52" spans="2:5" hidden="1" outlineLevel="1" x14ac:dyDescent="0.25">
      <c r="B52" s="10" t="s">
        <v>157</v>
      </c>
      <c r="C52" s="10" t="s">
        <v>155</v>
      </c>
      <c r="D52" s="31" t="s">
        <v>156</v>
      </c>
      <c r="E52" s="32"/>
    </row>
    <row r="53" spans="2:5" ht="18" hidden="1" outlineLevel="1" x14ac:dyDescent="0.35">
      <c r="B53" s="36" t="s">
        <v>164</v>
      </c>
      <c r="C53" s="11">
        <f>U2</f>
        <v>0</v>
      </c>
      <c r="D53" s="33"/>
      <c r="E53" s="32"/>
    </row>
    <row r="54" spans="2:5" ht="18" hidden="1" outlineLevel="1" x14ac:dyDescent="0.35">
      <c r="B54" s="36" t="s">
        <v>165</v>
      </c>
      <c r="C54" s="11">
        <f t="shared" ref="C54:C56" si="56">U3</f>
        <v>3.2482893256459834E-4</v>
      </c>
      <c r="D54" s="33"/>
      <c r="E54" s="32"/>
    </row>
    <row r="55" spans="2:5" ht="18" hidden="1" outlineLevel="1" x14ac:dyDescent="0.35">
      <c r="B55" s="36" t="s">
        <v>166</v>
      </c>
      <c r="C55" s="11">
        <f t="shared" si="56"/>
        <v>1.6302864002448522E-4</v>
      </c>
      <c r="D55" s="33"/>
      <c r="E55" s="32"/>
    </row>
    <row r="56" spans="2:5" ht="18" hidden="1" outlineLevel="1" x14ac:dyDescent="0.35">
      <c r="B56" s="36" t="s">
        <v>167</v>
      </c>
      <c r="C56" s="11">
        <f t="shared" si="56"/>
        <v>7.5870626088848491E-4</v>
      </c>
      <c r="D56" s="33"/>
      <c r="E56" s="32"/>
    </row>
    <row r="57" spans="2:5" hidden="1" outlineLevel="1" x14ac:dyDescent="0.25">
      <c r="B57" s="35" t="s">
        <v>161</v>
      </c>
      <c r="C57" s="50">
        <f>AE8</f>
        <v>8.3858861677816338E-2</v>
      </c>
      <c r="D57" s="33"/>
      <c r="E57" s="32"/>
    </row>
    <row r="58" spans="2:5" hidden="1" outlineLevel="1" x14ac:dyDescent="0.25">
      <c r="B58" s="30" t="s">
        <v>160</v>
      </c>
      <c r="C58" s="50">
        <f>AE9</f>
        <v>0.69307652045893398</v>
      </c>
      <c r="D58" s="33"/>
      <c r="E58" s="32"/>
    </row>
    <row r="59" spans="2:5" collapsed="1" x14ac:dyDescent="0.25"/>
    <row r="60" spans="2:5" x14ac:dyDescent="0.25">
      <c r="B60" s="25" t="s">
        <v>173</v>
      </c>
    </row>
    <row r="61" spans="2:5" x14ac:dyDescent="0.25">
      <c r="B61" s="10" t="s">
        <v>157</v>
      </c>
      <c r="C61" s="10" t="s">
        <v>155</v>
      </c>
      <c r="D61" s="31" t="s">
        <v>156</v>
      </c>
      <c r="E61" s="32"/>
    </row>
    <row r="62" spans="2:5" ht="18" x14ac:dyDescent="0.35">
      <c r="B62" s="36" t="s">
        <v>164</v>
      </c>
      <c r="C62" s="11">
        <f>AH2</f>
        <v>5.1043469451173001E-13</v>
      </c>
      <c r="D62" s="33"/>
      <c r="E62" s="32"/>
    </row>
    <row r="63" spans="2:5" ht="18" x14ac:dyDescent="0.35">
      <c r="B63" s="36" t="s">
        <v>165</v>
      </c>
      <c r="C63" s="11">
        <f t="shared" ref="C63:C65" si="57">AH3</f>
        <v>6.4870498909684919E-4</v>
      </c>
      <c r="D63" s="33"/>
      <c r="E63" s="32"/>
    </row>
    <row r="64" spans="2:5" ht="18" x14ac:dyDescent="0.35">
      <c r="B64" s="36" t="s">
        <v>166</v>
      </c>
      <c r="C64" s="11">
        <f t="shared" si="57"/>
        <v>3.2424262229965059E-4</v>
      </c>
      <c r="D64" s="33"/>
      <c r="E64" s="32"/>
    </row>
    <row r="65" spans="2:5" ht="18" x14ac:dyDescent="0.35">
      <c r="B65" s="36" t="s">
        <v>167</v>
      </c>
      <c r="C65" s="11">
        <f t="shared" si="57"/>
        <v>1.5152412700678449E-3</v>
      </c>
      <c r="D65" s="33"/>
      <c r="E65" s="32"/>
    </row>
    <row r="66" spans="2:5" x14ac:dyDescent="0.25">
      <c r="B66" s="35" t="s">
        <v>161</v>
      </c>
      <c r="C66" s="50">
        <f>AR8</f>
        <v>8.3592458417708224E-2</v>
      </c>
      <c r="D66" s="33"/>
      <c r="E66" s="32"/>
    </row>
    <row r="67" spans="2:5" x14ac:dyDescent="0.25">
      <c r="B67" s="30" t="s">
        <v>160</v>
      </c>
      <c r="C67" s="50">
        <f>AR9</f>
        <v>0.69300630911723882</v>
      </c>
      <c r="D67" s="33"/>
      <c r="E67" s="32"/>
    </row>
    <row r="69" spans="2:5" x14ac:dyDescent="0.25">
      <c r="B69" s="10" t="s">
        <v>171</v>
      </c>
      <c r="C69" s="51">
        <v>1</v>
      </c>
      <c r="D69" s="34">
        <v>2</v>
      </c>
      <c r="E69" s="10">
        <v>3</v>
      </c>
    </row>
    <row r="70" spans="2:5" x14ac:dyDescent="0.25">
      <c r="B70" s="35" t="s">
        <v>161</v>
      </c>
      <c r="C70" s="53">
        <f>C48</f>
        <v>8.4126533460655281E-2</v>
      </c>
      <c r="D70" s="52">
        <f>C57</f>
        <v>8.3858861677816338E-2</v>
      </c>
      <c r="E70" s="52">
        <f>C66</f>
        <v>8.3592458417708224E-2</v>
      </c>
    </row>
    <row r="71" spans="2:5" x14ac:dyDescent="0.25">
      <c r="B71" s="30" t="s">
        <v>160</v>
      </c>
      <c r="C71" s="53">
        <f>C49</f>
        <v>0.69314718055994495</v>
      </c>
      <c r="D71" s="52">
        <f>C58</f>
        <v>0.69307652045893398</v>
      </c>
      <c r="E71" s="52">
        <f>C67</f>
        <v>0.69300630911723882</v>
      </c>
    </row>
  </sheetData>
  <dataConsolidate/>
  <mergeCells count="8">
    <mergeCell ref="D44:E47"/>
    <mergeCell ref="A1:A2"/>
    <mergeCell ref="G1:R1"/>
    <mergeCell ref="T1:AE1"/>
    <mergeCell ref="AG1:AR1"/>
    <mergeCell ref="F1:F32"/>
    <mergeCell ref="S1:S32"/>
    <mergeCell ref="AF1:AF3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"/>
  <sheetViews>
    <sheetView tabSelected="1" workbookViewId="0">
      <selection activeCell="P28" sqref="P28"/>
    </sheetView>
  </sheetViews>
  <sheetFormatPr defaultRowHeight="15" x14ac:dyDescent="0.25"/>
  <cols>
    <col min="3" max="3" width="14.7109375" customWidth="1"/>
    <col min="4" max="4" width="13.5703125" customWidth="1"/>
    <col min="7" max="7" width="16" customWidth="1"/>
    <col min="8" max="8" width="13.42578125" bestFit="1" customWidth="1"/>
    <col min="9" max="9" width="12.7109375" bestFit="1" customWidth="1"/>
    <col min="10" max="10" width="13.42578125" customWidth="1"/>
    <col min="11" max="11" width="12.42578125" customWidth="1"/>
    <col min="12" max="12" width="8.42578125" customWidth="1"/>
    <col min="14" max="14" width="15.140625" customWidth="1"/>
  </cols>
  <sheetData>
    <row r="1" spans="1:12" x14ac:dyDescent="0.25">
      <c r="A1" s="64" t="s">
        <v>189</v>
      </c>
      <c r="B1" s="64"/>
      <c r="C1" s="64"/>
      <c r="D1" s="64"/>
      <c r="E1" s="64" t="s">
        <v>190</v>
      </c>
      <c r="F1" s="64"/>
      <c r="G1" s="64"/>
      <c r="H1" s="64"/>
    </row>
    <row r="2" spans="1:12" x14ac:dyDescent="0.25">
      <c r="A2" s="65" t="s">
        <v>2</v>
      </c>
      <c r="B2" s="65" t="s">
        <v>9</v>
      </c>
      <c r="C2" s="65" t="s">
        <v>10</v>
      </c>
      <c r="D2" s="65" t="s">
        <v>16</v>
      </c>
      <c r="E2" s="66" t="s">
        <v>2</v>
      </c>
      <c r="F2" s="66" t="s">
        <v>9</v>
      </c>
      <c r="G2" s="66" t="s">
        <v>10</v>
      </c>
      <c r="H2" s="66" t="s">
        <v>16</v>
      </c>
      <c r="I2" s="66" t="s">
        <v>118</v>
      </c>
      <c r="J2" s="39" t="s">
        <v>123</v>
      </c>
      <c r="K2" s="39" t="s">
        <v>191</v>
      </c>
      <c r="L2" s="69" t="s">
        <v>192</v>
      </c>
    </row>
    <row r="3" spans="1:12" x14ac:dyDescent="0.25">
      <c r="A3">
        <v>112500</v>
      </c>
      <c r="B3">
        <v>34473.599999999999</v>
      </c>
      <c r="C3">
        <v>3451.5</v>
      </c>
      <c r="D3">
        <v>0</v>
      </c>
      <c r="E3" s="67">
        <f>(A3-'Data-LR-Short-Train'!$F$10)/'Data-LR-Short-Train'!$G$10</f>
        <v>-0.74631427920939408</v>
      </c>
      <c r="F3" s="67">
        <f>(B3-'Data-LR-Short-Train'!$F$13)/'Data-LR-Short-Train'!$G$13</f>
        <v>-0.77024863781469055</v>
      </c>
      <c r="G3" s="67">
        <f>(C3-'Data-LR-Short-Train'!$F$16)/'Data-LR-Short-Train'!$G$16</f>
        <v>-0.44076341665325963</v>
      </c>
      <c r="H3" s="67">
        <f>D3</f>
        <v>0</v>
      </c>
      <c r="I3" s="67">
        <f>$K$14+$K$15*E$3+$K$16*F$3+$K$17*G3</f>
        <v>-2.098036403276337E-3</v>
      </c>
      <c r="J3" s="67">
        <f>1/(1+EXP(-I3))</f>
        <v>0.49947549109157757</v>
      </c>
      <c r="K3" s="40">
        <f>IF(J3&gt;=0.5,1,0)</f>
        <v>0</v>
      </c>
      <c r="L3" t="str">
        <f>IF(H3-K3=0,"T","F")</f>
        <v>T</v>
      </c>
    </row>
    <row r="4" spans="1:12" x14ac:dyDescent="0.25">
      <c r="A4">
        <v>112500</v>
      </c>
      <c r="B4">
        <v>315000</v>
      </c>
      <c r="C4">
        <v>90000</v>
      </c>
      <c r="D4">
        <v>1</v>
      </c>
      <c r="E4" s="67">
        <f>(A4-'Data-LR-Short-Train'!$F$10)/'Data-LR-Short-Train'!$G$10</f>
        <v>-0.74631427920939408</v>
      </c>
      <c r="F4" s="67">
        <f>(B4-'Data-LR-Short-Train'!$F$13)/'Data-LR-Short-Train'!$G$13</f>
        <v>6.5451755640767599</v>
      </c>
      <c r="G4" s="67">
        <f>(C4-'Data-LR-Short-Train'!$F$16)/'Data-LR-Short-Train'!$G$16</f>
        <v>6.5586757767024624</v>
      </c>
      <c r="H4" s="67">
        <f t="shared" ref="H4:H12" si="0">D4</f>
        <v>1</v>
      </c>
      <c r="I4" s="67">
        <f>$K$14+$K$15*E$3+$K$16*F$3+$K$17*G4</f>
        <v>1.3787984532540411E-2</v>
      </c>
      <c r="J4" s="67">
        <f t="shared" ref="J4:J12" si="1">1/(1+EXP(-I4))</f>
        <v>0.5034469415255628</v>
      </c>
      <c r="K4" s="40">
        <f t="shared" ref="K4:K12" si="2">IF(J4&gt;=0.5,1,0)</f>
        <v>1</v>
      </c>
      <c r="L4" t="str">
        <f t="shared" ref="L4:L12" si="3">IF(H4-K4=0,"T","F")</f>
        <v>T</v>
      </c>
    </row>
    <row r="5" spans="1:12" x14ac:dyDescent="0.25">
      <c r="A5">
        <v>252000</v>
      </c>
      <c r="B5">
        <v>38686.5</v>
      </c>
      <c r="C5">
        <v>3870</v>
      </c>
      <c r="D5">
        <v>1</v>
      </c>
      <c r="E5" s="67">
        <f>(A5-'Data-LR-Short-Train'!$F$10)/'Data-LR-Short-Train'!$G$10</f>
        <v>0.72729990266902744</v>
      </c>
      <c r="F5" s="67">
        <f>(B5-'Data-LR-Short-Train'!$F$13)/'Data-LR-Short-Train'!$G$13</f>
        <v>-0.66038678302972742</v>
      </c>
      <c r="G5" s="67">
        <f>(C5-'Data-LR-Short-Train'!$F$16)/'Data-LR-Short-Train'!$G$16</f>
        <v>-0.4069180547761691</v>
      </c>
      <c r="H5" s="67">
        <f t="shared" si="0"/>
        <v>1</v>
      </c>
      <c r="I5" s="67">
        <f>$K$14+$K$15*E$3+$K$16*F$3+$K$17*G5</f>
        <v>-2.0212205166735731E-3</v>
      </c>
      <c r="J5" s="67">
        <f t="shared" si="1"/>
        <v>0.49949469504285976</v>
      </c>
      <c r="K5" s="40">
        <f t="shared" si="2"/>
        <v>0</v>
      </c>
      <c r="L5" t="str">
        <f t="shared" si="3"/>
        <v>F</v>
      </c>
    </row>
    <row r="6" spans="1:12" x14ac:dyDescent="0.25">
      <c r="A6">
        <v>202500</v>
      </c>
      <c r="B6">
        <v>59535</v>
      </c>
      <c r="C6">
        <v>6750</v>
      </c>
      <c r="D6">
        <v>0</v>
      </c>
      <c r="E6" s="67">
        <f>(A6-'Data-LR-Short-Train'!$F$10)/'Data-LR-Short-Train'!$G$10</f>
        <v>0.20440454780894235</v>
      </c>
      <c r="F6" s="67">
        <f>(B6-'Data-LR-Short-Train'!$F$13)/'Data-LR-Short-Train'!$G$13</f>
        <v>-0.11671024679950484</v>
      </c>
      <c r="G6" s="67">
        <f>(C6-'Data-LR-Short-Train'!$F$16)/'Data-LR-Short-Train'!$G$16</f>
        <v>-0.17400373648221282</v>
      </c>
      <c r="H6" s="67">
        <f t="shared" si="0"/>
        <v>0</v>
      </c>
      <c r="I6" s="67">
        <f>$K$14+$K$15*E$3+$K$16*F$3+$K$17*G6</f>
        <v>-1.49259506048251E-3</v>
      </c>
      <c r="J6" s="67">
        <f t="shared" si="1"/>
        <v>0.49962685130415563</v>
      </c>
      <c r="K6" s="40">
        <f t="shared" si="2"/>
        <v>0</v>
      </c>
      <c r="L6" t="str">
        <f t="shared" si="3"/>
        <v>T</v>
      </c>
    </row>
    <row r="7" spans="1:12" x14ac:dyDescent="0.25">
      <c r="A7">
        <v>202500</v>
      </c>
      <c r="B7">
        <v>31005</v>
      </c>
      <c r="C7">
        <v>6300</v>
      </c>
      <c r="D7">
        <v>0</v>
      </c>
      <c r="E7" s="67">
        <f>(A7-'Data-LR-Short-Train'!$F$10)/'Data-LR-Short-Train'!$G$10</f>
        <v>0.20440454780894235</v>
      </c>
      <c r="F7" s="67">
        <f>(B7-'Data-LR-Short-Train'!$F$13)/'Data-LR-Short-Train'!$G$13</f>
        <v>-0.86070101729370097</v>
      </c>
      <c r="G7" s="67">
        <f>(C7-'Data-LR-Short-Train'!$F$16)/'Data-LR-Short-Train'!$G$16</f>
        <v>-0.21039659871564348</v>
      </c>
      <c r="H7" s="67">
        <f t="shared" si="0"/>
        <v>0</v>
      </c>
      <c r="I7" s="67">
        <f>$K$14+$K$15*E$3+$K$16*F$3+$K$17*G7</f>
        <v>-1.5751927880123637E-3</v>
      </c>
      <c r="J7" s="67">
        <f t="shared" si="1"/>
        <v>0.49960620188442223</v>
      </c>
      <c r="K7" s="40">
        <f t="shared" si="2"/>
        <v>0</v>
      </c>
      <c r="L7" t="str">
        <f t="shared" si="3"/>
        <v>T</v>
      </c>
    </row>
    <row r="8" spans="1:12" x14ac:dyDescent="0.25">
      <c r="A8">
        <v>202500</v>
      </c>
      <c r="B8">
        <v>49495.5</v>
      </c>
      <c r="C8">
        <v>9900</v>
      </c>
      <c r="D8">
        <v>0</v>
      </c>
      <c r="E8" s="67">
        <f>(A8-'Data-LR-Short-Train'!$F$10)/'Data-LR-Short-Train'!$G$10</f>
        <v>0.20440454780894235</v>
      </c>
      <c r="F8" s="67">
        <f>(B8-'Data-LR-Short-Train'!$F$13)/'Data-LR-Short-Train'!$G$13</f>
        <v>-0.37851520089612184</v>
      </c>
      <c r="G8" s="67">
        <f>(C8-'Data-LR-Short-Train'!$F$16)/'Data-LR-Short-Train'!$G$16</f>
        <v>8.0746299151801898E-2</v>
      </c>
      <c r="H8" s="67">
        <f t="shared" si="0"/>
        <v>0</v>
      </c>
      <c r="I8" s="67">
        <f>$K$14+$K$15*E$3+$K$16*F$3+$K$17*G8</f>
        <v>-9.1441096777353475E-4</v>
      </c>
      <c r="J8" s="67">
        <f t="shared" si="1"/>
        <v>0.49977139727398534</v>
      </c>
      <c r="K8" s="40">
        <f t="shared" si="2"/>
        <v>0</v>
      </c>
      <c r="L8" t="str">
        <f t="shared" si="3"/>
        <v>T</v>
      </c>
    </row>
    <row r="9" spans="1:12" x14ac:dyDescent="0.25">
      <c r="A9">
        <v>180000</v>
      </c>
      <c r="B9">
        <v>71923.5</v>
      </c>
      <c r="C9">
        <v>7195.5</v>
      </c>
      <c r="D9">
        <v>0</v>
      </c>
      <c r="E9" s="67">
        <f>(A9-'Data-LR-Short-Train'!$F$10)/'Data-LR-Short-Train'!$G$10</f>
        <v>-3.3275158945641779E-2</v>
      </c>
      <c r="F9" s="67">
        <f>(B9-'Data-LR-Short-Train'!$F$13)/'Data-LR-Short-Train'!$G$13</f>
        <v>0.20635072972581409</v>
      </c>
      <c r="G9" s="67">
        <f>(C9-'Data-LR-Short-Train'!$F$16)/'Data-LR-Short-Train'!$G$16</f>
        <v>-0.13797480287111644</v>
      </c>
      <c r="H9" s="67">
        <f t="shared" si="0"/>
        <v>0</v>
      </c>
      <c r="I9" s="67">
        <f>$K$14+$K$15*E$3+$K$16*F$3+$K$17*G9</f>
        <v>-1.4108233102279549E-3</v>
      </c>
      <c r="J9" s="67">
        <f t="shared" si="1"/>
        <v>0.49964729423094578</v>
      </c>
      <c r="K9" s="40">
        <f t="shared" si="2"/>
        <v>0</v>
      </c>
      <c r="L9" t="str">
        <f t="shared" si="3"/>
        <v>T</v>
      </c>
    </row>
    <row r="10" spans="1:12" x14ac:dyDescent="0.25">
      <c r="A10">
        <v>121500</v>
      </c>
      <c r="B10">
        <v>108000</v>
      </c>
      <c r="C10">
        <v>10800</v>
      </c>
      <c r="D10">
        <v>1</v>
      </c>
      <c r="E10" s="67">
        <f>(A10-'Data-LR-Short-Train'!$F$10)/'Data-LR-Short-Train'!$G$10</f>
        <v>-0.65124239650756044</v>
      </c>
      <c r="F10" s="67">
        <f>(B10-'Data-LR-Short-Train'!$F$13)/'Data-LR-Short-Train'!$G$13</f>
        <v>1.1471352734248632</v>
      </c>
      <c r="G10" s="67">
        <f>(C10-'Data-LR-Short-Train'!$F$16)/'Data-LR-Short-Train'!$G$16</f>
        <v>0.15353202361866325</v>
      </c>
      <c r="H10" s="67">
        <f t="shared" si="0"/>
        <v>1</v>
      </c>
      <c r="I10" s="67">
        <f>$K$14+$K$15*E$3+$K$16*F$3+$K$17*G10</f>
        <v>-7.4921551271382746E-4</v>
      </c>
      <c r="J10" s="67">
        <f t="shared" si="1"/>
        <v>0.49981269613058299</v>
      </c>
      <c r="K10" s="40">
        <f t="shared" si="2"/>
        <v>0</v>
      </c>
      <c r="L10" s="70" t="str">
        <f t="shared" si="3"/>
        <v>F</v>
      </c>
    </row>
    <row r="11" spans="1:12" x14ac:dyDescent="0.25">
      <c r="A11">
        <v>202500</v>
      </c>
      <c r="B11">
        <v>62050.5</v>
      </c>
      <c r="C11">
        <v>22500</v>
      </c>
      <c r="D11">
        <v>1</v>
      </c>
      <c r="E11" s="67">
        <f>(A11-'Data-LR-Short-Train'!$F$10)/'Data-LR-Short-Train'!$G$10</f>
        <v>0.20440454780894235</v>
      </c>
      <c r="F11" s="67">
        <f>(B11-'Data-LR-Short-Train'!$F$13)/'Data-LR-Short-Train'!$G$13</f>
        <v>-5.1112322397887232E-2</v>
      </c>
      <c r="G11" s="67">
        <f>(C11-'Data-LR-Short-Train'!$F$16)/'Data-LR-Short-Train'!$G$16</f>
        <v>1.0997464416878608</v>
      </c>
      <c r="H11" s="67">
        <f t="shared" si="0"/>
        <v>1</v>
      </c>
      <c r="I11" s="67">
        <f>$K$14+$K$15*E$3+$K$16*F$3+$K$17*G11</f>
        <v>1.3983254030623666E-3</v>
      </c>
      <c r="J11" s="67">
        <f t="shared" si="1"/>
        <v>0.5003495812938038</v>
      </c>
      <c r="K11" s="40">
        <f t="shared" si="2"/>
        <v>1</v>
      </c>
      <c r="L11" t="str">
        <f t="shared" si="3"/>
        <v>T</v>
      </c>
    </row>
    <row r="12" spans="1:12" x14ac:dyDescent="0.25">
      <c r="A12">
        <v>225000</v>
      </c>
      <c r="B12">
        <v>22126.5</v>
      </c>
      <c r="C12">
        <v>4500</v>
      </c>
      <c r="D12">
        <v>1</v>
      </c>
      <c r="E12" s="67">
        <f>(A12-'Data-LR-Short-Train'!$F$10)/'Data-LR-Short-Train'!$G$10</f>
        <v>0.44208425456352646</v>
      </c>
      <c r="F12" s="67">
        <f>(B12-'Data-LR-Short-Train'!$F$13)/'Data-LR-Short-Train'!$G$13</f>
        <v>-1.0922300062818791</v>
      </c>
      <c r="G12" s="67">
        <f>(C12-'Data-LR-Short-Train'!$F$16)/'Data-LR-Short-Train'!$G$16</f>
        <v>-0.35596804764936618</v>
      </c>
      <c r="H12" s="67">
        <f t="shared" si="0"/>
        <v>1</v>
      </c>
      <c r="I12" s="67">
        <f>$K$14+$K$15*E$3+$K$16*F$3+$K$17*G12</f>
        <v>-1.9055836981317783E-3</v>
      </c>
      <c r="J12" s="67">
        <f t="shared" si="1"/>
        <v>0.49952360421962638</v>
      </c>
      <c r="K12" s="40">
        <f t="shared" si="2"/>
        <v>0</v>
      </c>
      <c r="L12" s="70" t="str">
        <f t="shared" si="3"/>
        <v>F</v>
      </c>
    </row>
    <row r="14" spans="1:12" ht="18" x14ac:dyDescent="0.35">
      <c r="E14" s="55" t="s">
        <v>175</v>
      </c>
      <c r="H14" s="25" t="s">
        <v>184</v>
      </c>
      <c r="J14" s="20" t="s">
        <v>149</v>
      </c>
      <c r="K14" s="5">
        <f>'Logistic-Regression'!AH2-('Logistic-Regression'!$AR$6*'Logistic-Regression'!AR2)</f>
        <v>4.5705370599335998E-12</v>
      </c>
    </row>
    <row r="15" spans="1:12" ht="18" x14ac:dyDescent="0.35">
      <c r="E15" s="25" t="s">
        <v>137</v>
      </c>
      <c r="F15" s="25" t="s">
        <v>138</v>
      </c>
      <c r="J15" s="20" t="s">
        <v>150</v>
      </c>
      <c r="K15" s="5">
        <f>'Logistic-Regression'!AH3-('Logistic-Regression'!$AR$6*'Logistic-Regression'!AR3)</f>
        <v>9.7163180615975205E-4</v>
      </c>
    </row>
    <row r="16" spans="1:12" ht="18" x14ac:dyDescent="0.35">
      <c r="E16" s="4">
        <f>'Data-LR-Short-Train'!F10</f>
        <v>183150</v>
      </c>
      <c r="F16" s="4">
        <f>'Data-LR-Short-Train'!G10</f>
        <v>94665.212723576551</v>
      </c>
      <c r="J16" s="20" t="s">
        <v>151</v>
      </c>
      <c r="K16" s="5">
        <f>'Logistic-Regression'!AH4-('Logistic-Regression'!$AR$6*'Logistic-Regression'!AR4)</f>
        <v>4.8365053174199437E-4</v>
      </c>
    </row>
    <row r="17" spans="5:11" ht="18" x14ac:dyDescent="0.35">
      <c r="E17" s="55" t="s">
        <v>176</v>
      </c>
      <c r="F17" s="4"/>
      <c r="J17" s="20" t="s">
        <v>152</v>
      </c>
      <c r="K17" s="5">
        <f>'Logistic-Regression'!AH5-('Logistic-Regression'!$AR$6*'Logistic-Regression'!AR5)</f>
        <v>2.2696133928696302E-3</v>
      </c>
    </row>
    <row r="18" spans="5:11" x14ac:dyDescent="0.25">
      <c r="E18" s="68" t="str">
        <f>'Data-LR-Short-Train'!F12</f>
        <v>μ2</v>
      </c>
      <c r="F18" s="68" t="str">
        <f>'Data-LR-Short-Train'!G12</f>
        <v>σ2</v>
      </c>
    </row>
    <row r="19" spans="5:11" x14ac:dyDescent="0.25">
      <c r="E19" s="4">
        <f>'Data-LR-Short-Train'!F13</f>
        <v>64010.517</v>
      </c>
      <c r="F19" s="4">
        <f>'Data-LR-Short-Train'!G13</f>
        <v>38347.249900760107</v>
      </c>
    </row>
    <row r="20" spans="5:11" x14ac:dyDescent="0.25">
      <c r="E20" t="s">
        <v>177</v>
      </c>
      <c r="F20" s="4"/>
    </row>
    <row r="21" spans="5:11" x14ac:dyDescent="0.25">
      <c r="E21" s="68" t="str">
        <f>'Data-LR-Short-Train'!F15</f>
        <v>μ3</v>
      </c>
      <c r="F21" s="68" t="str">
        <f>'Data-LR-Short-Train'!G15</f>
        <v>σ3</v>
      </c>
    </row>
    <row r="22" spans="5:11" x14ac:dyDescent="0.25">
      <c r="E22" s="4">
        <f>'Data-LR-Short-Train'!F16</f>
        <v>8901.5670000000009</v>
      </c>
      <c r="F22" s="4">
        <f>'Data-LR-Short-Train'!G16</f>
        <v>12365.062058422754</v>
      </c>
    </row>
  </sheetData>
  <mergeCells count="2">
    <mergeCell ref="A1:D1"/>
    <mergeCell ref="E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Data-LR</vt:lpstr>
      <vt:lpstr>Data-LR-Short-Train</vt:lpstr>
      <vt:lpstr>Logistic-Regression</vt:lpstr>
      <vt:lpstr>Data-LR-Short-Test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BOO HUYNH</cp:lastModifiedBy>
  <dcterms:created xsi:type="dcterms:W3CDTF">2025-05-26T09:23:36Z</dcterms:created>
  <dcterms:modified xsi:type="dcterms:W3CDTF">2025-05-29T11:08:45Z</dcterms:modified>
</cp:coreProperties>
</file>