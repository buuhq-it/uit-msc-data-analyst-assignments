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earning-area\uit-msc\subjects\phan-tich-du-lieu-kinh-doanh\assignments\hw5b\"/>
    </mc:Choice>
  </mc:AlternateContent>
  <xr:revisionPtr revIDLastSave="0" documentId="13_ncr:1_{F8D5F8A3-665E-4B29-B8E4-8B3C68A1F88E}" xr6:coauthVersionLast="47" xr6:coauthVersionMax="47" xr10:uidLastSave="{00000000-0000-0000-0000-000000000000}"/>
  <bookViews>
    <workbookView xWindow="-11390" yWindow="-21710" windowWidth="38620" windowHeight="21100" xr2:uid="{00000000-000D-0000-FFFF-FFFF00000000}"/>
  </bookViews>
  <sheets>
    <sheet name="data" sheetId="1" r:id="rId1"/>
    <sheet name="ari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2" l="1"/>
  <c r="L19" i="2"/>
  <c r="M9" i="2"/>
  <c r="L9" i="2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E6" i="1" l="1"/>
  <c r="E7" i="1"/>
  <c r="E8" i="1"/>
  <c r="V5" i="1" s="1"/>
  <c r="E9" i="1"/>
  <c r="E10" i="1"/>
  <c r="V7" i="1" s="1"/>
  <c r="E11" i="1"/>
  <c r="V8" i="1" s="1"/>
  <c r="E12" i="1"/>
  <c r="V9" i="1" s="1"/>
  <c r="E13" i="1"/>
  <c r="E14" i="1"/>
  <c r="E15" i="1"/>
  <c r="E16" i="1"/>
  <c r="E17" i="1"/>
  <c r="E18" i="1"/>
  <c r="E19" i="1"/>
  <c r="V16" i="1" s="1"/>
  <c r="E20" i="1"/>
  <c r="V17" i="1" s="1"/>
  <c r="E21" i="1"/>
  <c r="E22" i="1"/>
  <c r="E23" i="1"/>
  <c r="V20" i="1" s="1"/>
  <c r="E5" i="1"/>
  <c r="F6" i="1" s="1"/>
  <c r="W3" i="1" s="1"/>
  <c r="F9" i="1"/>
  <c r="W6" i="1" s="1"/>
  <c r="F11" i="1"/>
  <c r="W8" i="1" s="1"/>
  <c r="D6" i="1"/>
  <c r="T4" i="1" s="1"/>
  <c r="D7" i="1"/>
  <c r="T5" i="1" s="1"/>
  <c r="D8" i="1"/>
  <c r="T6" i="1" s="1"/>
  <c r="D9" i="1"/>
  <c r="T7" i="1" s="1"/>
  <c r="D10" i="1"/>
  <c r="T8" i="1" s="1"/>
  <c r="D11" i="1"/>
  <c r="T9" i="1" s="1"/>
  <c r="D12" i="1"/>
  <c r="T10" i="1" s="1"/>
  <c r="D13" i="1"/>
  <c r="T11" i="1" s="1"/>
  <c r="D14" i="1"/>
  <c r="T12" i="1" s="1"/>
  <c r="D15" i="1"/>
  <c r="T13" i="1" s="1"/>
  <c r="D16" i="1"/>
  <c r="T14" i="1" s="1"/>
  <c r="D17" i="1"/>
  <c r="T15" i="1" s="1"/>
  <c r="D18" i="1"/>
  <c r="T16" i="1" s="1"/>
  <c r="D19" i="1"/>
  <c r="T17" i="1" s="1"/>
  <c r="D20" i="1"/>
  <c r="T18" i="1" s="1"/>
  <c r="D21" i="1"/>
  <c r="T19" i="1" s="1"/>
  <c r="D22" i="1"/>
  <c r="T20" i="1" s="1"/>
  <c r="D23" i="1"/>
  <c r="T21" i="1" s="1"/>
  <c r="D5" i="1"/>
  <c r="T3" i="1" s="1"/>
  <c r="F21" i="1" l="1"/>
  <c r="W18" i="1" s="1"/>
  <c r="F13" i="1"/>
  <c r="W10" i="1" s="1"/>
  <c r="F10" i="1"/>
  <c r="W7" i="1" s="1"/>
  <c r="V6" i="1"/>
  <c r="F16" i="1"/>
  <c r="W13" i="1" s="1"/>
  <c r="V12" i="1"/>
  <c r="F8" i="1"/>
  <c r="W5" i="1" s="1"/>
  <c r="V4" i="1"/>
  <c r="F17" i="1"/>
  <c r="W14" i="1" s="1"/>
  <c r="V13" i="1"/>
  <c r="F15" i="1"/>
  <c r="W12" i="1" s="1"/>
  <c r="V11" i="1"/>
  <c r="F20" i="1"/>
  <c r="W17" i="1" s="1"/>
  <c r="F22" i="1"/>
  <c r="W19" i="1" s="1"/>
  <c r="V18" i="1"/>
  <c r="F14" i="1"/>
  <c r="W11" i="1" s="1"/>
  <c r="V10" i="1"/>
  <c r="F18" i="1"/>
  <c r="W15" i="1" s="1"/>
  <c r="V14" i="1"/>
  <c r="F23" i="1"/>
  <c r="W20" i="1" s="1"/>
  <c r="V19" i="1"/>
  <c r="F7" i="1"/>
  <c r="W4" i="1" s="1"/>
  <c r="V3" i="1"/>
  <c r="F12" i="1"/>
  <c r="W9" i="1" s="1"/>
  <c r="F19" i="1"/>
  <c r="W16" i="1" s="1"/>
  <c r="V15" i="1"/>
  <c r="G27" i="2"/>
  <c r="H27" i="2" s="1"/>
  <c r="E28" i="2" s="1"/>
  <c r="C28" i="2" s="1"/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E17" i="2" s="1"/>
  <c r="A18" i="2"/>
  <c r="B18" i="2"/>
  <c r="C18" i="2"/>
  <c r="A19" i="2"/>
  <c r="B19" i="2"/>
  <c r="C19" i="2"/>
  <c r="A20" i="2"/>
  <c r="B20" i="2"/>
  <c r="C20" i="2"/>
  <c r="E20" i="2" s="1"/>
  <c r="A21" i="2"/>
  <c r="B21" i="2"/>
  <c r="B22" i="2" s="1"/>
  <c r="B23" i="2" s="1"/>
  <c r="B24" i="2" s="1"/>
  <c r="B25" i="2" s="1"/>
  <c r="C21" i="2"/>
  <c r="B2" i="2"/>
  <c r="C2" i="2"/>
  <c r="A2" i="2"/>
  <c r="E9" i="2" l="1"/>
  <c r="L22" i="2"/>
  <c r="E19" i="2"/>
  <c r="E21" i="2"/>
  <c r="F22" i="2" s="1"/>
  <c r="G22" i="2" s="1"/>
  <c r="E4" i="2"/>
  <c r="E6" i="2"/>
  <c r="E14" i="2"/>
  <c r="F15" i="2" s="1"/>
  <c r="G15" i="2" s="1"/>
  <c r="E11" i="2"/>
  <c r="E3" i="2"/>
  <c r="F4" i="2" s="1"/>
  <c r="G4" i="2" s="1"/>
  <c r="E16" i="2"/>
  <c r="E8" i="2"/>
  <c r="E13" i="2"/>
  <c r="E5" i="2"/>
  <c r="F10" i="2"/>
  <c r="G10" i="2" s="1"/>
  <c r="E18" i="2"/>
  <c r="E15" i="2"/>
  <c r="E7" i="2"/>
  <c r="F18" i="2"/>
  <c r="G18" i="2" s="1"/>
  <c r="E10" i="2"/>
  <c r="E12" i="2"/>
  <c r="H15" i="2" l="1"/>
  <c r="I16" i="2" s="1"/>
  <c r="H18" i="2"/>
  <c r="I19" i="2" s="1"/>
  <c r="H10" i="2"/>
  <c r="I11" i="2" s="1"/>
  <c r="F17" i="2"/>
  <c r="G17" i="2" s="1"/>
  <c r="H17" i="2" s="1"/>
  <c r="I18" i="2" s="1"/>
  <c r="F12" i="2"/>
  <c r="G12" i="2" s="1"/>
  <c r="H12" i="2" s="1"/>
  <c r="I13" i="2" s="1"/>
  <c r="F20" i="2"/>
  <c r="G20" i="2" s="1"/>
  <c r="H20" i="2" s="1"/>
  <c r="I21" i="2" s="1"/>
  <c r="F6" i="2"/>
  <c r="G6" i="2" s="1"/>
  <c r="H6" i="2" s="1"/>
  <c r="I7" i="2" s="1"/>
  <c r="F7" i="2"/>
  <c r="G7" i="2" s="1"/>
  <c r="H7" i="2" s="1"/>
  <c r="I8" i="2" s="1"/>
  <c r="F14" i="2"/>
  <c r="G14" i="2" s="1"/>
  <c r="H14" i="2" s="1"/>
  <c r="I15" i="2" s="1"/>
  <c r="H4" i="2"/>
  <c r="I5" i="2" s="1"/>
  <c r="F9" i="2"/>
  <c r="G9" i="2" s="1"/>
  <c r="H9" i="2" s="1"/>
  <c r="I10" i="2" s="1"/>
  <c r="F19" i="2"/>
  <c r="F5" i="2"/>
  <c r="F13" i="2"/>
  <c r="F21" i="2"/>
  <c r="G21" i="2" s="1"/>
  <c r="H21" i="2" s="1"/>
  <c r="F8" i="2"/>
  <c r="F11" i="2"/>
  <c r="F16" i="2"/>
  <c r="C22" i="2" l="1"/>
  <c r="E22" i="2" s="1"/>
  <c r="H22" i="2" s="1"/>
  <c r="C23" i="2" s="1"/>
  <c r="E23" i="2" s="1"/>
  <c r="G11" i="2"/>
  <c r="H11" i="2" s="1"/>
  <c r="I12" i="2" s="1"/>
  <c r="G8" i="2"/>
  <c r="H8" i="2" s="1"/>
  <c r="I9" i="2" s="1"/>
  <c r="G5" i="2"/>
  <c r="H5" i="2" s="1"/>
  <c r="I6" i="2" s="1"/>
  <c r="G19" i="2"/>
  <c r="H19" i="2" s="1"/>
  <c r="I20" i="2" s="1"/>
  <c r="G16" i="2"/>
  <c r="H16" i="2" s="1"/>
  <c r="I17" i="2" s="1"/>
  <c r="G13" i="2"/>
  <c r="H13" i="2" s="1"/>
  <c r="I14" i="2" s="1"/>
  <c r="F23" i="2" l="1"/>
  <c r="G23" i="2" s="1"/>
  <c r="H23" i="2" s="1"/>
  <c r="F24" i="2"/>
  <c r="G24" i="2" s="1"/>
  <c r="C24" i="2" l="1"/>
  <c r="E24" i="2" s="1"/>
  <c r="H24" i="2" l="1"/>
  <c r="C25" i="2" s="1"/>
  <c r="E25" i="2" s="1"/>
  <c r="F25" i="2"/>
  <c r="G25" i="2" s="1"/>
  <c r="H25" i="2" l="1"/>
</calcChain>
</file>

<file path=xl/sharedStrings.xml><?xml version="1.0" encoding="utf-8"?>
<sst xmlns="http://schemas.openxmlformats.org/spreadsheetml/2006/main" count="102" uniqueCount="63">
  <si>
    <t>Date</t>
  </si>
  <si>
    <t>Series</t>
  </si>
  <si>
    <t>y=Price</t>
  </si>
  <si>
    <t>Time series giá cổ phiếu(Giá khớp -  Matched Price) của vinamilk</t>
  </si>
  <si>
    <t>https://www.cophieu68.vn/quote/history.php?cP=2&amp;id=vnm</t>
  </si>
  <si>
    <t>ref</t>
  </si>
  <si>
    <t>dy</t>
  </si>
  <si>
    <t>dy_pred</t>
  </si>
  <si>
    <t>AR(1)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</si>
  <si>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</si>
  <si>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</si>
  <si>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</si>
  <si>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</si>
  <si>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</si>
  <si>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</si>
  <si>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</si>
  <si>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</si>
  <si>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</si>
  <si>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</si>
  <si>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</si>
  <si>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</si>
  <si>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</si>
  <si>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</si>
  <si>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</si>
  <si>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</si>
  <si>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</si>
  <si>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</si>
  <si>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</si>
  <si>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</si>
  <si>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</si>
  <si>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</si>
  <si>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</si>
  <si>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</si>
  <si>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</si>
  <si>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e=dy - dy_pred</t>
  </si>
  <si>
    <t>MA(1)</t>
  </si>
  <si>
    <t>I(1)</t>
  </si>
  <si>
    <t>Bước 1: Bước này là I(1) sai phân 1</t>
  </si>
  <si>
    <r>
      <t xml:space="preserve">Tính </t>
    </r>
    <r>
      <rPr>
        <b/>
        <sz val="11"/>
        <color rgb="FFFF0000"/>
        <rFont val="Calibri"/>
        <family val="2"/>
        <scheme val="minor"/>
      </rPr>
      <t>dy</t>
    </r>
    <r>
      <rPr>
        <sz val="11"/>
        <color theme="1"/>
        <rFont val="Calibri"/>
        <family val="2"/>
        <scheme val="minor"/>
      </rPr>
      <t xml:space="preserve"> = y(t) - y(t-1)</t>
    </r>
  </si>
  <si>
    <r>
      <t>tính</t>
    </r>
    <r>
      <rPr>
        <b/>
        <sz val="11"/>
        <color rgb="FFFF0000"/>
        <rFont val="Calibri"/>
        <family val="2"/>
        <scheme val="minor"/>
      </rPr>
      <t xml:space="preserve"> dy_lag1</t>
    </r>
    <r>
      <rPr>
        <sz val="11"/>
        <color theme="1"/>
        <rFont val="Calibri"/>
        <family val="2"/>
        <scheme val="minor"/>
      </rPr>
      <t xml:space="preserve"> trượt dy đi 1 ngày lấy làm giá trị dự báo của dy</t>
    </r>
  </si>
  <si>
    <t>Bước 2: Bước này là AR(1) tự hồi qui</t>
  </si>
  <si>
    <t>Chạy Regression với y = dy và x = dy_lag1</t>
  </si>
  <si>
    <t>Kết quả:</t>
  </si>
  <si>
    <t>Bước 3: Bước này là MA(1)</t>
  </si>
  <si>
    <r>
      <t xml:space="preserve">Tính </t>
    </r>
    <r>
      <rPr>
        <b/>
        <sz val="11"/>
        <color rgb="FFFF0000"/>
        <rFont val="Calibri"/>
        <family val="2"/>
        <scheme val="minor"/>
      </rPr>
      <t>dy_pred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=beta_0 + beta_1*dy_lag1</t>
    </r>
  </si>
  <si>
    <t>Bước 4:</t>
  </si>
  <si>
    <r>
      <t>Tính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e(t)</t>
    </r>
    <r>
      <rPr>
        <sz val="11"/>
        <color theme="1"/>
        <rFont val="Calibri"/>
        <family val="2"/>
        <scheme val="minor"/>
      </rPr>
      <t xml:space="preserve"> = dy - dy_pred</t>
    </r>
  </si>
  <si>
    <r>
      <t xml:space="preserve">Trượt </t>
    </r>
    <r>
      <rPr>
        <b/>
        <sz val="11"/>
        <color rgb="FFFF0000"/>
        <rFont val="Calibri"/>
        <family val="2"/>
        <scheme val="minor"/>
      </rPr>
      <t>e(t-1)</t>
    </r>
  </si>
  <si>
    <t>Chạy  Regression với y = e(t) và x = e(t-1)</t>
  </si>
  <si>
    <t>Bước 5: dự báo với ARIMA(1,1,1)</t>
  </si>
  <si>
    <t>y(t+1) = y(t) + dy(t+1)</t>
  </si>
  <si>
    <t>y_lag1</t>
  </si>
  <si>
    <t>dy_lag1</t>
  </si>
  <si>
    <t>X</t>
  </si>
  <si>
    <t>Y</t>
  </si>
  <si>
    <t>beta_0</t>
  </si>
  <si>
    <t>beta_1</t>
  </si>
  <si>
    <t>theta_0</t>
  </si>
  <si>
    <t>theta_1</t>
  </si>
  <si>
    <t>e_lag1</t>
  </si>
  <si>
    <t>dy(t+1) = beta_0 + beta_1*dy(t) + theta_0 + theta_1*e(t)</t>
  </si>
  <si>
    <t>mean(y)</t>
  </si>
  <si>
    <t>y(t+1) = mean + beta_1*dy(t) + theta_1*e(t)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</si>
</sst>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0" xfId="0" quotePrefix="1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3" fillId="0" borderId="0" xfId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2" fontId="0" fillId="0" borderId="0" xfId="0" applyNumberFormat="1"/>
    <xf numFmtId="0" fontId="2" fillId="4" borderId="0" xfId="0" quotePrefix="1" applyFont="1" applyFill="1"/>
    <xf numFmtId="167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3" borderId="0" xfId="0" applyFill="1"/>
    <xf numFmtId="0" fontId="0" fillId="2" borderId="0" xfId="0" applyFill="1"/>
    <xf numFmtId="165" fontId="0" fillId="0" borderId="0" xfId="0" applyNumberFormat="1" applyFill="1" applyBorder="1" applyAlignment="1"/>
    <xf numFmtId="165" fontId="0" fillId="0" borderId="1" xfId="0" applyNumberFormat="1" applyFill="1" applyBorder="1" applyAlignment="1"/>
    <xf numFmtId="165" fontId="2" fillId="5" borderId="0" xfId="0" applyNumberFormat="1" applyFont="1" applyFill="1"/>
    <xf numFmtId="165" fontId="2" fillId="5" borderId="1" xfId="0" applyNumberFormat="1" applyFont="1" applyFill="1" applyBorder="1"/>
    <xf numFmtId="165" fontId="2" fillId="6" borderId="0" xfId="0" applyNumberFormat="1" applyFont="1" applyFill="1"/>
    <xf numFmtId="165" fontId="2" fillId="6" borderId="1" xfId="0" applyNumberFormat="1" applyFont="1" applyFill="1" applyBorder="1"/>
    <xf numFmtId="167" fontId="0" fillId="7" borderId="0" xfId="0" applyNumberFormat="1" applyFill="1"/>
    <xf numFmtId="2" fontId="0" fillId="8" borderId="3" xfId="0" applyNumberFormat="1" applyFill="1" applyBorder="1"/>
    <xf numFmtId="2" fontId="1" fillId="8" borderId="0" xfId="0" applyNumberFormat="1" applyFont="1" applyFill="1"/>
    <xf numFmtId="165" fontId="1" fillId="8" borderId="0" xfId="0" applyNumberFormat="1" applyFont="1" applyFill="1"/>
    <xf numFmtId="1" fontId="5" fillId="8" borderId="3" xfId="0" applyNumberFormat="1" applyFont="1" applyFill="1" applyBorder="1"/>
    <xf numFmtId="165" fontId="5" fillId="8" borderId="3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data!$C$3</c:f>
              <c:strCache>
                <c:ptCount val="1"/>
                <c:pt idx="0">
                  <c:v>y=Price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data!$C$4:$C$23</c:f>
              <c:numCache>
                <c:formatCode>General</c:formatCode>
                <c:ptCount val="20"/>
                <c:pt idx="0">
                  <c:v>60.8</c:v>
                </c:pt>
                <c:pt idx="1">
                  <c:v>60.5</c:v>
                </c:pt>
                <c:pt idx="2">
                  <c:v>56.5</c:v>
                </c:pt>
                <c:pt idx="3">
                  <c:v>58.5</c:v>
                </c:pt>
                <c:pt idx="4">
                  <c:v>54.5</c:v>
                </c:pt>
                <c:pt idx="5">
                  <c:v>52</c:v>
                </c:pt>
                <c:pt idx="6">
                  <c:v>55.6</c:v>
                </c:pt>
                <c:pt idx="7">
                  <c:v>57.5</c:v>
                </c:pt>
                <c:pt idx="8">
                  <c:v>56.9</c:v>
                </c:pt>
                <c:pt idx="9">
                  <c:v>56.3</c:v>
                </c:pt>
                <c:pt idx="10">
                  <c:v>56</c:v>
                </c:pt>
                <c:pt idx="11">
                  <c:v>56</c:v>
                </c:pt>
                <c:pt idx="12">
                  <c:v>56.6</c:v>
                </c:pt>
                <c:pt idx="13">
                  <c:v>56.7</c:v>
                </c:pt>
                <c:pt idx="14">
                  <c:v>56</c:v>
                </c:pt>
                <c:pt idx="15">
                  <c:v>56.4</c:v>
                </c:pt>
                <c:pt idx="16">
                  <c:v>56.3</c:v>
                </c:pt>
                <c:pt idx="17">
                  <c:v>58.3</c:v>
                </c:pt>
                <c:pt idx="18">
                  <c:v>57.5</c:v>
                </c:pt>
                <c:pt idx="19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6-4AA4-BF98-E9B5149EC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3775"/>
        <c:axId val="9899935"/>
      </c:lineChart>
      <c:catAx>
        <c:axId val="990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935"/>
        <c:crosses val="autoZero"/>
        <c:auto val="1"/>
        <c:lblAlgn val="ctr"/>
        <c:lblOffset val="100"/>
        <c:noMultiLvlLbl val="0"/>
      </c:catAx>
      <c:valAx>
        <c:axId val="98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I(1) = 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data!$E$5:$E$23</c:f>
              <c:numCache>
                <c:formatCode>General</c:formatCode>
                <c:ptCount val="19"/>
                <c:pt idx="0">
                  <c:v>-0.29999999999999716</c:v>
                </c:pt>
                <c:pt idx="1">
                  <c:v>-4</c:v>
                </c:pt>
                <c:pt idx="2">
                  <c:v>2</c:v>
                </c:pt>
                <c:pt idx="3">
                  <c:v>-4</c:v>
                </c:pt>
                <c:pt idx="4">
                  <c:v>-2.5</c:v>
                </c:pt>
                <c:pt idx="5">
                  <c:v>3.6000000000000014</c:v>
                </c:pt>
                <c:pt idx="6">
                  <c:v>1.8999999999999986</c:v>
                </c:pt>
                <c:pt idx="7">
                  <c:v>-0.60000000000000142</c:v>
                </c:pt>
                <c:pt idx="8">
                  <c:v>-0.60000000000000142</c:v>
                </c:pt>
                <c:pt idx="9">
                  <c:v>-0.29999999999999716</c:v>
                </c:pt>
                <c:pt idx="10">
                  <c:v>0</c:v>
                </c:pt>
                <c:pt idx="11">
                  <c:v>0.60000000000000142</c:v>
                </c:pt>
                <c:pt idx="12">
                  <c:v>0.10000000000000142</c:v>
                </c:pt>
                <c:pt idx="13">
                  <c:v>-0.70000000000000284</c:v>
                </c:pt>
                <c:pt idx="14">
                  <c:v>0.39999999999999858</c:v>
                </c:pt>
                <c:pt idx="15">
                  <c:v>-0.10000000000000142</c:v>
                </c:pt>
                <c:pt idx="16">
                  <c:v>2</c:v>
                </c:pt>
                <c:pt idx="17">
                  <c:v>-0.79999999999999716</c:v>
                </c:pt>
                <c:pt idx="18">
                  <c:v>0.10000000000000142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9-4693-B164-956FE555C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975"/>
        <c:axId val="9910015"/>
      </c:lineChart>
      <c:catAx>
        <c:axId val="9910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015"/>
        <c:crosses val="autoZero"/>
        <c:auto val="1"/>
        <c:lblAlgn val="ctr"/>
        <c:lblOffset val="100"/>
        <c:noMultiLvlLbl val="0"/>
      </c:catAx>
      <c:valAx>
        <c:axId val="99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217805</xdr:colOff>
      <xdr:row>0</xdr:row>
      <xdr:rowOff>116840</xdr:rowOff>
    </xdr:from>
    <xdr:to>
      <xdr:col>16</xdr:col>
      <xdr:colOff>522605</xdr:colOff>
      <xdr:row>15</xdr:row>
      <xdr:rowOff>97790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7880B3-3C53-3E80-F7F9-DB747F8AA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184785</xdr:colOff>
      <xdr:row>16</xdr:row>
      <xdr:rowOff>60960</xdr:rowOff>
    </xdr:from>
    <xdr:to>
      <xdr:col>16</xdr:col>
      <xdr:colOff>489585</xdr:colOff>
      <xdr:row>31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E52EDA-B0EE-5B3C-F19F-075E02983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24130</xdr:colOff>
      <xdr:row>48</xdr:row>
      <xdr:rowOff>123191</xdr:rowOff>
    </xdr:from>
    <xdr:to>
      <xdr:col>18</xdr:col>
      <xdr:colOff>682338</xdr:colOff>
      <xdr:row>51</xdr:row>
      <xdr:rowOff>153671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0ECA5-A285-4980-BED4-BA8C7C2DF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780" y="9044941"/>
          <a:ext cx="3706208" cy="58293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37</xdr:row>
      <xdr:rowOff>38100</xdr:rowOff>
    </xdr:from>
    <xdr:to>
      <xdr:col>21</xdr:col>
      <xdr:colOff>2902</xdr:colOff>
      <xdr:row>42</xdr:row>
      <xdr:rowOff>34337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1412D-DB5C-C969-4500-18F0471EC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6100" y="6934200"/>
          <a:ext cx="7038702" cy="916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phieu68.vn/quote/history.php?cP=2&amp;id=vn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E32" sqref="E32"/>
    </sheetView>
  </sheetViews>
  <sheetFormatPr defaultRowHeight="14.4" x14ac:dyDescent="0.3"/>
  <cols>
    <col min="1" max="1" width="12.77734375" customWidth="1"/>
    <col min="5" max="5" width="12.6640625" bestFit="1" customWidth="1"/>
    <col min="16" max="16" width="10" bestFit="1" customWidth="1"/>
  </cols>
  <sheetData>
    <row r="1" spans="1:23" x14ac:dyDescent="0.3">
      <c r="A1" t="s">
        <v>3</v>
      </c>
      <c r="S1" t="s">
        <v>53</v>
      </c>
      <c r="T1" t="s">
        <v>54</v>
      </c>
    </row>
    <row r="2" spans="1:23" x14ac:dyDescent="0.3">
      <c r="A2" t="s">
        <v>5</v>
      </c>
      <c r="B2" s="5" t="s">
        <v>4</v>
      </c>
      <c r="R2" s="2"/>
      <c r="S2" s="2" t="s">
        <v>2</v>
      </c>
      <c r="T2" t="s">
        <v>51</v>
      </c>
      <c r="V2" s="1" t="s">
        <v>6</v>
      </c>
      <c r="W2" s="1" t="s">
        <v>52</v>
      </c>
    </row>
    <row r="3" spans="1:23" x14ac:dyDescent="0.3">
      <c r="A3" s="1" t="s">
        <v>0</v>
      </c>
      <c r="B3" s="1" t="s">
        <v>1</v>
      </c>
      <c r="C3" s="2" t="s">
        <v>2</v>
      </c>
      <c r="D3" t="s">
        <v>51</v>
      </c>
      <c r="E3" s="1" t="s">
        <v>6</v>
      </c>
      <c r="F3" s="1" t="s">
        <v>52</v>
      </c>
      <c r="S3">
        <f>C5</f>
        <v>60.5</v>
      </c>
      <c r="T3">
        <f>D5</f>
        <v>60.8</v>
      </c>
      <c r="V3">
        <f>E6</f>
        <v>-4</v>
      </c>
      <c r="W3">
        <f>F6</f>
        <v>-0.29999999999999716</v>
      </c>
    </row>
    <row r="4" spans="1:23" x14ac:dyDescent="0.3">
      <c r="A4" s="3">
        <v>45748</v>
      </c>
      <c r="B4" s="4">
        <v>1</v>
      </c>
      <c r="C4">
        <v>60.8</v>
      </c>
      <c r="S4">
        <f t="shared" ref="S4:S21" si="0">C6</f>
        <v>56.5</v>
      </c>
      <c r="T4">
        <f t="shared" ref="T4:T21" si="1">D6</f>
        <v>60.5</v>
      </c>
      <c r="V4">
        <f>E7</f>
        <v>2</v>
      </c>
      <c r="W4">
        <f>F7</f>
        <v>-4</v>
      </c>
    </row>
    <row r="5" spans="1:23" x14ac:dyDescent="0.3">
      <c r="A5" s="3">
        <v>45749</v>
      </c>
      <c r="B5" s="4">
        <v>2</v>
      </c>
      <c r="C5">
        <v>60.5</v>
      </c>
      <c r="D5">
        <f>C4</f>
        <v>60.8</v>
      </c>
      <c r="E5">
        <f>C5-C4</f>
        <v>-0.29999999999999716</v>
      </c>
      <c r="S5">
        <f t="shared" si="0"/>
        <v>58.5</v>
      </c>
      <c r="T5">
        <f t="shared" si="1"/>
        <v>56.5</v>
      </c>
      <c r="V5">
        <f>E8</f>
        <v>-4</v>
      </c>
      <c r="W5">
        <f>F8</f>
        <v>2</v>
      </c>
    </row>
    <row r="6" spans="1:23" x14ac:dyDescent="0.3">
      <c r="A6" s="3">
        <v>45750</v>
      </c>
      <c r="B6" s="4">
        <v>3</v>
      </c>
      <c r="C6">
        <v>56.5</v>
      </c>
      <c r="D6">
        <f t="shared" ref="D6:D23" si="2">C5</f>
        <v>60.5</v>
      </c>
      <c r="E6">
        <f t="shared" ref="E6:E23" si="3">C6-C5</f>
        <v>-4</v>
      </c>
      <c r="F6">
        <f>E5</f>
        <v>-0.29999999999999716</v>
      </c>
      <c r="S6">
        <f t="shared" si="0"/>
        <v>54.5</v>
      </c>
      <c r="T6">
        <f t="shared" si="1"/>
        <v>58.5</v>
      </c>
      <c r="V6">
        <f>E9</f>
        <v>-2.5</v>
      </c>
      <c r="W6">
        <f>F9</f>
        <v>-4</v>
      </c>
    </row>
    <row r="7" spans="1:23" x14ac:dyDescent="0.3">
      <c r="A7" s="3">
        <v>45751</v>
      </c>
      <c r="B7" s="4">
        <v>4</v>
      </c>
      <c r="C7">
        <v>58.5</v>
      </c>
      <c r="D7">
        <f t="shared" si="2"/>
        <v>56.5</v>
      </c>
      <c r="E7">
        <f t="shared" si="3"/>
        <v>2</v>
      </c>
      <c r="F7">
        <f t="shared" ref="F7:F23" si="4">E6</f>
        <v>-4</v>
      </c>
      <c r="S7">
        <f t="shared" si="0"/>
        <v>52</v>
      </c>
      <c r="T7">
        <f t="shared" si="1"/>
        <v>54.5</v>
      </c>
      <c r="V7">
        <f>E10</f>
        <v>3.6000000000000014</v>
      </c>
      <c r="W7">
        <f>F10</f>
        <v>-2.5</v>
      </c>
    </row>
    <row r="8" spans="1:23" x14ac:dyDescent="0.3">
      <c r="A8" s="3">
        <v>45755</v>
      </c>
      <c r="B8" s="4">
        <v>5</v>
      </c>
      <c r="C8">
        <v>54.5</v>
      </c>
      <c r="D8">
        <f t="shared" si="2"/>
        <v>58.5</v>
      </c>
      <c r="E8">
        <f t="shared" si="3"/>
        <v>-4</v>
      </c>
      <c r="F8">
        <f t="shared" si="4"/>
        <v>2</v>
      </c>
      <c r="S8">
        <f t="shared" si="0"/>
        <v>55.6</v>
      </c>
      <c r="T8">
        <f t="shared" si="1"/>
        <v>52</v>
      </c>
      <c r="V8">
        <f>E11</f>
        <v>1.8999999999999986</v>
      </c>
      <c r="W8">
        <f>F11</f>
        <v>3.6000000000000014</v>
      </c>
    </row>
    <row r="9" spans="1:23" x14ac:dyDescent="0.3">
      <c r="A9" s="3">
        <v>45756</v>
      </c>
      <c r="B9" s="4">
        <v>6</v>
      </c>
      <c r="C9">
        <v>52</v>
      </c>
      <c r="D9">
        <f t="shared" si="2"/>
        <v>54.5</v>
      </c>
      <c r="E9">
        <f t="shared" si="3"/>
        <v>-2.5</v>
      </c>
      <c r="F9">
        <f t="shared" si="4"/>
        <v>-4</v>
      </c>
      <c r="S9">
        <f t="shared" si="0"/>
        <v>57.5</v>
      </c>
      <c r="T9">
        <f t="shared" si="1"/>
        <v>55.6</v>
      </c>
      <c r="V9">
        <f>E12</f>
        <v>-0.60000000000000142</v>
      </c>
      <c r="W9">
        <f>F12</f>
        <v>1.8999999999999986</v>
      </c>
    </row>
    <row r="10" spans="1:23" x14ac:dyDescent="0.3">
      <c r="A10" s="3">
        <v>45757</v>
      </c>
      <c r="B10" s="4">
        <v>7</v>
      </c>
      <c r="C10">
        <v>55.6</v>
      </c>
      <c r="D10">
        <f t="shared" si="2"/>
        <v>52</v>
      </c>
      <c r="E10">
        <f t="shared" si="3"/>
        <v>3.6000000000000014</v>
      </c>
      <c r="F10">
        <f t="shared" si="4"/>
        <v>-2.5</v>
      </c>
      <c r="S10">
        <f t="shared" si="0"/>
        <v>56.9</v>
      </c>
      <c r="T10">
        <f t="shared" si="1"/>
        <v>57.5</v>
      </c>
      <c r="V10">
        <f>E13</f>
        <v>-0.60000000000000142</v>
      </c>
      <c r="W10">
        <f>F13</f>
        <v>-0.60000000000000142</v>
      </c>
    </row>
    <row r="11" spans="1:23" x14ac:dyDescent="0.3">
      <c r="A11" s="3">
        <v>45758</v>
      </c>
      <c r="B11" s="4">
        <v>8</v>
      </c>
      <c r="C11">
        <v>57.5</v>
      </c>
      <c r="D11">
        <f t="shared" si="2"/>
        <v>55.6</v>
      </c>
      <c r="E11">
        <f t="shared" si="3"/>
        <v>1.8999999999999986</v>
      </c>
      <c r="F11">
        <f t="shared" si="4"/>
        <v>3.6000000000000014</v>
      </c>
      <c r="S11">
        <f t="shared" si="0"/>
        <v>56.3</v>
      </c>
      <c r="T11">
        <f t="shared" si="1"/>
        <v>56.9</v>
      </c>
      <c r="V11">
        <f>E14</f>
        <v>-0.29999999999999716</v>
      </c>
      <c r="W11">
        <f>F14</f>
        <v>-0.60000000000000142</v>
      </c>
    </row>
    <row r="12" spans="1:23" x14ac:dyDescent="0.3">
      <c r="A12" s="3">
        <v>45761</v>
      </c>
      <c r="B12" s="4">
        <v>9</v>
      </c>
      <c r="C12">
        <v>56.9</v>
      </c>
      <c r="D12">
        <f t="shared" si="2"/>
        <v>57.5</v>
      </c>
      <c r="E12">
        <f t="shared" si="3"/>
        <v>-0.60000000000000142</v>
      </c>
      <c r="F12">
        <f t="shared" si="4"/>
        <v>1.8999999999999986</v>
      </c>
      <c r="S12">
        <f t="shared" si="0"/>
        <v>56</v>
      </c>
      <c r="T12">
        <f t="shared" si="1"/>
        <v>56.3</v>
      </c>
      <c r="V12">
        <f>E15</f>
        <v>0</v>
      </c>
      <c r="W12">
        <f>F15</f>
        <v>-0.29999999999999716</v>
      </c>
    </row>
    <row r="13" spans="1:23" x14ac:dyDescent="0.3">
      <c r="A13" s="3">
        <v>45762</v>
      </c>
      <c r="B13" s="4">
        <v>10</v>
      </c>
      <c r="C13">
        <v>56.3</v>
      </c>
      <c r="D13">
        <f t="shared" si="2"/>
        <v>56.9</v>
      </c>
      <c r="E13">
        <f t="shared" si="3"/>
        <v>-0.60000000000000142</v>
      </c>
      <c r="F13">
        <f t="shared" si="4"/>
        <v>-0.60000000000000142</v>
      </c>
      <c r="S13">
        <f t="shared" si="0"/>
        <v>56</v>
      </c>
      <c r="T13">
        <f t="shared" si="1"/>
        <v>56</v>
      </c>
      <c r="V13">
        <f>E16</f>
        <v>0.60000000000000142</v>
      </c>
      <c r="W13">
        <f>F16</f>
        <v>0</v>
      </c>
    </row>
    <row r="14" spans="1:23" x14ac:dyDescent="0.3">
      <c r="A14" s="3">
        <v>45763</v>
      </c>
      <c r="B14" s="4">
        <v>11</v>
      </c>
      <c r="C14">
        <v>56</v>
      </c>
      <c r="D14">
        <f t="shared" si="2"/>
        <v>56.3</v>
      </c>
      <c r="E14">
        <f t="shared" si="3"/>
        <v>-0.29999999999999716</v>
      </c>
      <c r="F14">
        <f t="shared" si="4"/>
        <v>-0.60000000000000142</v>
      </c>
      <c r="S14">
        <f t="shared" si="0"/>
        <v>56.6</v>
      </c>
      <c r="T14">
        <f t="shared" si="1"/>
        <v>56</v>
      </c>
      <c r="V14">
        <f>E17</f>
        <v>0.10000000000000142</v>
      </c>
      <c r="W14">
        <f>F17</f>
        <v>0.60000000000000142</v>
      </c>
    </row>
    <row r="15" spans="1:23" x14ac:dyDescent="0.3">
      <c r="A15" s="3">
        <v>45764</v>
      </c>
      <c r="B15" s="4">
        <v>12</v>
      </c>
      <c r="C15">
        <v>56</v>
      </c>
      <c r="D15">
        <f t="shared" si="2"/>
        <v>56</v>
      </c>
      <c r="E15">
        <f t="shared" si="3"/>
        <v>0</v>
      </c>
      <c r="F15">
        <f t="shared" si="4"/>
        <v>-0.29999999999999716</v>
      </c>
      <c r="S15">
        <f t="shared" si="0"/>
        <v>56.7</v>
      </c>
      <c r="T15">
        <f t="shared" si="1"/>
        <v>56.6</v>
      </c>
      <c r="V15">
        <f>E18</f>
        <v>-0.70000000000000284</v>
      </c>
      <c r="W15">
        <f>F18</f>
        <v>0.10000000000000142</v>
      </c>
    </row>
    <row r="16" spans="1:23" x14ac:dyDescent="0.3">
      <c r="A16" s="3">
        <v>45765</v>
      </c>
      <c r="B16" s="4">
        <v>13</v>
      </c>
      <c r="C16">
        <v>56.6</v>
      </c>
      <c r="D16">
        <f t="shared" si="2"/>
        <v>56</v>
      </c>
      <c r="E16">
        <f t="shared" si="3"/>
        <v>0.60000000000000142</v>
      </c>
      <c r="F16">
        <f t="shared" si="4"/>
        <v>0</v>
      </c>
      <c r="S16">
        <f t="shared" si="0"/>
        <v>56</v>
      </c>
      <c r="T16">
        <f t="shared" si="1"/>
        <v>56.7</v>
      </c>
      <c r="V16">
        <f>E19</f>
        <v>0.39999999999999858</v>
      </c>
      <c r="W16">
        <f>F19</f>
        <v>-0.70000000000000284</v>
      </c>
    </row>
    <row r="17" spans="1:23" x14ac:dyDescent="0.3">
      <c r="A17" s="3">
        <v>45768</v>
      </c>
      <c r="B17" s="4">
        <v>14</v>
      </c>
      <c r="C17">
        <v>56.7</v>
      </c>
      <c r="D17">
        <f t="shared" si="2"/>
        <v>56.6</v>
      </c>
      <c r="E17">
        <f t="shared" si="3"/>
        <v>0.10000000000000142</v>
      </c>
      <c r="F17">
        <f t="shared" si="4"/>
        <v>0.60000000000000142</v>
      </c>
      <c r="S17">
        <f t="shared" si="0"/>
        <v>56.4</v>
      </c>
      <c r="T17">
        <f t="shared" si="1"/>
        <v>56</v>
      </c>
      <c r="V17">
        <f>E20</f>
        <v>-0.10000000000000142</v>
      </c>
      <c r="W17">
        <f>F20</f>
        <v>0.39999999999999858</v>
      </c>
    </row>
    <row r="18" spans="1:23" x14ac:dyDescent="0.3">
      <c r="A18" s="3">
        <v>45769</v>
      </c>
      <c r="B18" s="4">
        <v>15</v>
      </c>
      <c r="C18">
        <v>56</v>
      </c>
      <c r="D18">
        <f t="shared" si="2"/>
        <v>56.7</v>
      </c>
      <c r="E18">
        <f t="shared" si="3"/>
        <v>-0.70000000000000284</v>
      </c>
      <c r="F18">
        <f t="shared" si="4"/>
        <v>0.10000000000000142</v>
      </c>
      <c r="S18">
        <f t="shared" si="0"/>
        <v>56.3</v>
      </c>
      <c r="T18">
        <f t="shared" si="1"/>
        <v>56.4</v>
      </c>
      <c r="V18">
        <f>E21</f>
        <v>2</v>
      </c>
      <c r="W18">
        <f>F21</f>
        <v>-0.10000000000000142</v>
      </c>
    </row>
    <row r="19" spans="1:23" x14ac:dyDescent="0.3">
      <c r="A19" s="3">
        <v>45770</v>
      </c>
      <c r="B19" s="4">
        <v>16</v>
      </c>
      <c r="C19">
        <v>56.4</v>
      </c>
      <c r="D19">
        <f t="shared" si="2"/>
        <v>56</v>
      </c>
      <c r="E19">
        <f t="shared" si="3"/>
        <v>0.39999999999999858</v>
      </c>
      <c r="F19">
        <f t="shared" si="4"/>
        <v>-0.70000000000000284</v>
      </c>
      <c r="S19">
        <f t="shared" si="0"/>
        <v>58.3</v>
      </c>
      <c r="T19">
        <f t="shared" si="1"/>
        <v>56.3</v>
      </c>
      <c r="V19">
        <f>E22</f>
        <v>-0.79999999999999716</v>
      </c>
      <c r="W19">
        <f>F22</f>
        <v>2</v>
      </c>
    </row>
    <row r="20" spans="1:23" x14ac:dyDescent="0.3">
      <c r="A20" s="3">
        <v>45771</v>
      </c>
      <c r="B20" s="4">
        <v>17</v>
      </c>
      <c r="C20">
        <v>56.3</v>
      </c>
      <c r="D20">
        <f t="shared" si="2"/>
        <v>56.4</v>
      </c>
      <c r="E20">
        <f t="shared" si="3"/>
        <v>-0.10000000000000142</v>
      </c>
      <c r="F20">
        <f t="shared" si="4"/>
        <v>0.39999999999999858</v>
      </c>
      <c r="S20">
        <f t="shared" si="0"/>
        <v>57.5</v>
      </c>
      <c r="T20">
        <f t="shared" si="1"/>
        <v>58.3</v>
      </c>
      <c r="V20">
        <f>E23</f>
        <v>0.10000000000000142</v>
      </c>
      <c r="W20">
        <f>F23</f>
        <v>-0.79999999999999716</v>
      </c>
    </row>
    <row r="21" spans="1:23" x14ac:dyDescent="0.3">
      <c r="A21" s="3">
        <v>45772</v>
      </c>
      <c r="B21" s="4">
        <v>18</v>
      </c>
      <c r="C21">
        <v>58.3</v>
      </c>
      <c r="D21">
        <f t="shared" si="2"/>
        <v>56.3</v>
      </c>
      <c r="E21">
        <f t="shared" si="3"/>
        <v>2</v>
      </c>
      <c r="F21">
        <f t="shared" si="4"/>
        <v>-0.10000000000000142</v>
      </c>
      <c r="S21">
        <f t="shared" si="0"/>
        <v>57.6</v>
      </c>
      <c r="T21">
        <f t="shared" si="1"/>
        <v>57.5</v>
      </c>
    </row>
    <row r="22" spans="1:23" x14ac:dyDescent="0.3">
      <c r="A22" s="3">
        <v>45775</v>
      </c>
      <c r="B22" s="4">
        <v>19</v>
      </c>
      <c r="C22">
        <v>57.5</v>
      </c>
      <c r="D22">
        <f t="shared" si="2"/>
        <v>58.3</v>
      </c>
      <c r="E22">
        <f t="shared" si="3"/>
        <v>-0.79999999999999716</v>
      </c>
      <c r="F22">
        <f t="shared" si="4"/>
        <v>2</v>
      </c>
    </row>
    <row r="23" spans="1:23" x14ac:dyDescent="0.3">
      <c r="A23" s="3">
        <v>45776</v>
      </c>
      <c r="B23" s="4">
        <v>20</v>
      </c>
      <c r="C23">
        <v>57.6</v>
      </c>
      <c r="D23">
        <f t="shared" si="2"/>
        <v>57.5</v>
      </c>
      <c r="E23">
        <f t="shared" si="3"/>
        <v>0.10000000000000142</v>
      </c>
      <c r="F23">
        <f t="shared" si="4"/>
        <v>-0.79999999999999716</v>
      </c>
    </row>
  </sheetData>
  <hyperlinks>
    <hyperlink ref="B2" r:id="rId1" xr:uid="{65E28EA4-3B46-4091-BF7F-F9D2EB633DF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4EFB-4F8C-42FE-BE42-13B8FE7FA492}">
  <dimension ref="A1:Z36"/>
  <sheetViews>
    <sheetView workbookViewId="0">
      <selection activeCell="C22" sqref="C22"/>
    </sheetView>
  </sheetViews>
  <sheetFormatPr defaultRowHeight="14.4" x14ac:dyDescent="0.3"/>
  <cols>
    <col min="1" max="1" width="9.6640625" bestFit="1" customWidth="1"/>
    <col min="2" max="2" width="5.88671875" bestFit="1" customWidth="1"/>
    <col min="3" max="3" width="7.5546875" bestFit="1" customWidth="1"/>
    <col min="4" max="4" width="3.21875" customWidth="1"/>
    <col min="5" max="5" width="8.21875" bestFit="1" customWidth="1"/>
    <col min="6" max="6" width="9.44140625" customWidth="1"/>
    <col min="7" max="7" width="8.21875" customWidth="1"/>
    <col min="8" max="8" width="14.21875" customWidth="1"/>
    <col min="10" max="10" width="5.21875" customWidth="1"/>
    <col min="19" max="19" width="15" customWidth="1"/>
  </cols>
  <sheetData>
    <row r="1" spans="1:26" x14ac:dyDescent="0.3">
      <c r="A1" s="1" t="s">
        <v>0</v>
      </c>
      <c r="B1" s="1" t="s">
        <v>1</v>
      </c>
      <c r="C1" s="2" t="s">
        <v>2</v>
      </c>
      <c r="E1" s="10" t="s">
        <v>36</v>
      </c>
      <c r="F1" s="13" t="s">
        <v>8</v>
      </c>
      <c r="G1" s="13"/>
      <c r="H1" s="14" t="s">
        <v>35</v>
      </c>
      <c r="I1" s="14"/>
    </row>
    <row r="2" spans="1:26" x14ac:dyDescent="0.3">
      <c r="A2" s="3">
        <f>data!A4</f>
        <v>45748</v>
      </c>
      <c r="B2">
        <f>data!B4</f>
        <v>1</v>
      </c>
      <c r="C2" s="11">
        <f>data!C4</f>
        <v>60.8</v>
      </c>
      <c r="E2" t="s">
        <v>6</v>
      </c>
      <c r="K2" s="1" t="s">
        <v>37</v>
      </c>
      <c r="Q2" s="1" t="s">
        <v>8</v>
      </c>
      <c r="R2" t="s">
        <v>9</v>
      </c>
    </row>
    <row r="3" spans="1:26" ht="15" thickBot="1" x14ac:dyDescent="0.35">
      <c r="A3" s="3">
        <f>data!A5</f>
        <v>45749</v>
      </c>
      <c r="B3">
        <f>data!B5</f>
        <v>2</v>
      </c>
      <c r="C3" s="11">
        <f>data!C5</f>
        <v>60.5</v>
      </c>
      <c r="E3" s="9">
        <f>C3-C2</f>
        <v>-0.29999999999999716</v>
      </c>
      <c r="F3" s="20" t="s">
        <v>52</v>
      </c>
      <c r="G3" s="20" t="s">
        <v>7</v>
      </c>
      <c r="H3" s="19" t="s">
        <v>34</v>
      </c>
      <c r="I3" s="19" t="s">
        <v>59</v>
      </c>
      <c r="K3" t="s">
        <v>38</v>
      </c>
    </row>
    <row r="4" spans="1:26" ht="15" thickBot="1" x14ac:dyDescent="0.35">
      <c r="A4" s="3">
        <f>data!A6</f>
        <v>45750</v>
      </c>
      <c r="B4">
        <f>data!B6</f>
        <v>3</v>
      </c>
      <c r="C4" s="11">
        <f>data!C6</f>
        <v>56.5</v>
      </c>
      <c r="E4" s="9">
        <f>C4-C3</f>
        <v>-4</v>
      </c>
      <c r="F4" s="9">
        <f>E3</f>
        <v>-0.29999999999999716</v>
      </c>
      <c r="G4" s="7">
        <f>$L$9+$M$9*F4</f>
        <v>-0.14255957740560693</v>
      </c>
      <c r="H4" s="7">
        <f>E4-G4</f>
        <v>-3.8574404225943932</v>
      </c>
      <c r="K4" s="8" t="s">
        <v>39</v>
      </c>
      <c r="R4" s="18" t="s">
        <v>10</v>
      </c>
      <c r="S4" s="18"/>
      <c r="U4" t="s">
        <v>16</v>
      </c>
    </row>
    <row r="5" spans="1:26" x14ac:dyDescent="0.3">
      <c r="A5" s="3">
        <f>data!A7</f>
        <v>45751</v>
      </c>
      <c r="B5">
        <f>data!B7</f>
        <v>4</v>
      </c>
      <c r="C5" s="11">
        <f>data!C7</f>
        <v>58.5</v>
      </c>
      <c r="E5" s="9">
        <f t="shared" ref="E5:E25" si="0">C5-C4</f>
        <v>2</v>
      </c>
      <c r="F5" s="9">
        <f t="shared" ref="F5:F25" si="1">E4</f>
        <v>-4</v>
      </c>
      <c r="G5" s="7">
        <f>$L$9+$M$9*F5</f>
        <v>0.44578906296896614</v>
      </c>
      <c r="H5" s="7">
        <f t="shared" ref="H5:H22" si="2">E5-G5</f>
        <v>1.554210937031034</v>
      </c>
      <c r="I5">
        <f>H4</f>
        <v>-3.8574404225943932</v>
      </c>
      <c r="R5" s="15" t="s">
        <v>11</v>
      </c>
      <c r="S5" s="15">
        <v>0.15894228639215383</v>
      </c>
      <c r="U5" s="17"/>
      <c r="V5" s="17" t="s">
        <v>21</v>
      </c>
      <c r="W5" s="17" t="s">
        <v>22</v>
      </c>
      <c r="X5" s="17" t="s">
        <v>23</v>
      </c>
      <c r="Y5" s="17" t="s">
        <v>24</v>
      </c>
      <c r="Z5" s="17" t="s">
        <v>25</v>
      </c>
    </row>
    <row r="6" spans="1:26" x14ac:dyDescent="0.3">
      <c r="A6" s="3">
        <f>data!A8</f>
        <v>45755</v>
      </c>
      <c r="B6">
        <f>data!B8</f>
        <v>5</v>
      </c>
      <c r="C6" s="11">
        <f>data!C8</f>
        <v>54.5</v>
      </c>
      <c r="E6" s="9">
        <f t="shared" si="0"/>
        <v>-4</v>
      </c>
      <c r="F6" s="9">
        <f t="shared" si="1"/>
        <v>2</v>
      </c>
      <c r="G6" s="7">
        <f>$L$9+$M$9*F6</f>
        <v>-0.50828981331412459</v>
      </c>
      <c r="H6" s="7">
        <f t="shared" si="2"/>
        <v>-3.4917101866858755</v>
      </c>
      <c r="I6">
        <f t="shared" ref="I6:I21" si="3">H5</f>
        <v>1.554210937031034</v>
      </c>
      <c r="K6" s="1" t="s">
        <v>40</v>
      </c>
      <c r="R6" s="15" t="s">
        <v>12</v>
      </c>
      <c r="S6" s="15">
        <v>2.5262650403565446E-2</v>
      </c>
      <c r="U6" s="15" t="s">
        <v>17</v>
      </c>
      <c r="V6" s="15">
        <v>1</v>
      </c>
      <c r="W6" s="15">
        <v>1.6381004261960825</v>
      </c>
      <c r="X6" s="15">
        <v>1.6381004261960825</v>
      </c>
      <c r="Y6" s="15">
        <v>0.41467827884547254</v>
      </c>
      <c r="Z6" s="15">
        <v>0.5287282593471323</v>
      </c>
    </row>
    <row r="7" spans="1:26" x14ac:dyDescent="0.3">
      <c r="A7" s="3">
        <f>data!A9</f>
        <v>45756</v>
      </c>
      <c r="B7">
        <f>data!B9</f>
        <v>6</v>
      </c>
      <c r="C7" s="11">
        <f>data!C9</f>
        <v>52</v>
      </c>
      <c r="E7" s="9">
        <f t="shared" si="0"/>
        <v>-2.5</v>
      </c>
      <c r="F7" s="9">
        <f t="shared" si="1"/>
        <v>-4</v>
      </c>
      <c r="G7" s="7">
        <f>$L$9+$M$9*F7</f>
        <v>0.44578906296896614</v>
      </c>
      <c r="H7" s="7">
        <f t="shared" si="2"/>
        <v>-2.945789062968966</v>
      </c>
      <c r="I7">
        <f t="shared" si="3"/>
        <v>-3.4917101866858755</v>
      </c>
      <c r="K7" t="s">
        <v>41</v>
      </c>
      <c r="R7" s="15" t="s">
        <v>13</v>
      </c>
      <c r="S7" s="15">
        <v>-3.5658433946211709E-2</v>
      </c>
      <c r="U7" s="15" t="s">
        <v>18</v>
      </c>
      <c r="V7" s="15">
        <v>16</v>
      </c>
      <c r="W7" s="15">
        <v>63.204677351581701</v>
      </c>
      <c r="X7" s="15">
        <v>3.9502923344738563</v>
      </c>
      <c r="Y7" s="15"/>
      <c r="Z7" s="15"/>
    </row>
    <row r="8" spans="1:26" ht="15" thickBot="1" x14ac:dyDescent="0.35">
      <c r="A8" s="3">
        <f>data!A10</f>
        <v>45757</v>
      </c>
      <c r="B8">
        <f>data!B10</f>
        <v>7</v>
      </c>
      <c r="C8" s="11">
        <f>data!C10</f>
        <v>55.6</v>
      </c>
      <c r="E8" s="9">
        <f t="shared" si="0"/>
        <v>3.6000000000000014</v>
      </c>
      <c r="F8" s="9">
        <f t="shared" si="1"/>
        <v>-2.5</v>
      </c>
      <c r="G8" s="7">
        <f>$L$9+$M$9*F8</f>
        <v>0.20726934389819343</v>
      </c>
      <c r="H8" s="7">
        <f t="shared" si="2"/>
        <v>3.3927306561018078</v>
      </c>
      <c r="I8">
        <f t="shared" si="3"/>
        <v>-2.945789062968966</v>
      </c>
      <c r="K8" t="s">
        <v>42</v>
      </c>
      <c r="L8" t="s">
        <v>55</v>
      </c>
      <c r="M8" t="s">
        <v>56</v>
      </c>
      <c r="R8" s="15" t="s">
        <v>14</v>
      </c>
      <c r="S8" s="15">
        <v>1.9875342347929146</v>
      </c>
      <c r="U8" s="16" t="s">
        <v>19</v>
      </c>
      <c r="V8" s="16">
        <v>17</v>
      </c>
      <c r="W8" s="16">
        <v>64.842777777777783</v>
      </c>
      <c r="X8" s="16"/>
      <c r="Y8" s="16"/>
      <c r="Z8" s="16"/>
    </row>
    <row r="9" spans="1:26" ht="15" thickBot="1" x14ac:dyDescent="0.35">
      <c r="A9" s="3">
        <f>data!A11</f>
        <v>45758</v>
      </c>
      <c r="B9">
        <f>data!B11</f>
        <v>8</v>
      </c>
      <c r="C9" s="11">
        <f>data!C11</f>
        <v>57.5</v>
      </c>
      <c r="E9" s="9">
        <f t="shared" si="0"/>
        <v>1.8999999999999986</v>
      </c>
      <c r="F9" s="9">
        <f t="shared" si="1"/>
        <v>3.6000000000000014</v>
      </c>
      <c r="G9" s="7">
        <f>$L$9+$M$9*F9</f>
        <v>-0.76271084698961567</v>
      </c>
      <c r="H9" s="7">
        <f t="shared" si="2"/>
        <v>2.6627108469896141</v>
      </c>
      <c r="I9">
        <f t="shared" si="3"/>
        <v>3.3927306561018078</v>
      </c>
      <c r="L9" s="23">
        <f>S12</f>
        <v>-0.19026352121976101</v>
      </c>
      <c r="M9" s="24">
        <f>S13</f>
        <v>-0.15901314604718178</v>
      </c>
      <c r="R9" s="16" t="s">
        <v>15</v>
      </c>
      <c r="S9" s="16">
        <v>18</v>
      </c>
    </row>
    <row r="10" spans="1:26" ht="15" thickBot="1" x14ac:dyDescent="0.35">
      <c r="A10" s="3">
        <f>data!A12</f>
        <v>45761</v>
      </c>
      <c r="B10">
        <f>data!B12</f>
        <v>9</v>
      </c>
      <c r="C10" s="11">
        <f>data!C12</f>
        <v>56.9</v>
      </c>
      <c r="E10" s="9">
        <f t="shared" si="0"/>
        <v>-0.60000000000000142</v>
      </c>
      <c r="F10" s="9">
        <f t="shared" si="1"/>
        <v>1.8999999999999986</v>
      </c>
      <c r="G10" s="7">
        <f>$L$9+$M$9*F10</f>
        <v>-0.49238849870940615</v>
      </c>
      <c r="H10" s="7">
        <f t="shared" si="2"/>
        <v>-0.10761150129059527</v>
      </c>
      <c r="I10">
        <f t="shared" si="3"/>
        <v>2.6627108469896141</v>
      </c>
    </row>
    <row r="11" spans="1:26" x14ac:dyDescent="0.3">
      <c r="A11" s="3">
        <f>data!A13</f>
        <v>45762</v>
      </c>
      <c r="B11">
        <f>data!B13</f>
        <v>10</v>
      </c>
      <c r="C11" s="11">
        <f>data!C13</f>
        <v>56.3</v>
      </c>
      <c r="E11" s="9">
        <f t="shared" si="0"/>
        <v>-0.60000000000000142</v>
      </c>
      <c r="F11" s="9">
        <f t="shared" si="1"/>
        <v>-0.60000000000000142</v>
      </c>
      <c r="G11" s="7">
        <f>$L$9+$M$9*F11</f>
        <v>-9.4855633591451716E-2</v>
      </c>
      <c r="H11" s="7">
        <f t="shared" si="2"/>
        <v>-0.50514436640854976</v>
      </c>
      <c r="I11">
        <f t="shared" si="3"/>
        <v>-0.10761150129059527</v>
      </c>
      <c r="K11" s="1" t="s">
        <v>43</v>
      </c>
      <c r="R11" s="17"/>
      <c r="S11" s="17" t="s">
        <v>26</v>
      </c>
      <c r="T11" s="17" t="s">
        <v>14</v>
      </c>
      <c r="U11" s="17" t="s">
        <v>27</v>
      </c>
      <c r="V11" s="17" t="s">
        <v>28</v>
      </c>
      <c r="W11" s="17" t="s">
        <v>29</v>
      </c>
      <c r="X11" s="17" t="s">
        <v>30</v>
      </c>
      <c r="Y11" s="17" t="s">
        <v>31</v>
      </c>
      <c r="Z11" s="17" t="s">
        <v>32</v>
      </c>
    </row>
    <row r="12" spans="1:26" x14ac:dyDescent="0.3">
      <c r="A12" s="3">
        <f>data!A14</f>
        <v>45763</v>
      </c>
      <c r="B12">
        <f>data!B14</f>
        <v>11</v>
      </c>
      <c r="C12" s="12">
        <f>data!C14</f>
        <v>56</v>
      </c>
      <c r="E12" s="9">
        <f t="shared" si="0"/>
        <v>-0.29999999999999716</v>
      </c>
      <c r="F12" s="9">
        <f t="shared" si="1"/>
        <v>-0.60000000000000142</v>
      </c>
      <c r="G12" s="7">
        <f>$L$9+$M$9*F12</f>
        <v>-9.4855633591451716E-2</v>
      </c>
      <c r="H12" s="7">
        <f t="shared" si="2"/>
        <v>-0.20514436640854544</v>
      </c>
      <c r="I12">
        <f t="shared" si="3"/>
        <v>-0.50514436640854976</v>
      </c>
      <c r="K12" s="8" t="s">
        <v>44</v>
      </c>
      <c r="R12" s="15" t="s">
        <v>20</v>
      </c>
      <c r="S12" s="21">
        <v>-0.19026352121976101</v>
      </c>
      <c r="T12" s="15">
        <v>0.47064863405240476</v>
      </c>
      <c r="U12" s="15">
        <v>-0.40425809713191679</v>
      </c>
      <c r="V12" s="15">
        <v>0.69137527969517887</v>
      </c>
      <c r="W12" s="15">
        <v>-1.1879940546186991</v>
      </c>
      <c r="X12" s="15">
        <v>0.80746701217917705</v>
      </c>
      <c r="Y12" s="15">
        <v>-1.1879940546186991</v>
      </c>
      <c r="Z12" s="15">
        <v>0.80746701217917705</v>
      </c>
    </row>
    <row r="13" spans="1:26" ht="15" thickBot="1" x14ac:dyDescent="0.35">
      <c r="A13" s="3">
        <f>data!A15</f>
        <v>45764</v>
      </c>
      <c r="B13">
        <f>data!B15</f>
        <v>12</v>
      </c>
      <c r="C13" s="12">
        <f>data!C15</f>
        <v>56</v>
      </c>
      <c r="E13" s="9">
        <f t="shared" si="0"/>
        <v>0</v>
      </c>
      <c r="F13" s="9">
        <f t="shared" si="1"/>
        <v>-0.29999999999999716</v>
      </c>
      <c r="G13" s="7">
        <f>$L$9+$M$9*F13</f>
        <v>-0.14255957740560693</v>
      </c>
      <c r="H13" s="7">
        <f t="shared" si="2"/>
        <v>0.14255957740560693</v>
      </c>
      <c r="I13">
        <f t="shared" si="3"/>
        <v>-0.20514436640854544</v>
      </c>
      <c r="R13" s="16" t="s">
        <v>33</v>
      </c>
      <c r="S13" s="22">
        <v>-0.15901314604718178</v>
      </c>
      <c r="T13" s="16">
        <v>0.24693200711449162</v>
      </c>
      <c r="U13" s="16">
        <v>-0.64395518387964301</v>
      </c>
      <c r="V13" s="16">
        <v>0.52872825934713608</v>
      </c>
      <c r="W13" s="16">
        <v>-0.68248561647653316</v>
      </c>
      <c r="X13" s="16">
        <v>0.36445932438216966</v>
      </c>
      <c r="Y13" s="16">
        <v>-0.68248561647653316</v>
      </c>
      <c r="Z13" s="16">
        <v>0.36445932438216966</v>
      </c>
    </row>
    <row r="14" spans="1:26" x14ac:dyDescent="0.3">
      <c r="A14" s="3">
        <f>data!A16</f>
        <v>45765</v>
      </c>
      <c r="B14">
        <f>data!B16</f>
        <v>13</v>
      </c>
      <c r="C14" s="12">
        <f>data!C16</f>
        <v>56.6</v>
      </c>
      <c r="E14" s="9">
        <f t="shared" si="0"/>
        <v>0.60000000000000142</v>
      </c>
      <c r="F14" s="9">
        <f t="shared" si="1"/>
        <v>0</v>
      </c>
      <c r="G14" s="7">
        <f>$L$9+$M$9*F14</f>
        <v>-0.19026352121976101</v>
      </c>
      <c r="H14" s="7">
        <f t="shared" si="2"/>
        <v>0.7902635212197624</v>
      </c>
      <c r="I14">
        <f t="shared" si="3"/>
        <v>0.14255957740560693</v>
      </c>
      <c r="K14" s="1" t="s">
        <v>45</v>
      </c>
    </row>
    <row r="15" spans="1:26" x14ac:dyDescent="0.3">
      <c r="A15" s="3">
        <f>data!A17</f>
        <v>45768</v>
      </c>
      <c r="B15">
        <f>data!B17</f>
        <v>14</v>
      </c>
      <c r="C15" s="12">
        <f>data!C17</f>
        <v>56.7</v>
      </c>
      <c r="E15" s="9">
        <f t="shared" si="0"/>
        <v>0.10000000000000142</v>
      </c>
      <c r="F15" s="9">
        <f t="shared" si="1"/>
        <v>0.60000000000000142</v>
      </c>
      <c r="G15" s="7">
        <f>$L$9+$M$9*F15</f>
        <v>-0.2856714088480703</v>
      </c>
      <c r="H15" s="7">
        <f t="shared" si="2"/>
        <v>0.38567140884807172</v>
      </c>
      <c r="I15">
        <f t="shared" si="3"/>
        <v>0.7902635212197624</v>
      </c>
      <c r="K15" t="s">
        <v>46</v>
      </c>
    </row>
    <row r="16" spans="1:26" x14ac:dyDescent="0.3">
      <c r="A16" s="3">
        <f>data!A18</f>
        <v>45769</v>
      </c>
      <c r="B16">
        <f>data!B18</f>
        <v>15</v>
      </c>
      <c r="C16" s="12">
        <f>data!C18</f>
        <v>56</v>
      </c>
      <c r="E16" s="9">
        <f t="shared" si="0"/>
        <v>-0.70000000000000284</v>
      </c>
      <c r="F16" s="9">
        <f t="shared" si="1"/>
        <v>0.10000000000000142</v>
      </c>
      <c r="G16" s="7">
        <f>$L$9+$M$9*F16</f>
        <v>-0.20616483582447942</v>
      </c>
      <c r="H16" s="7">
        <f t="shared" si="2"/>
        <v>-0.49383516417552342</v>
      </c>
      <c r="I16">
        <f t="shared" si="3"/>
        <v>0.38567140884807172</v>
      </c>
      <c r="K16" t="s">
        <v>47</v>
      </c>
      <c r="Q16" s="1" t="s">
        <v>35</v>
      </c>
      <c r="R16" t="s">
        <v>9</v>
      </c>
    </row>
    <row r="17" spans="1:26" ht="15" thickBot="1" x14ac:dyDescent="0.35">
      <c r="A17" s="3">
        <f>data!A19</f>
        <v>45770</v>
      </c>
      <c r="B17">
        <f>data!B19</f>
        <v>16</v>
      </c>
      <c r="C17" s="12">
        <f>data!C19</f>
        <v>56.4</v>
      </c>
      <c r="E17" s="9">
        <f t="shared" si="0"/>
        <v>0.39999999999999858</v>
      </c>
      <c r="F17" s="9">
        <f t="shared" si="1"/>
        <v>-0.70000000000000284</v>
      </c>
      <c r="G17" s="7">
        <f>$L$9+$M$9*F17</f>
        <v>-7.8954318986733302E-2</v>
      </c>
      <c r="H17" s="7">
        <f t="shared" si="2"/>
        <v>0.47895431898673191</v>
      </c>
      <c r="I17">
        <f t="shared" si="3"/>
        <v>-0.49383516417552342</v>
      </c>
      <c r="K17" t="s">
        <v>48</v>
      </c>
    </row>
    <row r="18" spans="1:26" ht="15" thickBot="1" x14ac:dyDescent="0.35">
      <c r="A18" s="3">
        <f>data!A20</f>
        <v>45771</v>
      </c>
      <c r="B18">
        <f>data!B20</f>
        <v>17</v>
      </c>
      <c r="C18" s="12">
        <f>data!C20</f>
        <v>56.3</v>
      </c>
      <c r="E18" s="9">
        <f t="shared" si="0"/>
        <v>-0.10000000000000142</v>
      </c>
      <c r="F18" s="9">
        <f t="shared" si="1"/>
        <v>0.39999999999999858</v>
      </c>
      <c r="G18" s="7">
        <f>$L$9+$M$9*F18</f>
        <v>-0.25386877963863352</v>
      </c>
      <c r="H18" s="7">
        <f t="shared" si="2"/>
        <v>0.1538687796386321</v>
      </c>
      <c r="I18">
        <f t="shared" si="3"/>
        <v>0.47895431898673191</v>
      </c>
      <c r="K18" t="s">
        <v>42</v>
      </c>
      <c r="L18" t="s">
        <v>57</v>
      </c>
      <c r="M18" t="s">
        <v>58</v>
      </c>
      <c r="R18" s="18" t="s">
        <v>10</v>
      </c>
      <c r="S18" s="18"/>
      <c r="U18" t="s">
        <v>16</v>
      </c>
    </row>
    <row r="19" spans="1:26" ht="15" thickBot="1" x14ac:dyDescent="0.35">
      <c r="A19" s="3">
        <f>data!A21</f>
        <v>45772</v>
      </c>
      <c r="B19">
        <f>data!B21</f>
        <v>18</v>
      </c>
      <c r="C19" s="12">
        <f>data!C21</f>
        <v>58.3</v>
      </c>
      <c r="E19" s="9">
        <f t="shared" si="0"/>
        <v>2</v>
      </c>
      <c r="F19" s="9">
        <f t="shared" si="1"/>
        <v>-0.10000000000000142</v>
      </c>
      <c r="G19" s="7">
        <f>$L$9+$M$9*F19</f>
        <v>-0.17436220661504259</v>
      </c>
      <c r="H19" s="7">
        <f t="shared" si="2"/>
        <v>2.1743622066150428</v>
      </c>
      <c r="I19">
        <f t="shared" si="3"/>
        <v>0.1538687796386321</v>
      </c>
      <c r="L19" s="25">
        <f>S26</f>
        <v>0.22652862003091939</v>
      </c>
      <c r="M19" s="26">
        <f>S27</f>
        <v>-3.9581497398492753E-2</v>
      </c>
      <c r="R19" s="15" t="s">
        <v>11</v>
      </c>
      <c r="S19" s="15">
        <v>4.567242436591519E-2</v>
      </c>
      <c r="U19" s="17"/>
      <c r="V19" s="17" t="s">
        <v>21</v>
      </c>
      <c r="W19" s="17" t="s">
        <v>22</v>
      </c>
      <c r="X19" s="17" t="s">
        <v>23</v>
      </c>
      <c r="Y19" s="17" t="s">
        <v>24</v>
      </c>
      <c r="Z19" s="17" t="s">
        <v>25</v>
      </c>
    </row>
    <row r="20" spans="1:26" x14ac:dyDescent="0.3">
      <c r="A20" s="3">
        <f>data!A22</f>
        <v>45775</v>
      </c>
      <c r="B20">
        <f>data!B22</f>
        <v>19</v>
      </c>
      <c r="C20" s="12">
        <f>data!C22</f>
        <v>57.5</v>
      </c>
      <c r="E20" s="9">
        <f t="shared" si="0"/>
        <v>-0.79999999999999716</v>
      </c>
      <c r="F20" s="9">
        <f t="shared" si="1"/>
        <v>2</v>
      </c>
      <c r="G20" s="7">
        <f>$L$9+$M$9*F20</f>
        <v>-0.50828981331412459</v>
      </c>
      <c r="H20" s="7">
        <f t="shared" si="2"/>
        <v>-0.29171018668587256</v>
      </c>
      <c r="I20">
        <f t="shared" si="3"/>
        <v>2.1743622066150428</v>
      </c>
      <c r="R20" s="15" t="s">
        <v>12</v>
      </c>
      <c r="S20" s="15">
        <v>2.0859703474602437E-3</v>
      </c>
      <c r="U20" s="15" t="s">
        <v>17</v>
      </c>
      <c r="V20" s="15">
        <v>1</v>
      </c>
      <c r="W20" s="15">
        <v>9.8978345211307328E-2</v>
      </c>
      <c r="X20" s="15">
        <v>9.8978345211307328E-2</v>
      </c>
      <c r="Y20" s="15">
        <v>3.1354960730232702E-2</v>
      </c>
      <c r="Z20" s="15">
        <v>0.86181963605752743</v>
      </c>
    </row>
    <row r="21" spans="1:26" x14ac:dyDescent="0.3">
      <c r="A21" s="3">
        <f>data!A23</f>
        <v>45776</v>
      </c>
      <c r="B21">
        <f>data!B23</f>
        <v>20</v>
      </c>
      <c r="C21" s="12">
        <f>data!C23</f>
        <v>57.6</v>
      </c>
      <c r="E21" s="9">
        <f t="shared" si="0"/>
        <v>0.10000000000000142</v>
      </c>
      <c r="F21" s="9">
        <f t="shared" si="1"/>
        <v>-0.79999999999999716</v>
      </c>
      <c r="G21" s="7">
        <f>$L$9+$M$9*F21</f>
        <v>-6.3053004382016026E-2</v>
      </c>
      <c r="H21" s="7">
        <f t="shared" si="2"/>
        <v>0.16305300438201745</v>
      </c>
      <c r="I21">
        <f t="shared" si="3"/>
        <v>-0.29171018668587256</v>
      </c>
      <c r="K21" s="1" t="s">
        <v>49</v>
      </c>
      <c r="R21" s="15" t="s">
        <v>13</v>
      </c>
      <c r="S21" s="15">
        <v>-6.4441631629375745E-2</v>
      </c>
      <c r="U21" s="15" t="s">
        <v>18</v>
      </c>
      <c r="V21" s="15">
        <v>15</v>
      </c>
      <c r="W21" s="15">
        <v>47.35056729757197</v>
      </c>
      <c r="X21" s="15">
        <v>3.1567044865047982</v>
      </c>
      <c r="Y21" s="15"/>
      <c r="Z21" s="15"/>
    </row>
    <row r="22" spans="1:26" ht="15" thickBot="1" x14ac:dyDescent="0.35">
      <c r="B22" s="31">
        <f>B21+1</f>
        <v>21</v>
      </c>
      <c r="C22" s="32">
        <f>$L$22+$M$9*E21+$M$19*H21</f>
        <v>56.802644803326523</v>
      </c>
      <c r="D22" s="28"/>
      <c r="E22" s="29">
        <f t="shared" si="0"/>
        <v>-0.79735519667347887</v>
      </c>
      <c r="F22" s="30">
        <f t="shared" si="1"/>
        <v>0.10000000000000142</v>
      </c>
      <c r="G22" s="30">
        <f>$L$9+$M$9*F22</f>
        <v>-0.20616483582447942</v>
      </c>
      <c r="H22" s="30">
        <f t="shared" si="2"/>
        <v>-0.59119036084899945</v>
      </c>
      <c r="K22" s="1" t="s">
        <v>61</v>
      </c>
      <c r="L22" s="27">
        <f>AVERAGE(C2:D21)</f>
        <v>56.825000000000003</v>
      </c>
      <c r="R22" s="15" t="s">
        <v>14</v>
      </c>
      <c r="S22" s="15">
        <v>1.7767117060752422</v>
      </c>
      <c r="U22" s="16" t="s">
        <v>19</v>
      </c>
      <c r="V22" s="16">
        <v>16</v>
      </c>
      <c r="W22" s="16">
        <v>47.449545642783278</v>
      </c>
      <c r="X22" s="16"/>
      <c r="Y22" s="16"/>
      <c r="Z22" s="16"/>
    </row>
    <row r="23" spans="1:26" ht="15" thickBot="1" x14ac:dyDescent="0.35">
      <c r="B23" s="31">
        <f t="shared" ref="B23:B25" si="4">B22+1</f>
        <v>22</v>
      </c>
      <c r="C23" s="32">
        <f t="shared" ref="C23:C25" si="5">$L$22+$M$9*E22+$M$19*H22</f>
        <v>56.975190158070077</v>
      </c>
      <c r="D23" s="28"/>
      <c r="E23" s="29">
        <f t="shared" si="0"/>
        <v>0.17254535474355492</v>
      </c>
      <c r="F23" s="30">
        <f t="shared" si="1"/>
        <v>-0.79735519667347887</v>
      </c>
      <c r="G23" s="30">
        <f t="shared" ref="G23:G25" si="6">$L$9+$M$9*F23</f>
        <v>-6.3473562879641759E-2</v>
      </c>
      <c r="H23" s="30">
        <f t="shared" ref="H23:H25" si="7">E23-G23</f>
        <v>0.23601891762319668</v>
      </c>
      <c r="K23" s="1" t="s">
        <v>62</v>
      </c>
      <c r="R23" s="16" t="s">
        <v>15</v>
      </c>
      <c r="S23" s="16">
        <v>17</v>
      </c>
    </row>
    <row r="24" spans="1:26" ht="15" thickBot="1" x14ac:dyDescent="0.35">
      <c r="B24" s="31">
        <f t="shared" si="4"/>
        <v>23</v>
      </c>
      <c r="C24" s="32">
        <f t="shared" si="5"/>
        <v>56.788221038132505</v>
      </c>
      <c r="D24" s="28"/>
      <c r="E24" s="29">
        <f t="shared" si="0"/>
        <v>-0.18696911993757226</v>
      </c>
      <c r="F24" s="30">
        <f t="shared" si="1"/>
        <v>0.17254535474355492</v>
      </c>
      <c r="G24" s="30">
        <f t="shared" si="6"/>
        <v>-0.21770050091336068</v>
      </c>
      <c r="H24" s="30">
        <f t="shared" si="7"/>
        <v>3.0731380975788425E-2</v>
      </c>
    </row>
    <row r="25" spans="1:26" x14ac:dyDescent="0.3">
      <c r="B25" s="31">
        <f t="shared" si="4"/>
        <v>24</v>
      </c>
      <c r="C25" s="32">
        <f t="shared" si="5"/>
        <v>56.853514153898807</v>
      </c>
      <c r="D25" s="28"/>
      <c r="E25" s="29">
        <f t="shared" si="0"/>
        <v>6.5293115766301923E-2</v>
      </c>
      <c r="F25" s="30">
        <f t="shared" si="1"/>
        <v>-0.18696911993757226</v>
      </c>
      <c r="G25" s="30">
        <f t="shared" si="6"/>
        <v>-0.16053297324481478</v>
      </c>
      <c r="H25" s="30">
        <f t="shared" si="7"/>
        <v>0.2258260890111167</v>
      </c>
      <c r="R25" s="17"/>
      <c r="S25" s="17" t="s">
        <v>26</v>
      </c>
      <c r="T25" s="17" t="s">
        <v>14</v>
      </c>
      <c r="U25" s="17" t="s">
        <v>27</v>
      </c>
      <c r="V25" s="17" t="s">
        <v>28</v>
      </c>
      <c r="W25" s="17" t="s">
        <v>29</v>
      </c>
      <c r="X25" s="17" t="s">
        <v>30</v>
      </c>
      <c r="Y25" s="17" t="s">
        <v>31</v>
      </c>
      <c r="Z25" s="17" t="s">
        <v>32</v>
      </c>
    </row>
    <row r="26" spans="1:26" x14ac:dyDescent="0.3">
      <c r="R26" s="15" t="s">
        <v>20</v>
      </c>
      <c r="S26" s="21">
        <v>0.22652862003091939</v>
      </c>
      <c r="T26" s="15">
        <v>0.4309212176479883</v>
      </c>
      <c r="U26" s="15">
        <v>0.5256845352552737</v>
      </c>
      <c r="V26" s="15">
        <v>0.60679213900757478</v>
      </c>
      <c r="W26" s="15">
        <v>-0.69195821349694975</v>
      </c>
      <c r="X26" s="15">
        <v>1.1450154535587886</v>
      </c>
      <c r="Y26" s="15">
        <v>-0.69195821349694975</v>
      </c>
      <c r="Z26" s="15">
        <v>1.1450154535587886</v>
      </c>
    </row>
    <row r="27" spans="1:26" ht="15" thickBot="1" x14ac:dyDescent="0.35">
      <c r="A27" s="3">
        <v>45776</v>
      </c>
      <c r="B27">
        <v>20</v>
      </c>
      <c r="C27">
        <v>57.6</v>
      </c>
      <c r="E27">
        <v>0.100000000000001</v>
      </c>
      <c r="G27">
        <f>E27*L35</f>
        <v>4.1220000000000416E-2</v>
      </c>
      <c r="H27">
        <f>E27-G27</f>
        <v>5.8780000000000589E-2</v>
      </c>
      <c r="R27" s="16" t="s">
        <v>33</v>
      </c>
      <c r="S27" s="22">
        <v>-3.9581497398492753E-2</v>
      </c>
      <c r="T27" s="16">
        <v>0.22353168366373413</v>
      </c>
      <c r="U27" s="16">
        <v>-0.17707332021010708</v>
      </c>
      <c r="V27" s="16">
        <v>0.86181963605753087</v>
      </c>
      <c r="W27" s="16">
        <v>-0.51602800296177009</v>
      </c>
      <c r="X27" s="16">
        <v>0.43686500816478457</v>
      </c>
      <c r="Y27" s="16">
        <v>-0.51602800296177009</v>
      </c>
      <c r="Z27" s="16">
        <v>0.43686500816478457</v>
      </c>
    </row>
    <row r="28" spans="1:26" x14ac:dyDescent="0.3">
      <c r="C28" s="9">
        <f>C27+E28</f>
        <v>57.58246939</v>
      </c>
      <c r="E28" s="6">
        <f>$L$35*E27+$L$36*H27</f>
        <v>-1.7530610000000175E-2</v>
      </c>
    </row>
    <row r="30" spans="1:26" x14ac:dyDescent="0.3">
      <c r="K30" s="8" t="s">
        <v>60</v>
      </c>
    </row>
    <row r="31" spans="1:26" x14ac:dyDescent="0.3">
      <c r="K31" t="s">
        <v>50</v>
      </c>
    </row>
    <row r="35" spans="12:12" x14ac:dyDescent="0.3">
      <c r="L35" s="7">
        <v>0.41220000000000001</v>
      </c>
    </row>
    <row r="36" spans="12:12" x14ac:dyDescent="0.3">
      <c r="L36" s="7">
        <v>-0.99950000000000006</v>
      </c>
    </row>
  </sheetData>
  <mergeCells count="2">
    <mergeCell ref="F1:G1"/>
    <mergeCell ref="H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BuuHQ</dc:creator>
  <cp:lastModifiedBy>BOO HUYNH</cp:lastModifiedBy>
  <dcterms:created xsi:type="dcterms:W3CDTF">2015-06-05T18:17:20Z</dcterms:created>
  <dcterms:modified xsi:type="dcterms:W3CDTF">2025-05-22T23:53:04Z</dcterms:modified>
</cp:coreProperties>
</file>