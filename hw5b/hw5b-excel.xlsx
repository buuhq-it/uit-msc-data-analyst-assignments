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D:\learning-area\uit-msc\subjects\phan-tich-du-lieu-kinh-doanh\assignments\hw5b\"/>
    </mc:Choice>
  </mc:AlternateContent>
  <xr:revisionPtr revIDLastSave="0" documentId="13_ncr:1_{68905BB7-D4C4-4336-A447-644721B2403A}" xr6:coauthVersionLast="47" xr6:coauthVersionMax="47" xr10:uidLastSave="{00000000-0000-0000-0000-000000000000}"/>
  <bookViews>
    <workbookView xWindow="-9900" yWindow="-18270" windowWidth="21730" windowHeight="15410" activeTab="1" xr2:uid="{00000000-000D-0000-FFFF-FFFF00000000}"/>
  </bookViews>
  <sheets>
    <sheet name="data" sheetId="1" r:id="rId1"/>
    <sheet name="arim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G27" i="2"/>
  <c r="H27" i="2" s="1"/>
  <c r="E28" i="2" s="1"/>
  <c r="E3" i="2"/>
  <c r="E4" i="2"/>
  <c r="E22" i="2"/>
  <c r="B23" i="2"/>
  <c r="B24" i="2" s="1"/>
  <c r="B25" i="2" s="1"/>
  <c r="A3" i="2" l="1"/>
  <c r="B3" i="2"/>
  <c r="C3" i="2"/>
  <c r="A4" i="2"/>
  <c r="B4" i="2"/>
  <c r="C4" i="2"/>
  <c r="A5" i="2"/>
  <c r="B5" i="2"/>
  <c r="C5" i="2"/>
  <c r="E5" i="2" s="1"/>
  <c r="A6" i="2"/>
  <c r="B6" i="2"/>
  <c r="C6" i="2"/>
  <c r="E6" i="2" s="1"/>
  <c r="A7" i="2"/>
  <c r="B7" i="2"/>
  <c r="C7" i="2"/>
  <c r="A8" i="2"/>
  <c r="B8" i="2"/>
  <c r="C8" i="2"/>
  <c r="E8" i="2" s="1"/>
  <c r="A9" i="2"/>
  <c r="B9" i="2"/>
  <c r="C9" i="2"/>
  <c r="E9" i="2" s="1"/>
  <c r="A10" i="2"/>
  <c r="B10" i="2"/>
  <c r="C10" i="2"/>
  <c r="A11" i="2"/>
  <c r="B11" i="2"/>
  <c r="C11" i="2"/>
  <c r="E11" i="2" s="1"/>
  <c r="A12" i="2"/>
  <c r="B12" i="2"/>
  <c r="C12" i="2"/>
  <c r="A13" i="2"/>
  <c r="B13" i="2"/>
  <c r="C13" i="2"/>
  <c r="E13" i="2" s="1"/>
  <c r="A14" i="2"/>
  <c r="B14" i="2"/>
  <c r="C14" i="2"/>
  <c r="E14" i="2" s="1"/>
  <c r="A15" i="2"/>
  <c r="B15" i="2"/>
  <c r="C15" i="2"/>
  <c r="A16" i="2"/>
  <c r="B16" i="2"/>
  <c r="C16" i="2"/>
  <c r="E16" i="2" s="1"/>
  <c r="A17" i="2"/>
  <c r="B17" i="2"/>
  <c r="C17" i="2"/>
  <c r="E17" i="2" s="1"/>
  <c r="A18" i="2"/>
  <c r="B18" i="2"/>
  <c r="C18" i="2"/>
  <c r="A19" i="2"/>
  <c r="B19" i="2"/>
  <c r="C19" i="2"/>
  <c r="E19" i="2" s="1"/>
  <c r="A20" i="2"/>
  <c r="B20" i="2"/>
  <c r="C20" i="2"/>
  <c r="A21" i="2"/>
  <c r="B21" i="2"/>
  <c r="B22" i="2" s="1"/>
  <c r="C21" i="2"/>
  <c r="B2" i="2"/>
  <c r="C2" i="2"/>
  <c r="A2" i="2"/>
  <c r="H14" i="2" l="1"/>
  <c r="I15" i="2" s="1"/>
  <c r="F15" i="2"/>
  <c r="G15" i="2" s="1"/>
  <c r="F9" i="2"/>
  <c r="G9" i="2" s="1"/>
  <c r="H9" i="2"/>
  <c r="I10" i="2" s="1"/>
  <c r="F10" i="2"/>
  <c r="G10" i="2" s="1"/>
  <c r="F7" i="2"/>
  <c r="G7" i="2" s="1"/>
  <c r="F20" i="2"/>
  <c r="G20" i="2" s="1"/>
  <c r="F4" i="2"/>
  <c r="G4" i="2" s="1"/>
  <c r="F17" i="2"/>
  <c r="G17" i="2" s="1"/>
  <c r="F14" i="2"/>
  <c r="G14" i="2" s="1"/>
  <c r="F6" i="2"/>
  <c r="G6" i="2" s="1"/>
  <c r="E18" i="2"/>
  <c r="E15" i="2"/>
  <c r="E7" i="2"/>
  <c r="H17" i="2"/>
  <c r="I18" i="2" s="1"/>
  <c r="F18" i="2"/>
  <c r="G18" i="2" s="1"/>
  <c r="F12" i="2"/>
  <c r="G12" i="2" s="1"/>
  <c r="E21" i="2"/>
  <c r="E10" i="2"/>
  <c r="E20" i="2"/>
  <c r="E12" i="2"/>
  <c r="H18" i="2" l="1"/>
  <c r="I19" i="2" s="1"/>
  <c r="F19" i="2"/>
  <c r="H6" i="2"/>
  <c r="I7" i="2" s="1"/>
  <c r="H21" i="2"/>
  <c r="H4" i="2"/>
  <c r="I5" i="2" s="1"/>
  <c r="F5" i="2"/>
  <c r="H12" i="2"/>
  <c r="I13" i="2" s="1"/>
  <c r="F13" i="2"/>
  <c r="H20" i="2"/>
  <c r="I21" i="2" s="1"/>
  <c r="F21" i="2"/>
  <c r="G21" i="2" s="1"/>
  <c r="H7" i="2"/>
  <c r="I8" i="2" s="1"/>
  <c r="F8" i="2"/>
  <c r="H10" i="2"/>
  <c r="I11" i="2" s="1"/>
  <c r="F11" i="2"/>
  <c r="H15" i="2"/>
  <c r="I16" i="2" s="1"/>
  <c r="F16" i="2"/>
  <c r="G11" i="2" l="1"/>
  <c r="H11" i="2"/>
  <c r="I12" i="2" s="1"/>
  <c r="G8" i="2"/>
  <c r="H8" i="2"/>
  <c r="I9" i="2" s="1"/>
  <c r="G5" i="2"/>
  <c r="H5" i="2"/>
  <c r="I6" i="2" s="1"/>
  <c r="E23" i="2"/>
  <c r="E24" i="2" s="1"/>
  <c r="E25" i="2" s="1"/>
  <c r="C22" i="2"/>
  <c r="G19" i="2"/>
  <c r="H19" i="2"/>
  <c r="I20" i="2" s="1"/>
  <c r="G16" i="2"/>
  <c r="H16" i="2"/>
  <c r="I17" i="2" s="1"/>
  <c r="G13" i="2"/>
  <c r="H13" i="2"/>
  <c r="I14" i="2" s="1"/>
  <c r="C23" i="2" l="1"/>
  <c r="C24" i="2"/>
  <c r="C25" i="2"/>
</calcChain>
</file>

<file path=xl/sharedStrings.xml><?xml version="1.0" encoding="utf-8"?>
<sst xmlns="http://schemas.openxmlformats.org/spreadsheetml/2006/main" count="87" uniqueCount="54">
  <si>
    <t>Date</t>
  </si>
  <si>
    <t>Series</t>
  </si>
  <si>
    <t>y=Price</t>
  </si>
  <si>
    <t>Time series giá cổ phiếu(Giá khớp -  Matched Price) của vinamilk</t>
  </si>
  <si>
    <t>https://www.cophieu68.vn/quote/history.php?cP=2&amp;id=vnm</t>
  </si>
  <si>
    <t>ref</t>
  </si>
  <si>
    <t>dy</t>
  </si>
  <si>
    <t>x_i = dy_lag1</t>
  </si>
  <si>
    <t>dy_pred</t>
  </si>
  <si>
    <t>AR(1)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</si>
  <si>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</si>
  <si>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</si>
  <si>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</si>
  <si>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</si>
  <si>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</si>
  <si>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</si>
  <si>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</si>
  <si>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</si>
  <si>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</si>
  <si>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</si>
  <si>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</si>
  <si>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</si>
  <si>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</si>
  <si>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</si>
  <si>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</si>
  <si>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</si>
  <si>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</si>
  <si>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</si>
  <si>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</si>
  <si>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</si>
  <si>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</si>
  <si>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</si>
  <si>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</si>
  <si>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</si>
  <si>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</si>
  <si>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e=dy - dy_pred</t>
  </si>
  <si>
    <t>x=e_lag1</t>
  </si>
  <si>
    <t>MA(1)</t>
  </si>
  <si>
    <t>I(1)</t>
  </si>
  <si>
    <t>Bước 1: Bước này là I(1) sai phân 1</t>
  </si>
  <si>
    <r>
      <t xml:space="preserve">Tính </t>
    </r>
    <r>
      <rPr>
        <b/>
        <sz val="11"/>
        <color rgb="FFFF0000"/>
        <rFont val="Calibri"/>
        <family val="2"/>
        <scheme val="minor"/>
      </rPr>
      <t>dy</t>
    </r>
    <r>
      <rPr>
        <sz val="11"/>
        <color theme="1"/>
        <rFont val="Calibri"/>
        <family val="2"/>
        <scheme val="minor"/>
      </rPr>
      <t xml:space="preserve"> = y(t) - y(t-1)</t>
    </r>
  </si>
  <si>
    <r>
      <t>tính</t>
    </r>
    <r>
      <rPr>
        <b/>
        <sz val="11"/>
        <color rgb="FFFF0000"/>
        <rFont val="Calibri"/>
        <family val="2"/>
        <scheme val="minor"/>
      </rPr>
      <t xml:space="preserve"> dy_lag1</t>
    </r>
    <r>
      <rPr>
        <sz val="11"/>
        <color theme="1"/>
        <rFont val="Calibri"/>
        <family val="2"/>
        <scheme val="minor"/>
      </rPr>
      <t xml:space="preserve"> trượt dy đi 1 ngày lấy làm giá trị dự báo của dy</t>
    </r>
  </si>
  <si>
    <t>Bước 2: Bước này là AR(1) tự hồi qui</t>
  </si>
  <si>
    <t>Chạy Regression với y = dy và x = dy_lag1</t>
  </si>
  <si>
    <t>Kết quả:</t>
  </si>
  <si>
    <t>Bước 3: Bước này là MA(1)</t>
  </si>
  <si>
    <r>
      <t xml:space="preserve">Tính </t>
    </r>
    <r>
      <rPr>
        <b/>
        <sz val="11"/>
        <color rgb="FFFF0000"/>
        <rFont val="Calibri"/>
        <family val="2"/>
        <scheme val="minor"/>
      </rPr>
      <t>dy_pred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=beta_0 + beta_1*dy_lag1</t>
    </r>
  </si>
  <si>
    <t>Bước 4:</t>
  </si>
  <si>
    <r>
      <t>Tính</t>
    </r>
    <r>
      <rPr>
        <b/>
        <sz val="11"/>
        <color theme="1"/>
        <rFont val="Calibri"/>
        <family val="2"/>
        <scheme val="minor"/>
      </rPr>
      <t xml:space="preserve"> </t>
    </r>
    <r>
      <rPr>
        <b/>
        <sz val="11"/>
        <color rgb="FFFF0000"/>
        <rFont val="Calibri"/>
        <family val="2"/>
        <scheme val="minor"/>
      </rPr>
      <t>e(t)</t>
    </r>
    <r>
      <rPr>
        <sz val="11"/>
        <color theme="1"/>
        <rFont val="Calibri"/>
        <family val="2"/>
        <scheme val="minor"/>
      </rPr>
      <t xml:space="preserve"> = dy - dy_pred</t>
    </r>
  </si>
  <si>
    <r>
      <t xml:space="preserve">Trượt </t>
    </r>
    <r>
      <rPr>
        <b/>
        <sz val="11"/>
        <color rgb="FFFF0000"/>
        <rFont val="Calibri"/>
        <family val="2"/>
        <scheme val="minor"/>
      </rPr>
      <t>e(t-1)</t>
    </r>
  </si>
  <si>
    <t>Chạy  Regression với y = e(t) và x = e(t-1)</t>
  </si>
  <si>
    <t>Bước 5: dự báo với ARIMA(1,1,1)</t>
  </si>
  <si>
    <t>dy(t+1) = beta_0 + beta_1*dt(t) + theta_0 + theta_1*e(t)</t>
  </si>
  <si>
    <t>y(t+1) = y(t) + dy(t+1)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</si>
</sst>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000"/>
    <numFmt numFmtId="167" formatCode="0.0000"/>
    <numFmt numFmtId="168" formatCode="0.000"/>
    <numFmt numFmtId="169" formatCode="0.0"/>
  </numFmts>
  <fonts count="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8"/>
      <color rgb="FFCCCCCC"/>
      <name val="Consolas"/>
      <family val="3"/>
    </font>
    <font>
      <sz val="12"/>
      <color rgb="FF7030A0"/>
      <name val="Consolas"/>
      <family val="3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dotted">
        <color auto="1"/>
      </top>
      <bottom style="dotted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0" fontId="2" fillId="0" borderId="0" xfId="0" applyFont="1"/>
    <xf numFmtId="0" fontId="2" fillId="0" borderId="0" xfId="0" quotePrefix="1" applyFont="1" applyAlignment="1">
      <alignment horizontal="center"/>
    </xf>
    <xf numFmtId="14" fontId="0" fillId="0" borderId="0" xfId="0" applyNumberFormat="1"/>
    <xf numFmtId="1" fontId="0" fillId="0" borderId="0" xfId="0" applyNumberFormat="1"/>
    <xf numFmtId="0" fontId="3" fillId="0" borderId="0" xfId="1"/>
    <xf numFmtId="0" fontId="0" fillId="0" borderId="0" xfId="0" applyNumberFormat="1"/>
    <xf numFmtId="0" fontId="0" fillId="2" borderId="0" xfId="0" applyFill="1" applyAlignment="1">
      <alignment horizontal="center"/>
    </xf>
    <xf numFmtId="0" fontId="0" fillId="0" borderId="0" xfId="0" applyFill="1" applyBorder="1" applyAlignment="1"/>
    <xf numFmtId="0" fontId="0" fillId="0" borderId="1" xfId="0" applyFill="1" applyBorder="1" applyAlignment="1"/>
    <xf numFmtId="0" fontId="4" fillId="0" borderId="2" xfId="0" applyFont="1" applyFill="1" applyBorder="1" applyAlignment="1">
      <alignment horizontal="center"/>
    </xf>
    <xf numFmtId="0" fontId="4" fillId="0" borderId="2" xfId="0" applyFont="1" applyFill="1" applyBorder="1" applyAlignment="1">
      <alignment horizontal="centerContinuous"/>
    </xf>
    <xf numFmtId="166" fontId="0" fillId="0" borderId="0" xfId="0" applyNumberFormat="1"/>
    <xf numFmtId="167" fontId="0" fillId="0" borderId="0" xfId="0" applyNumberFormat="1"/>
    <xf numFmtId="0" fontId="0" fillId="3" borderId="0" xfId="0" applyFill="1" applyAlignment="1">
      <alignment horizontal="center"/>
    </xf>
    <xf numFmtId="0" fontId="2" fillId="5" borderId="0" xfId="0" applyFont="1" applyFill="1" applyBorder="1" applyAlignment="1"/>
    <xf numFmtId="0" fontId="2" fillId="5" borderId="1" xfId="0" applyFont="1" applyFill="1" applyBorder="1" applyAlignment="1"/>
    <xf numFmtId="0" fontId="0" fillId="5" borderId="0" xfId="0" applyFill="1" applyBorder="1" applyAlignment="1"/>
    <xf numFmtId="0" fontId="0" fillId="5" borderId="1" xfId="0" applyFill="1" applyBorder="1" applyAlignment="1"/>
    <xf numFmtId="0" fontId="0" fillId="0" borderId="0" xfId="0" quotePrefix="1"/>
    <xf numFmtId="0" fontId="0" fillId="0" borderId="0" xfId="0" applyAlignment="1"/>
    <xf numFmtId="2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2" fillId="4" borderId="0" xfId="0" quotePrefix="1" applyFont="1" applyFill="1" applyAlignment="1"/>
    <xf numFmtId="2" fontId="1" fillId="0" borderId="3" xfId="0" applyNumberFormat="1" applyFont="1" applyBorder="1" applyAlignment="1"/>
    <xf numFmtId="2" fontId="0" fillId="0" borderId="3" xfId="0" applyNumberFormat="1" applyBorder="1" applyAlignment="1"/>
    <xf numFmtId="1" fontId="1" fillId="0" borderId="3" xfId="0" applyNumberFormat="1" applyFont="1" applyBorder="1"/>
    <xf numFmtId="169" fontId="0" fillId="0" borderId="0" xfId="0" applyNumberFormat="1" applyAlignment="1">
      <alignment horizontal="right"/>
    </xf>
    <xf numFmtId="2" fontId="6" fillId="0" borderId="0" xfId="0" applyNumberFormat="1" applyFont="1" applyAlignment="1">
      <alignment horizontal="right"/>
    </xf>
    <xf numFmtId="0" fontId="7" fillId="0" borderId="0" xfId="0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193040</xdr:colOff>
      <xdr:row>20</xdr:row>
      <xdr:rowOff>162560</xdr:rowOff>
    </xdr:from>
    <xdr:to>
      <xdr:col>16</xdr:col>
      <xdr:colOff>225562</xdr:colOff>
      <xdr:row>24</xdr:row>
      <xdr:rowOff>41579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40ECA5-A285-4980-BED4-BA8C7C2DFD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39890" y="3883660"/>
          <a:ext cx="4297182" cy="628319"/>
        </a:xfrm>
        <a:prstGeom prst="rect">
          <a:avLst/>
        </a:prstGeom>
      </xdr:spPr>
    </xdr:pic>
    <xdr:clientData/>
  </xdr:twoCellAnchor>
  <xdr:twoCellAnchor editAs="oneCell">
    <xdr:from>
      <xdr:col>14</xdr:col>
      <xdr:colOff>585048</xdr:colOff>
      <xdr:row>15</xdr:row>
      <xdr:rowOff>147320</xdr:rowOff>
    </xdr:from>
    <xdr:to>
      <xdr:col>25</xdr:col>
      <xdr:colOff>416093</xdr:colOff>
      <xdr:row>45</xdr:row>
      <xdr:rowOff>651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A5A7B9C-0113-9C79-1FD9-28711124DE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79898" y="2934970"/>
          <a:ext cx="6676345" cy="5440061"/>
        </a:xfrm>
        <a:prstGeom prst="rect">
          <a:avLst/>
        </a:prstGeom>
      </xdr:spPr>
    </xdr:pic>
    <xdr:clientData/>
  </xdr:twoCellAnchor>
  <xdr:twoCellAnchor editAs="oneCell">
    <xdr:from>
      <xdr:col>26</xdr:col>
      <xdr:colOff>294942</xdr:colOff>
      <xdr:row>27</xdr:row>
      <xdr:rowOff>52070</xdr:rowOff>
    </xdr:from>
    <xdr:to>
      <xdr:col>36</xdr:col>
      <xdr:colOff>117192</xdr:colOff>
      <xdr:row>54</xdr:row>
      <xdr:rowOff>155609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C3DD15-1EB3-33CB-67C3-922CEFDF9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57392" y="5068570"/>
          <a:ext cx="5918250" cy="51263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ophieu68.vn/quote/history.php?cP=2&amp;id=vn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>
      <selection activeCell="J29" sqref="J29"/>
    </sheetView>
  </sheetViews>
  <sheetFormatPr defaultRowHeight="14.4" x14ac:dyDescent="0.3"/>
  <cols>
    <col min="1" max="1" width="12.77734375" customWidth="1"/>
  </cols>
  <sheetData>
    <row r="1" spans="1:3" x14ac:dyDescent="0.3">
      <c r="A1" t="s">
        <v>3</v>
      </c>
    </row>
    <row r="2" spans="1:3" x14ac:dyDescent="0.3">
      <c r="A2" t="s">
        <v>5</v>
      </c>
      <c r="B2" s="5" t="s">
        <v>4</v>
      </c>
    </row>
    <row r="3" spans="1:3" x14ac:dyDescent="0.3">
      <c r="A3" s="1" t="s">
        <v>0</v>
      </c>
      <c r="B3" s="1" t="s">
        <v>1</v>
      </c>
      <c r="C3" s="2" t="s">
        <v>2</v>
      </c>
    </row>
    <row r="4" spans="1:3" x14ac:dyDescent="0.3">
      <c r="A4" s="3">
        <v>45748</v>
      </c>
      <c r="B4" s="4">
        <v>1</v>
      </c>
      <c r="C4">
        <v>60.8</v>
      </c>
    </row>
    <row r="5" spans="1:3" x14ac:dyDescent="0.3">
      <c r="A5" s="3">
        <v>45749</v>
      </c>
      <c r="B5" s="4">
        <v>2</v>
      </c>
      <c r="C5">
        <v>60.5</v>
      </c>
    </row>
    <row r="6" spans="1:3" x14ac:dyDescent="0.3">
      <c r="A6" s="3">
        <v>45750</v>
      </c>
      <c r="B6" s="4">
        <v>3</v>
      </c>
      <c r="C6">
        <v>56.5</v>
      </c>
    </row>
    <row r="7" spans="1:3" x14ac:dyDescent="0.3">
      <c r="A7" s="3">
        <v>45751</v>
      </c>
      <c r="B7" s="4">
        <v>4</v>
      </c>
      <c r="C7">
        <v>58.5</v>
      </c>
    </row>
    <row r="8" spans="1:3" x14ac:dyDescent="0.3">
      <c r="A8" s="3">
        <v>45755</v>
      </c>
      <c r="B8" s="4">
        <v>5</v>
      </c>
      <c r="C8">
        <v>54.5</v>
      </c>
    </row>
    <row r="9" spans="1:3" x14ac:dyDescent="0.3">
      <c r="A9" s="3">
        <v>45756</v>
      </c>
      <c r="B9" s="4">
        <v>6</v>
      </c>
      <c r="C9">
        <v>52</v>
      </c>
    </row>
    <row r="10" spans="1:3" x14ac:dyDescent="0.3">
      <c r="A10" s="3">
        <v>45757</v>
      </c>
      <c r="B10" s="4">
        <v>7</v>
      </c>
      <c r="C10">
        <v>55.6</v>
      </c>
    </row>
    <row r="11" spans="1:3" x14ac:dyDescent="0.3">
      <c r="A11" s="3">
        <v>45758</v>
      </c>
      <c r="B11" s="4">
        <v>8</v>
      </c>
      <c r="C11">
        <v>57.5</v>
      </c>
    </row>
    <row r="12" spans="1:3" x14ac:dyDescent="0.3">
      <c r="A12" s="3">
        <v>45761</v>
      </c>
      <c r="B12" s="4">
        <v>9</v>
      </c>
      <c r="C12">
        <v>56.9</v>
      </c>
    </row>
    <row r="13" spans="1:3" x14ac:dyDescent="0.3">
      <c r="A13" s="3">
        <v>45762</v>
      </c>
      <c r="B13" s="4">
        <v>10</v>
      </c>
      <c r="C13">
        <v>56.3</v>
      </c>
    </row>
    <row r="14" spans="1:3" x14ac:dyDescent="0.3">
      <c r="A14" s="3">
        <v>45763</v>
      </c>
      <c r="B14" s="4">
        <v>11</v>
      </c>
      <c r="C14">
        <v>56</v>
      </c>
    </row>
    <row r="15" spans="1:3" x14ac:dyDescent="0.3">
      <c r="A15" s="3">
        <v>45764</v>
      </c>
      <c r="B15" s="4">
        <v>12</v>
      </c>
      <c r="C15">
        <v>56</v>
      </c>
    </row>
    <row r="16" spans="1:3" x14ac:dyDescent="0.3">
      <c r="A16" s="3">
        <v>45765</v>
      </c>
      <c r="B16" s="4">
        <v>13</v>
      </c>
      <c r="C16">
        <v>56.6</v>
      </c>
    </row>
    <row r="17" spans="1:3" x14ac:dyDescent="0.3">
      <c r="A17" s="3">
        <v>45768</v>
      </c>
      <c r="B17" s="4">
        <v>14</v>
      </c>
      <c r="C17">
        <v>56.7</v>
      </c>
    </row>
    <row r="18" spans="1:3" x14ac:dyDescent="0.3">
      <c r="A18" s="3">
        <v>45769</v>
      </c>
      <c r="B18" s="4">
        <v>15</v>
      </c>
      <c r="C18">
        <v>56</v>
      </c>
    </row>
    <row r="19" spans="1:3" x14ac:dyDescent="0.3">
      <c r="A19" s="3">
        <v>45770</v>
      </c>
      <c r="B19" s="4">
        <v>16</v>
      </c>
      <c r="C19">
        <v>56.4</v>
      </c>
    </row>
    <row r="20" spans="1:3" x14ac:dyDescent="0.3">
      <c r="A20" s="3">
        <v>45771</v>
      </c>
      <c r="B20" s="4">
        <v>17</v>
      </c>
      <c r="C20">
        <v>56.3</v>
      </c>
    </row>
    <row r="21" spans="1:3" x14ac:dyDescent="0.3">
      <c r="A21" s="3">
        <v>45772</v>
      </c>
      <c r="B21" s="4">
        <v>18</v>
      </c>
      <c r="C21">
        <v>58.3</v>
      </c>
    </row>
    <row r="22" spans="1:3" x14ac:dyDescent="0.3">
      <c r="A22" s="3">
        <v>45775</v>
      </c>
      <c r="B22" s="4">
        <v>19</v>
      </c>
      <c r="C22">
        <v>57.5</v>
      </c>
    </row>
    <row r="23" spans="1:3" x14ac:dyDescent="0.3">
      <c r="A23" s="3">
        <v>45776</v>
      </c>
      <c r="B23" s="4">
        <v>20</v>
      </c>
      <c r="C23">
        <v>57.6</v>
      </c>
    </row>
  </sheetData>
  <hyperlinks>
    <hyperlink ref="B2" r:id="rId1" xr:uid="{65E28EA4-3B46-4091-BF7F-F9D2EB633D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14EFB-4F8C-42FE-BE42-13B8FE7FA492}">
  <dimension ref="A1:AF48"/>
  <sheetViews>
    <sheetView tabSelected="1" workbookViewId="0">
      <selection activeCell="G27" sqref="G27"/>
    </sheetView>
  </sheetViews>
  <sheetFormatPr defaultRowHeight="14.4" x14ac:dyDescent="0.3"/>
  <cols>
    <col min="1" max="1" width="9.6640625" bestFit="1" customWidth="1"/>
    <col min="2" max="2" width="5.88671875" bestFit="1" customWidth="1"/>
    <col min="3" max="3" width="12" customWidth="1"/>
    <col min="4" max="4" width="7.21875" customWidth="1"/>
    <col min="5" max="5" width="11.6640625" bestFit="1" customWidth="1"/>
    <col min="6" max="6" width="12.5546875" customWidth="1"/>
    <col min="7" max="7" width="10.6640625" bestFit="1" customWidth="1"/>
    <col min="8" max="8" width="17.88671875" customWidth="1"/>
    <col min="20" max="20" width="11.109375" customWidth="1"/>
  </cols>
  <sheetData>
    <row r="1" spans="1:32" x14ac:dyDescent="0.3">
      <c r="A1" s="1" t="s">
        <v>0</v>
      </c>
      <c r="B1" s="1" t="s">
        <v>1</v>
      </c>
      <c r="C1" s="2" t="s">
        <v>2</v>
      </c>
      <c r="E1" s="24" t="s">
        <v>38</v>
      </c>
      <c r="F1" s="7" t="s">
        <v>9</v>
      </c>
      <c r="G1" s="7"/>
      <c r="H1" s="14" t="s">
        <v>37</v>
      </c>
      <c r="I1" s="14"/>
    </row>
    <row r="2" spans="1:32" x14ac:dyDescent="0.3">
      <c r="A2" s="3">
        <f>data!A4</f>
        <v>45748</v>
      </c>
      <c r="B2" s="6">
        <f>data!B4</f>
        <v>1</v>
      </c>
      <c r="C2" s="28">
        <f>data!C4</f>
        <v>60.8</v>
      </c>
      <c r="D2" s="6"/>
      <c r="E2" t="s">
        <v>6</v>
      </c>
      <c r="F2" t="s">
        <v>7</v>
      </c>
      <c r="G2" t="s">
        <v>8</v>
      </c>
      <c r="K2" s="1" t="s">
        <v>39</v>
      </c>
      <c r="R2" s="1" t="s">
        <v>9</v>
      </c>
      <c r="S2" t="s">
        <v>10</v>
      </c>
      <c r="AF2" s="15">
        <v>-0.19026352121976101</v>
      </c>
    </row>
    <row r="3" spans="1:32" ht="15" thickBot="1" x14ac:dyDescent="0.35">
      <c r="A3" s="3">
        <f>data!A5</f>
        <v>45749</v>
      </c>
      <c r="B3" s="6">
        <f>data!B5</f>
        <v>2</v>
      </c>
      <c r="C3" s="28">
        <f>data!C5</f>
        <v>60.5</v>
      </c>
      <c r="D3" s="6"/>
      <c r="E3" s="23">
        <f>C3-C2</f>
        <v>-0.29999999999999716</v>
      </c>
      <c r="H3" t="s">
        <v>35</v>
      </c>
      <c r="I3" t="s">
        <v>36</v>
      </c>
      <c r="K3" t="s">
        <v>40</v>
      </c>
      <c r="AF3" s="16">
        <v>-0.15901314604718178</v>
      </c>
    </row>
    <row r="4" spans="1:32" x14ac:dyDescent="0.3">
      <c r="A4" s="3">
        <f>data!A6</f>
        <v>45750</v>
      </c>
      <c r="B4" s="6">
        <f>data!B6</f>
        <v>3</v>
      </c>
      <c r="C4" s="28">
        <f>data!C6</f>
        <v>56.5</v>
      </c>
      <c r="D4" s="6"/>
      <c r="E4" s="23">
        <f>C4-C3</f>
        <v>-4</v>
      </c>
      <c r="F4">
        <f>E3</f>
        <v>-0.29999999999999716</v>
      </c>
      <c r="G4" s="13">
        <f>$AF$2+$AF$3*F4</f>
        <v>-0.14255957740560693</v>
      </c>
      <c r="H4">
        <f>E4-F4</f>
        <v>-3.7000000000000028</v>
      </c>
      <c r="K4" s="19" t="s">
        <v>41</v>
      </c>
      <c r="S4" s="11" t="s">
        <v>11</v>
      </c>
      <c r="T4" s="11"/>
    </row>
    <row r="5" spans="1:32" x14ac:dyDescent="0.3">
      <c r="A5" s="3">
        <f>data!A7</f>
        <v>45751</v>
      </c>
      <c r="B5" s="6">
        <f>data!B7</f>
        <v>4</v>
      </c>
      <c r="C5" s="28">
        <f>data!C7</f>
        <v>58.5</v>
      </c>
      <c r="D5" s="6"/>
      <c r="E5">
        <f t="shared" ref="E4:E21" si="0">C5-C4</f>
        <v>2</v>
      </c>
      <c r="F5">
        <f t="shared" ref="F5:F21" si="1">E4</f>
        <v>-4</v>
      </c>
      <c r="G5" s="13">
        <f>$AF$2+$AF$3*F5</f>
        <v>0.44578906296896614</v>
      </c>
      <c r="H5">
        <f t="shared" ref="H5:H21" si="2">E5-F5</f>
        <v>6</v>
      </c>
      <c r="I5">
        <f>H4</f>
        <v>-3.7000000000000028</v>
      </c>
      <c r="K5" s="1" t="s">
        <v>42</v>
      </c>
      <c r="S5" s="8" t="s">
        <v>12</v>
      </c>
      <c r="T5" s="8">
        <v>0.15894228639215383</v>
      </c>
      <c r="AE5" s="30"/>
    </row>
    <row r="6" spans="1:32" x14ac:dyDescent="0.3">
      <c r="A6" s="3">
        <f>data!A8</f>
        <v>45755</v>
      </c>
      <c r="B6" s="6">
        <f>data!B8</f>
        <v>5</v>
      </c>
      <c r="C6" s="28">
        <f>data!C8</f>
        <v>54.5</v>
      </c>
      <c r="D6" s="6"/>
      <c r="E6">
        <f t="shared" si="0"/>
        <v>-4</v>
      </c>
      <c r="F6">
        <f t="shared" si="1"/>
        <v>2</v>
      </c>
      <c r="G6" s="13">
        <f>$AF$2+$AF$3*F6</f>
        <v>-0.50828981331412459</v>
      </c>
      <c r="H6">
        <f t="shared" si="2"/>
        <v>-6</v>
      </c>
      <c r="I6">
        <f t="shared" ref="I6:I21" si="3">H5</f>
        <v>6</v>
      </c>
      <c r="K6" t="s">
        <v>43</v>
      </c>
      <c r="S6" s="8" t="s">
        <v>13</v>
      </c>
      <c r="T6" s="8">
        <v>2.5262650403565446E-2</v>
      </c>
    </row>
    <row r="7" spans="1:32" x14ac:dyDescent="0.3">
      <c r="A7" s="3">
        <f>data!A9</f>
        <v>45756</v>
      </c>
      <c r="B7" s="6">
        <f>data!B9</f>
        <v>6</v>
      </c>
      <c r="C7" s="28">
        <f>data!C9</f>
        <v>52</v>
      </c>
      <c r="D7" s="6"/>
      <c r="E7">
        <f t="shared" si="0"/>
        <v>-2.5</v>
      </c>
      <c r="F7">
        <f t="shared" si="1"/>
        <v>-4</v>
      </c>
      <c r="G7" s="13">
        <f>$AF$2+$AF$3*F7</f>
        <v>0.44578906296896614</v>
      </c>
      <c r="H7">
        <f t="shared" si="2"/>
        <v>1.5</v>
      </c>
      <c r="I7">
        <f t="shared" si="3"/>
        <v>-6</v>
      </c>
      <c r="K7" t="s">
        <v>44</v>
      </c>
      <c r="S7" s="8" t="s">
        <v>14</v>
      </c>
      <c r="T7" s="8">
        <v>-3.5658433946211709E-2</v>
      </c>
    </row>
    <row r="8" spans="1:32" x14ac:dyDescent="0.3">
      <c r="A8" s="3">
        <f>data!A10</f>
        <v>45757</v>
      </c>
      <c r="B8" s="6">
        <f>data!B10</f>
        <v>7</v>
      </c>
      <c r="C8" s="28">
        <f>data!C10</f>
        <v>55.6</v>
      </c>
      <c r="D8" s="6"/>
      <c r="E8">
        <f t="shared" si="0"/>
        <v>3.6000000000000014</v>
      </c>
      <c r="F8">
        <f t="shared" si="1"/>
        <v>-2.5</v>
      </c>
      <c r="G8" s="13">
        <f>$AF$2+$AF$3*F8</f>
        <v>0.20726934389819343</v>
      </c>
      <c r="H8">
        <f t="shared" si="2"/>
        <v>6.1000000000000014</v>
      </c>
      <c r="I8">
        <f t="shared" si="3"/>
        <v>1.5</v>
      </c>
      <c r="S8" s="8" t="s">
        <v>15</v>
      </c>
      <c r="T8" s="8">
        <v>1.9875342347929146</v>
      </c>
      <c r="AF8" s="17">
        <v>0.2264997677220224</v>
      </c>
    </row>
    <row r="9" spans="1:32" ht="15" thickBot="1" x14ac:dyDescent="0.35">
      <c r="A9" s="3">
        <f>data!A11</f>
        <v>45758</v>
      </c>
      <c r="B9" s="6">
        <f>data!B11</f>
        <v>8</v>
      </c>
      <c r="C9" s="28">
        <f>data!C11</f>
        <v>57.5</v>
      </c>
      <c r="D9" s="6"/>
      <c r="E9">
        <f t="shared" si="0"/>
        <v>1.8999999999999986</v>
      </c>
      <c r="F9">
        <f t="shared" si="1"/>
        <v>3.6000000000000014</v>
      </c>
      <c r="G9" s="13">
        <f>$AF$2+$AF$3*F9</f>
        <v>-0.76271084698961567</v>
      </c>
      <c r="H9">
        <f t="shared" si="2"/>
        <v>-1.7000000000000028</v>
      </c>
      <c r="I9">
        <f t="shared" si="3"/>
        <v>6.1000000000000014</v>
      </c>
      <c r="K9" s="1" t="s">
        <v>45</v>
      </c>
      <c r="S9" s="9" t="s">
        <v>16</v>
      </c>
      <c r="T9" s="9">
        <v>18</v>
      </c>
      <c r="AF9" s="18">
        <v>-0.49900789745124108</v>
      </c>
    </row>
    <row r="10" spans="1:32" x14ac:dyDescent="0.3">
      <c r="A10" s="3">
        <f>data!A12</f>
        <v>45761</v>
      </c>
      <c r="B10" s="6">
        <f>data!B12</f>
        <v>9</v>
      </c>
      <c r="C10" s="28">
        <f>data!C12</f>
        <v>56.9</v>
      </c>
      <c r="D10" s="6"/>
      <c r="E10">
        <f t="shared" si="0"/>
        <v>-0.60000000000000142</v>
      </c>
      <c r="F10">
        <f t="shared" si="1"/>
        <v>1.8999999999999986</v>
      </c>
      <c r="G10" s="13">
        <f>$AF$2+$AF$3*F10</f>
        <v>-0.49238849870940615</v>
      </c>
      <c r="H10">
        <f t="shared" si="2"/>
        <v>-2.5</v>
      </c>
      <c r="I10">
        <f t="shared" si="3"/>
        <v>-1.7000000000000028</v>
      </c>
      <c r="K10" s="19" t="s">
        <v>46</v>
      </c>
    </row>
    <row r="11" spans="1:32" ht="15" thickBot="1" x14ac:dyDescent="0.35">
      <c r="A11" s="3">
        <f>data!A13</f>
        <v>45762</v>
      </c>
      <c r="B11" s="6">
        <f>data!B13</f>
        <v>10</v>
      </c>
      <c r="C11" s="28">
        <f>data!C13</f>
        <v>56.3</v>
      </c>
      <c r="D11" s="6"/>
      <c r="E11">
        <f t="shared" si="0"/>
        <v>-0.60000000000000142</v>
      </c>
      <c r="F11">
        <f t="shared" si="1"/>
        <v>-0.60000000000000142</v>
      </c>
      <c r="G11" s="13">
        <f>$AF$2+$AF$3*F11</f>
        <v>-9.4855633591451716E-2</v>
      </c>
      <c r="H11">
        <f t="shared" si="2"/>
        <v>0</v>
      </c>
      <c r="I11">
        <f t="shared" si="3"/>
        <v>-2.5</v>
      </c>
      <c r="S11" t="s">
        <v>17</v>
      </c>
    </row>
    <row r="12" spans="1:32" x14ac:dyDescent="0.3">
      <c r="A12" s="3">
        <f>data!A14</f>
        <v>45763</v>
      </c>
      <c r="B12" s="6">
        <f>data!B14</f>
        <v>11</v>
      </c>
      <c r="C12" s="29">
        <f>data!C14</f>
        <v>56</v>
      </c>
      <c r="D12" s="6"/>
      <c r="E12">
        <f t="shared" si="0"/>
        <v>-0.29999999999999716</v>
      </c>
      <c r="F12">
        <f t="shared" si="1"/>
        <v>-0.60000000000000142</v>
      </c>
      <c r="G12" s="13">
        <f>$AF$2+$AF$3*F12</f>
        <v>-9.4855633591451716E-2</v>
      </c>
      <c r="H12">
        <f t="shared" si="2"/>
        <v>0.30000000000000426</v>
      </c>
      <c r="I12">
        <f t="shared" si="3"/>
        <v>0</v>
      </c>
      <c r="K12" s="1" t="s">
        <v>47</v>
      </c>
      <c r="S12" s="10"/>
      <c r="T12" s="10" t="s">
        <v>22</v>
      </c>
      <c r="U12" s="10" t="s">
        <v>23</v>
      </c>
      <c r="V12" s="10" t="s">
        <v>24</v>
      </c>
      <c r="W12" s="10" t="s">
        <v>25</v>
      </c>
      <c r="X12" s="10" t="s">
        <v>26</v>
      </c>
    </row>
    <row r="13" spans="1:32" x14ac:dyDescent="0.3">
      <c r="A13" s="3">
        <f>data!A15</f>
        <v>45764</v>
      </c>
      <c r="B13" s="6">
        <f>data!B15</f>
        <v>12</v>
      </c>
      <c r="C13" s="29">
        <f>data!C15</f>
        <v>56</v>
      </c>
      <c r="D13" s="6"/>
      <c r="E13">
        <f t="shared" si="0"/>
        <v>0</v>
      </c>
      <c r="F13">
        <f t="shared" si="1"/>
        <v>-0.29999999999999716</v>
      </c>
      <c r="G13" s="13">
        <f>$AF$2+$AF$3*F13</f>
        <v>-0.14255957740560693</v>
      </c>
      <c r="H13">
        <f t="shared" si="2"/>
        <v>0.29999999999999716</v>
      </c>
      <c r="I13">
        <f t="shared" si="3"/>
        <v>0.30000000000000426</v>
      </c>
      <c r="K13" t="s">
        <v>48</v>
      </c>
      <c r="S13" s="8" t="s">
        <v>18</v>
      </c>
      <c r="T13" s="8">
        <v>1</v>
      </c>
      <c r="U13" s="8">
        <v>1.6381004261960825</v>
      </c>
      <c r="V13" s="8">
        <v>1.6381004261960825</v>
      </c>
      <c r="W13" s="8">
        <v>0.41467827884547254</v>
      </c>
      <c r="X13" s="8">
        <v>0.5287282593471323</v>
      </c>
    </row>
    <row r="14" spans="1:32" x14ac:dyDescent="0.3">
      <c r="A14" s="3">
        <f>data!A16</f>
        <v>45765</v>
      </c>
      <c r="B14" s="6">
        <f>data!B16</f>
        <v>13</v>
      </c>
      <c r="C14" s="29">
        <f>data!C16</f>
        <v>56.6</v>
      </c>
      <c r="D14" s="6"/>
      <c r="E14">
        <f t="shared" si="0"/>
        <v>0.60000000000000142</v>
      </c>
      <c r="F14">
        <f t="shared" si="1"/>
        <v>0</v>
      </c>
      <c r="G14" s="13">
        <f>$AF$2+$AF$3*F14</f>
        <v>-0.19026352121976101</v>
      </c>
      <c r="H14">
        <f t="shared" si="2"/>
        <v>0.60000000000000142</v>
      </c>
      <c r="I14">
        <f t="shared" si="3"/>
        <v>0.29999999999999716</v>
      </c>
      <c r="K14" t="s">
        <v>49</v>
      </c>
      <c r="S14" s="8" t="s">
        <v>19</v>
      </c>
      <c r="T14" s="8">
        <v>16</v>
      </c>
      <c r="U14" s="8">
        <v>63.204677351581701</v>
      </c>
      <c r="V14" s="8">
        <v>3.9502923344738563</v>
      </c>
      <c r="W14" s="8"/>
      <c r="X14" s="8"/>
    </row>
    <row r="15" spans="1:32" ht="15" thickBot="1" x14ac:dyDescent="0.35">
      <c r="A15" s="3">
        <f>data!A17</f>
        <v>45768</v>
      </c>
      <c r="B15" s="6">
        <f>data!B17</f>
        <v>14</v>
      </c>
      <c r="C15" s="29">
        <f>data!C17</f>
        <v>56.7</v>
      </c>
      <c r="D15" s="6"/>
      <c r="E15">
        <f t="shared" si="0"/>
        <v>0.10000000000000142</v>
      </c>
      <c r="F15">
        <f t="shared" si="1"/>
        <v>0.60000000000000142</v>
      </c>
      <c r="G15" s="13">
        <f>$AF$2+$AF$3*F15</f>
        <v>-0.2856714088480703</v>
      </c>
      <c r="H15">
        <f t="shared" si="2"/>
        <v>-0.5</v>
      </c>
      <c r="I15">
        <f t="shared" si="3"/>
        <v>0.60000000000000142</v>
      </c>
      <c r="K15" t="s">
        <v>50</v>
      </c>
      <c r="S15" s="9" t="s">
        <v>20</v>
      </c>
      <c r="T15" s="9">
        <v>17</v>
      </c>
      <c r="U15" s="9">
        <v>64.842777777777783</v>
      </c>
      <c r="V15" s="9"/>
      <c r="W15" s="9"/>
      <c r="X15" s="9"/>
    </row>
    <row r="16" spans="1:32" ht="15" thickBot="1" x14ac:dyDescent="0.35">
      <c r="A16" s="3">
        <f>data!A18</f>
        <v>45769</v>
      </c>
      <c r="B16" s="6">
        <f>data!B18</f>
        <v>15</v>
      </c>
      <c r="C16" s="29">
        <f>data!C18</f>
        <v>56</v>
      </c>
      <c r="D16" s="6"/>
      <c r="E16">
        <f t="shared" si="0"/>
        <v>-0.70000000000000284</v>
      </c>
      <c r="F16">
        <f t="shared" si="1"/>
        <v>0.10000000000000142</v>
      </c>
      <c r="G16" s="13">
        <f>$AF$2+$AF$3*F16</f>
        <v>-0.20616483582447942</v>
      </c>
      <c r="H16">
        <f t="shared" si="2"/>
        <v>-0.80000000000000426</v>
      </c>
      <c r="I16">
        <f t="shared" si="3"/>
        <v>-0.5</v>
      </c>
      <c r="K16" t="s">
        <v>44</v>
      </c>
    </row>
    <row r="17" spans="1:27" x14ac:dyDescent="0.3">
      <c r="A17" s="3">
        <f>data!A19</f>
        <v>45770</v>
      </c>
      <c r="B17" s="6">
        <f>data!B19</f>
        <v>16</v>
      </c>
      <c r="C17" s="29">
        <f>data!C19</f>
        <v>56.4</v>
      </c>
      <c r="D17" s="6"/>
      <c r="E17">
        <f t="shared" si="0"/>
        <v>0.39999999999999858</v>
      </c>
      <c r="F17">
        <f t="shared" si="1"/>
        <v>-0.70000000000000284</v>
      </c>
      <c r="G17" s="13">
        <f>$AF$2+$AF$3*F17</f>
        <v>-7.8954318986733302E-2</v>
      </c>
      <c r="H17">
        <f t="shared" si="2"/>
        <v>1.1000000000000014</v>
      </c>
      <c r="I17">
        <f t="shared" si="3"/>
        <v>-0.80000000000000426</v>
      </c>
      <c r="S17" s="10"/>
      <c r="T17" s="10" t="s">
        <v>27</v>
      </c>
      <c r="U17" s="10" t="s">
        <v>15</v>
      </c>
      <c r="V17" s="10" t="s">
        <v>28</v>
      </c>
      <c r="W17" s="10" t="s">
        <v>29</v>
      </c>
      <c r="X17" s="10" t="s">
        <v>30</v>
      </c>
      <c r="Y17" s="10" t="s">
        <v>31</v>
      </c>
      <c r="Z17" s="10" t="s">
        <v>32</v>
      </c>
      <c r="AA17" s="10" t="s">
        <v>33</v>
      </c>
    </row>
    <row r="18" spans="1:27" x14ac:dyDescent="0.3">
      <c r="A18" s="3">
        <f>data!A20</f>
        <v>45771</v>
      </c>
      <c r="B18" s="6">
        <f>data!B20</f>
        <v>17</v>
      </c>
      <c r="C18" s="29">
        <f>data!C20</f>
        <v>56.3</v>
      </c>
      <c r="D18" s="6"/>
      <c r="E18">
        <f t="shared" si="0"/>
        <v>-0.10000000000000142</v>
      </c>
      <c r="F18">
        <f t="shared" si="1"/>
        <v>0.39999999999999858</v>
      </c>
      <c r="G18" s="13">
        <f>$AF$2+$AF$3*F18</f>
        <v>-0.25386877963863352</v>
      </c>
      <c r="H18">
        <f t="shared" si="2"/>
        <v>-0.5</v>
      </c>
      <c r="I18">
        <f t="shared" si="3"/>
        <v>1.1000000000000014</v>
      </c>
      <c r="K18" s="1" t="s">
        <v>51</v>
      </c>
      <c r="S18" s="8" t="s">
        <v>21</v>
      </c>
      <c r="U18" s="8">
        <v>0.47064863405240476</v>
      </c>
      <c r="V18" s="8">
        <v>-0.40425809713191679</v>
      </c>
      <c r="W18" s="8">
        <v>0.69137527969517887</v>
      </c>
      <c r="X18" s="8">
        <v>-1.1879940546186991</v>
      </c>
      <c r="Y18" s="8">
        <v>0.80746701217917705</v>
      </c>
      <c r="Z18" s="8">
        <v>-1.1879940546186991</v>
      </c>
      <c r="AA18" s="8">
        <v>0.80746701217917705</v>
      </c>
    </row>
    <row r="19" spans="1:27" ht="15" thickBot="1" x14ac:dyDescent="0.35">
      <c r="A19" s="3">
        <f>data!A21</f>
        <v>45772</v>
      </c>
      <c r="B19" s="6">
        <f>data!B21</f>
        <v>18</v>
      </c>
      <c r="C19" s="29">
        <f>data!C21</f>
        <v>58.3</v>
      </c>
      <c r="D19" s="6"/>
      <c r="E19">
        <f t="shared" si="0"/>
        <v>2</v>
      </c>
      <c r="F19">
        <f t="shared" si="1"/>
        <v>-0.10000000000000142</v>
      </c>
      <c r="G19" s="13">
        <f>$AF$2+$AF$3*F19</f>
        <v>-0.17436220661504259</v>
      </c>
      <c r="H19">
        <f t="shared" si="2"/>
        <v>2.1000000000000014</v>
      </c>
      <c r="I19">
        <f t="shared" si="3"/>
        <v>-0.5</v>
      </c>
      <c r="K19" s="19" t="s">
        <v>52</v>
      </c>
      <c r="S19" s="9" t="s">
        <v>34</v>
      </c>
      <c r="U19" s="9">
        <v>0.24693200711449162</v>
      </c>
      <c r="V19" s="9">
        <v>-0.64395518387964301</v>
      </c>
      <c r="W19" s="9">
        <v>0.52872825934713608</v>
      </c>
      <c r="X19" s="9">
        <v>-0.68248561647653316</v>
      </c>
      <c r="Y19" s="9">
        <v>0.36445932438216966</v>
      </c>
      <c r="Z19" s="9">
        <v>-0.68248561647653316</v>
      </c>
      <c r="AA19" s="9">
        <v>0.36445932438216966</v>
      </c>
    </row>
    <row r="20" spans="1:27" x14ac:dyDescent="0.3">
      <c r="A20" s="3">
        <f>data!A22</f>
        <v>45775</v>
      </c>
      <c r="B20" s="6">
        <f>data!B22</f>
        <v>19</v>
      </c>
      <c r="C20" s="29">
        <f>data!C22</f>
        <v>57.5</v>
      </c>
      <c r="D20" s="6"/>
      <c r="E20">
        <f t="shared" si="0"/>
        <v>-0.79999999999999716</v>
      </c>
      <c r="F20">
        <f t="shared" si="1"/>
        <v>2</v>
      </c>
      <c r="G20" s="13">
        <f>$AF$2+$AF$3*F20</f>
        <v>-0.50828981331412459</v>
      </c>
      <c r="H20">
        <f t="shared" si="2"/>
        <v>-2.7999999999999972</v>
      </c>
      <c r="I20">
        <f t="shared" si="3"/>
        <v>2.1000000000000014</v>
      </c>
      <c r="K20" t="s">
        <v>53</v>
      </c>
    </row>
    <row r="21" spans="1:27" x14ac:dyDescent="0.3">
      <c r="A21" s="3">
        <f>data!A23</f>
        <v>45776</v>
      </c>
      <c r="B21" s="6">
        <f>data!B23</f>
        <v>20</v>
      </c>
      <c r="C21" s="29">
        <f>data!C23</f>
        <v>57.6</v>
      </c>
      <c r="D21" s="6"/>
      <c r="E21" s="22">
        <f t="shared" si="0"/>
        <v>0.10000000000000142</v>
      </c>
      <c r="F21">
        <f t="shared" si="1"/>
        <v>-0.79999999999999716</v>
      </c>
      <c r="G21" s="13">
        <f>$AF$2+$AF$3*F21</f>
        <v>-6.3053004382016026E-2</v>
      </c>
      <c r="H21">
        <f t="shared" si="2"/>
        <v>0.89999999999999858</v>
      </c>
      <c r="I21">
        <f t="shared" si="3"/>
        <v>-2.7999999999999972</v>
      </c>
    </row>
    <row r="22" spans="1:27" x14ac:dyDescent="0.3">
      <c r="A22" s="20"/>
      <c r="B22" s="27">
        <f>B21+1</f>
        <v>21</v>
      </c>
      <c r="C22" s="25">
        <f>C21+E22</f>
        <v>57.134991577689163</v>
      </c>
      <c r="D22" s="26"/>
      <c r="E22" s="25">
        <f>$AF$3*E21+$AF$9*H21</f>
        <v>-0.46500842231083467</v>
      </c>
      <c r="F22" s="20"/>
      <c r="G22" s="20"/>
      <c r="H22" s="20"/>
      <c r="I22" s="20"/>
    </row>
    <row r="23" spans="1:27" x14ac:dyDescent="0.3">
      <c r="B23" s="27">
        <f t="shared" ref="B23:B25" si="4">B22+1</f>
        <v>22</v>
      </c>
      <c r="C23" s="25">
        <f t="shared" ref="C23:C25" si="5">C22+E23</f>
        <v>57.245170276361506</v>
      </c>
      <c r="D23" s="26"/>
      <c r="E23" s="25">
        <f>$AF$2+$AF$3*E22+$AF$8+$AF$9*H22</f>
        <v>0.11017869867234373</v>
      </c>
      <c r="R23" s="1" t="s">
        <v>37</v>
      </c>
      <c r="S23" t="s">
        <v>10</v>
      </c>
    </row>
    <row r="24" spans="1:27" ht="15" thickBot="1" x14ac:dyDescent="0.35">
      <c r="B24" s="27">
        <f t="shared" si="4"/>
        <v>23</v>
      </c>
      <c r="C24" s="25">
        <f t="shared" si="5"/>
        <v>57.263886661360495</v>
      </c>
      <c r="D24" s="26"/>
      <c r="E24" s="25">
        <f>$AF$2+$AF$3*E23+$AF$8+$AF$9*H23</f>
        <v>1.8716384998987562E-2</v>
      </c>
    </row>
    <row r="25" spans="1:27" x14ac:dyDescent="0.3">
      <c r="B25" s="27">
        <f t="shared" si="4"/>
        <v>24</v>
      </c>
      <c r="C25" s="25">
        <f t="shared" si="5"/>
        <v>57.297146756601435</v>
      </c>
      <c r="D25" s="26"/>
      <c r="E25" s="25">
        <f>$AF$2+$AF$3*E24+$AF$8+$AF$9*H24</f>
        <v>3.3260095240942117E-2</v>
      </c>
      <c r="S25" s="11" t="s">
        <v>11</v>
      </c>
      <c r="T25" s="11"/>
    </row>
    <row r="26" spans="1:27" x14ac:dyDescent="0.3">
      <c r="L26" s="13">
        <v>0.41220000000000001</v>
      </c>
      <c r="S26" s="8" t="s">
        <v>12</v>
      </c>
      <c r="T26" s="8">
        <v>0.52388658936948396</v>
      </c>
    </row>
    <row r="27" spans="1:27" x14ac:dyDescent="0.3">
      <c r="A27" s="3">
        <v>45776</v>
      </c>
      <c r="B27">
        <v>20</v>
      </c>
      <c r="C27">
        <v>57.6</v>
      </c>
      <c r="E27">
        <v>0.100000000000001</v>
      </c>
      <c r="G27">
        <f>E27*L26</f>
        <v>4.1220000000000416E-2</v>
      </c>
      <c r="H27">
        <f>E27-G27</f>
        <v>5.8780000000000589E-2</v>
      </c>
      <c r="L27" s="13">
        <v>-0.99950000000000006</v>
      </c>
      <c r="S27" s="8" t="s">
        <v>13</v>
      </c>
      <c r="T27" s="8">
        <v>0.27445715852119029</v>
      </c>
    </row>
    <row r="28" spans="1:27" x14ac:dyDescent="0.3">
      <c r="C28" s="21">
        <f>C27+E28</f>
        <v>57.58246939</v>
      </c>
      <c r="E28" s="12">
        <f>$L$26*E27+$L$27*H27</f>
        <v>-1.7530610000000175E-2</v>
      </c>
      <c r="S28" s="8" t="s">
        <v>14</v>
      </c>
      <c r="T28" s="8">
        <v>0.22608763575593632</v>
      </c>
    </row>
    <row r="29" spans="1:27" x14ac:dyDescent="0.3">
      <c r="S29" s="8" t="s">
        <v>15</v>
      </c>
      <c r="T29" s="8">
        <v>2.5606697193075747</v>
      </c>
    </row>
    <row r="30" spans="1:27" ht="15" thickBot="1" x14ac:dyDescent="0.35">
      <c r="S30" s="9" t="s">
        <v>16</v>
      </c>
      <c r="T30" s="9">
        <v>17</v>
      </c>
    </row>
    <row r="32" spans="1:27" ht="15" thickBot="1" x14ac:dyDescent="0.35">
      <c r="S32" t="s">
        <v>17</v>
      </c>
    </row>
    <row r="33" spans="19:27" x14ac:dyDescent="0.3">
      <c r="S33" s="10"/>
      <c r="T33" s="10" t="s">
        <v>22</v>
      </c>
      <c r="U33" s="10" t="s">
        <v>23</v>
      </c>
      <c r="V33" s="10" t="s">
        <v>24</v>
      </c>
      <c r="W33" s="10" t="s">
        <v>25</v>
      </c>
      <c r="X33" s="10" t="s">
        <v>26</v>
      </c>
    </row>
    <row r="34" spans="19:27" x14ac:dyDescent="0.3">
      <c r="S34" s="8" t="s">
        <v>18</v>
      </c>
      <c r="T34" s="8">
        <v>1</v>
      </c>
      <c r="U34" s="8">
        <v>37.205735299907303</v>
      </c>
      <c r="V34" s="8">
        <v>37.205735299907303</v>
      </c>
      <c r="W34" s="8">
        <v>5.6741754483123676</v>
      </c>
      <c r="X34" s="8">
        <v>3.0888671024197095E-2</v>
      </c>
    </row>
    <row r="35" spans="19:27" x14ac:dyDescent="0.3">
      <c r="S35" s="8" t="s">
        <v>19</v>
      </c>
      <c r="T35" s="8">
        <v>15</v>
      </c>
      <c r="U35" s="8">
        <v>98.35544117068099</v>
      </c>
      <c r="V35" s="8">
        <v>6.5570294113787329</v>
      </c>
      <c r="W35" s="8"/>
      <c r="X35" s="8"/>
    </row>
    <row r="36" spans="19:27" ht="15" thickBot="1" x14ac:dyDescent="0.35">
      <c r="S36" s="9" t="s">
        <v>20</v>
      </c>
      <c r="T36" s="9">
        <v>16</v>
      </c>
      <c r="U36" s="9">
        <v>135.56117647058829</v>
      </c>
      <c r="V36" s="9"/>
      <c r="W36" s="9"/>
      <c r="X36" s="9"/>
    </row>
    <row r="37" spans="19:27" ht="15" thickBot="1" x14ac:dyDescent="0.35"/>
    <row r="38" spans="19:27" x14ac:dyDescent="0.3">
      <c r="S38" s="10"/>
      <c r="T38" s="10" t="s">
        <v>27</v>
      </c>
      <c r="U38" s="10" t="s">
        <v>15</v>
      </c>
      <c r="V38" s="10" t="s">
        <v>28</v>
      </c>
      <c r="W38" s="10" t="s">
        <v>29</v>
      </c>
      <c r="X38" s="10" t="s">
        <v>30</v>
      </c>
      <c r="Y38" s="10" t="s">
        <v>31</v>
      </c>
      <c r="Z38" s="10" t="s">
        <v>32</v>
      </c>
      <c r="AA38" s="10" t="s">
        <v>33</v>
      </c>
    </row>
    <row r="39" spans="19:27" x14ac:dyDescent="0.3">
      <c r="S39" s="8" t="s">
        <v>21</v>
      </c>
      <c r="U39" s="8">
        <v>0.62108419307286578</v>
      </c>
      <c r="V39" s="8">
        <v>0.36468448279354193</v>
      </c>
      <c r="W39" s="8">
        <v>0.72043723160537865</v>
      </c>
      <c r="X39" s="8">
        <v>-1.0973098533574963</v>
      </c>
      <c r="Y39" s="8">
        <v>1.5503093888015411</v>
      </c>
      <c r="Z39" s="8">
        <v>-1.0973098533574963</v>
      </c>
      <c r="AA39" s="8">
        <v>1.5503093888015411</v>
      </c>
    </row>
    <row r="40" spans="19:27" ht="15" thickBot="1" x14ac:dyDescent="0.35">
      <c r="S40" s="9" t="s">
        <v>34</v>
      </c>
      <c r="U40" s="9">
        <v>0.20948649902736194</v>
      </c>
      <c r="V40" s="9">
        <v>-2.3820527803372356</v>
      </c>
      <c r="W40" s="9">
        <v>3.0888671024197248E-2</v>
      </c>
      <c r="X40" s="9">
        <v>-0.94551780060401969</v>
      </c>
      <c r="Y40" s="9">
        <v>-5.2497994298462414E-2</v>
      </c>
      <c r="Z40" s="9">
        <v>-0.94551780060401969</v>
      </c>
      <c r="AA40" s="9">
        <v>-5.2497994298462414E-2</v>
      </c>
    </row>
    <row r="44" spans="19:27" ht="15.6" x14ac:dyDescent="0.3">
      <c r="S44" s="31"/>
    </row>
    <row r="48" spans="19:27" x14ac:dyDescent="0.3">
      <c r="U48" s="30"/>
    </row>
  </sheetData>
  <mergeCells count="2">
    <mergeCell ref="F1:G1"/>
    <mergeCell ref="H1:I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arima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BuuHQ</dc:creator>
  <cp:lastModifiedBy>BOO HUYNH</cp:lastModifiedBy>
  <dcterms:created xsi:type="dcterms:W3CDTF">2015-06-05T18:17:20Z</dcterms:created>
  <dcterms:modified xsi:type="dcterms:W3CDTF">2025-05-22T15:40:26Z</dcterms:modified>
</cp:coreProperties>
</file>