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1" activeTab="5"/>
  </bookViews>
  <sheets>
    <sheet name="Price data" sheetId="2" r:id="rId1"/>
    <sheet name="First-order Differencing" sheetId="3" r:id="rId2"/>
    <sheet name="AR Data" sheetId="4" r:id="rId3"/>
    <sheet name="AR regression summary" sheetId="5" r:id="rId4"/>
    <sheet name="Error" sheetId="6" r:id="rId5"/>
    <sheet name="MA Data" sheetId="7" r:id="rId6"/>
    <sheet name="MA regression summary" sheetId="9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8" i="7" l="1"/>
  <c r="D6" i="7" l="1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5" i="7"/>
  <c r="B120" i="6" l="1"/>
  <c r="B119" i="6"/>
  <c r="C118" i="6"/>
  <c r="B118" i="6"/>
  <c r="C117" i="6"/>
  <c r="D118" i="6" s="1"/>
  <c r="B117" i="6"/>
  <c r="C116" i="6"/>
  <c r="D117" i="6" s="1"/>
  <c r="B116" i="6"/>
  <c r="C115" i="6"/>
  <c r="D116" i="6" s="1"/>
  <c r="B115" i="6"/>
  <c r="C114" i="6"/>
  <c r="D115" i="6" s="1"/>
  <c r="B114" i="6"/>
  <c r="C113" i="6"/>
  <c r="D114" i="6" s="1"/>
  <c r="B113" i="6"/>
  <c r="C112" i="6"/>
  <c r="D113" i="6" s="1"/>
  <c r="B112" i="6"/>
  <c r="C111" i="6"/>
  <c r="D112" i="6" s="1"/>
  <c r="B111" i="6"/>
  <c r="C110" i="6"/>
  <c r="D111" i="6" s="1"/>
  <c r="B110" i="6"/>
  <c r="C109" i="6"/>
  <c r="D110" i="6" s="1"/>
  <c r="B109" i="6"/>
  <c r="C108" i="6"/>
  <c r="D109" i="6" s="1"/>
  <c r="B108" i="6"/>
  <c r="C107" i="6"/>
  <c r="D108" i="6" s="1"/>
  <c r="B107" i="6"/>
  <c r="C106" i="6"/>
  <c r="D107" i="6" s="1"/>
  <c r="B106" i="6"/>
  <c r="C105" i="6"/>
  <c r="D106" i="6" s="1"/>
  <c r="B105" i="6"/>
  <c r="C104" i="6"/>
  <c r="D105" i="6" s="1"/>
  <c r="B104" i="6"/>
  <c r="C103" i="6"/>
  <c r="D104" i="6" s="1"/>
  <c r="B103" i="6"/>
  <c r="C102" i="6"/>
  <c r="D103" i="6" s="1"/>
  <c r="B102" i="6"/>
  <c r="C101" i="6"/>
  <c r="D102" i="6" s="1"/>
  <c r="B101" i="6"/>
  <c r="C100" i="6"/>
  <c r="D101" i="6" s="1"/>
  <c r="B100" i="6"/>
  <c r="C99" i="6"/>
  <c r="D100" i="6" s="1"/>
  <c r="B99" i="6"/>
  <c r="C98" i="6"/>
  <c r="D99" i="6" s="1"/>
  <c r="B98" i="6"/>
  <c r="C97" i="6"/>
  <c r="D98" i="6" s="1"/>
  <c r="B97" i="6"/>
  <c r="C96" i="6"/>
  <c r="D97" i="6" s="1"/>
  <c r="B96" i="6"/>
  <c r="C95" i="6"/>
  <c r="D96" i="6" s="1"/>
  <c r="B95" i="6"/>
  <c r="C94" i="6"/>
  <c r="D95" i="6" s="1"/>
  <c r="B94" i="6"/>
  <c r="C93" i="6"/>
  <c r="D94" i="6" s="1"/>
  <c r="B93" i="6"/>
  <c r="C92" i="6"/>
  <c r="D93" i="6" s="1"/>
  <c r="B92" i="6"/>
  <c r="C91" i="6"/>
  <c r="D92" i="6" s="1"/>
  <c r="B91" i="6"/>
  <c r="C90" i="6"/>
  <c r="D91" i="6" s="1"/>
  <c r="B90" i="6"/>
  <c r="C89" i="6"/>
  <c r="D90" i="6" s="1"/>
  <c r="B89" i="6"/>
  <c r="C88" i="6"/>
  <c r="D89" i="6" s="1"/>
  <c r="B88" i="6"/>
  <c r="C87" i="6"/>
  <c r="D88" i="6" s="1"/>
  <c r="B87" i="6"/>
  <c r="C86" i="6"/>
  <c r="D87" i="6" s="1"/>
  <c r="B86" i="6"/>
  <c r="C85" i="6"/>
  <c r="D86" i="6" s="1"/>
  <c r="B85" i="6"/>
  <c r="C84" i="6"/>
  <c r="D85" i="6" s="1"/>
  <c r="B84" i="6"/>
  <c r="C83" i="6"/>
  <c r="D84" i="6" s="1"/>
  <c r="B83" i="6"/>
  <c r="C82" i="6"/>
  <c r="D83" i="6" s="1"/>
  <c r="B82" i="6"/>
  <c r="C81" i="6"/>
  <c r="D82" i="6" s="1"/>
  <c r="B81" i="6"/>
  <c r="C80" i="6"/>
  <c r="D81" i="6" s="1"/>
  <c r="B80" i="6"/>
  <c r="C79" i="6"/>
  <c r="D80" i="6" s="1"/>
  <c r="B79" i="6"/>
  <c r="C78" i="6"/>
  <c r="D79" i="6" s="1"/>
  <c r="B78" i="6"/>
  <c r="C77" i="6"/>
  <c r="D78" i="6" s="1"/>
  <c r="B77" i="6"/>
  <c r="C76" i="6"/>
  <c r="D77" i="6" s="1"/>
  <c r="B76" i="6"/>
  <c r="C75" i="6"/>
  <c r="D76" i="6" s="1"/>
  <c r="B75" i="6"/>
  <c r="C74" i="6"/>
  <c r="D75" i="6" s="1"/>
  <c r="B74" i="6"/>
  <c r="C73" i="6"/>
  <c r="D74" i="6" s="1"/>
  <c r="B73" i="6"/>
  <c r="C72" i="6"/>
  <c r="D73" i="6" s="1"/>
  <c r="B72" i="6"/>
  <c r="C71" i="6"/>
  <c r="D72" i="6" s="1"/>
  <c r="B71" i="6"/>
  <c r="C70" i="6"/>
  <c r="D71" i="6" s="1"/>
  <c r="B70" i="6"/>
  <c r="C69" i="6"/>
  <c r="D70" i="6" s="1"/>
  <c r="B69" i="6"/>
  <c r="C68" i="6"/>
  <c r="D69" i="6" s="1"/>
  <c r="B68" i="6"/>
  <c r="C67" i="6"/>
  <c r="D68" i="6" s="1"/>
  <c r="B67" i="6"/>
  <c r="C66" i="6"/>
  <c r="D67" i="6" s="1"/>
  <c r="B66" i="6"/>
  <c r="C65" i="6"/>
  <c r="D66" i="6" s="1"/>
  <c r="B65" i="6"/>
  <c r="C64" i="6"/>
  <c r="D65" i="6" s="1"/>
  <c r="B64" i="6"/>
  <c r="C63" i="6"/>
  <c r="D64" i="6" s="1"/>
  <c r="B63" i="6"/>
  <c r="C62" i="6"/>
  <c r="D63" i="6" s="1"/>
  <c r="B62" i="6"/>
  <c r="C61" i="6"/>
  <c r="D62" i="6" s="1"/>
  <c r="B61" i="6"/>
  <c r="C60" i="6"/>
  <c r="D61" i="6" s="1"/>
  <c r="B60" i="6"/>
  <c r="C59" i="6"/>
  <c r="D60" i="6" s="1"/>
  <c r="B59" i="6"/>
  <c r="C58" i="6"/>
  <c r="D59" i="6" s="1"/>
  <c r="B58" i="6"/>
  <c r="C57" i="6"/>
  <c r="D58" i="6" s="1"/>
  <c r="B57" i="6"/>
  <c r="C56" i="6"/>
  <c r="D57" i="6" s="1"/>
  <c r="B56" i="6"/>
  <c r="C55" i="6"/>
  <c r="D56" i="6" s="1"/>
  <c r="B55" i="6"/>
  <c r="C54" i="6"/>
  <c r="D55" i="6" s="1"/>
  <c r="B54" i="6"/>
  <c r="C53" i="6"/>
  <c r="D54" i="6" s="1"/>
  <c r="B53" i="6"/>
  <c r="C52" i="6"/>
  <c r="D53" i="6" s="1"/>
  <c r="B52" i="6"/>
  <c r="C51" i="6"/>
  <c r="D52" i="6" s="1"/>
  <c r="B51" i="6"/>
  <c r="C50" i="6"/>
  <c r="D51" i="6" s="1"/>
  <c r="B50" i="6"/>
  <c r="C49" i="6"/>
  <c r="D50" i="6" s="1"/>
  <c r="B49" i="6"/>
  <c r="C48" i="6"/>
  <c r="D49" i="6" s="1"/>
  <c r="B48" i="6"/>
  <c r="C47" i="6"/>
  <c r="D48" i="6" s="1"/>
  <c r="B47" i="6"/>
  <c r="C46" i="6"/>
  <c r="B46" i="6"/>
  <c r="C45" i="6"/>
  <c r="D46" i="6" s="1"/>
  <c r="B45" i="6"/>
  <c r="C44" i="6"/>
  <c r="D45" i="6" s="1"/>
  <c r="B44" i="6"/>
  <c r="C43" i="6"/>
  <c r="D44" i="6" s="1"/>
  <c r="B43" i="6"/>
  <c r="C42" i="6"/>
  <c r="D43" i="6" s="1"/>
  <c r="B42" i="6"/>
  <c r="C41" i="6"/>
  <c r="D42" i="6" s="1"/>
  <c r="B41" i="6"/>
  <c r="C40" i="6"/>
  <c r="D41" i="6" s="1"/>
  <c r="B40" i="6"/>
  <c r="C39" i="6"/>
  <c r="D40" i="6" s="1"/>
  <c r="B39" i="6"/>
  <c r="C38" i="6"/>
  <c r="B38" i="6"/>
  <c r="C37" i="6"/>
  <c r="D38" i="6" s="1"/>
  <c r="B37" i="6"/>
  <c r="C36" i="6"/>
  <c r="D37" i="6" s="1"/>
  <c r="B36" i="6"/>
  <c r="C35" i="6"/>
  <c r="D36" i="6" s="1"/>
  <c r="B35" i="6"/>
  <c r="C34" i="6"/>
  <c r="D35" i="6" s="1"/>
  <c r="B34" i="6"/>
  <c r="C33" i="6"/>
  <c r="D34" i="6" s="1"/>
  <c r="B33" i="6"/>
  <c r="C32" i="6"/>
  <c r="D33" i="6" s="1"/>
  <c r="B32" i="6"/>
  <c r="C31" i="6"/>
  <c r="D32" i="6" s="1"/>
  <c r="B31" i="6"/>
  <c r="C30" i="6"/>
  <c r="B30" i="6"/>
  <c r="C29" i="6"/>
  <c r="D30" i="6" s="1"/>
  <c r="B29" i="6"/>
  <c r="C28" i="6"/>
  <c r="D29" i="6" s="1"/>
  <c r="B28" i="6"/>
  <c r="C27" i="6"/>
  <c r="D28" i="6" s="1"/>
  <c r="B27" i="6"/>
  <c r="C26" i="6"/>
  <c r="D27" i="6" s="1"/>
  <c r="B26" i="6"/>
  <c r="C25" i="6"/>
  <c r="D26" i="6" s="1"/>
  <c r="B25" i="6"/>
  <c r="C24" i="6"/>
  <c r="D25" i="6" s="1"/>
  <c r="B24" i="6"/>
  <c r="C23" i="6"/>
  <c r="D24" i="6" s="1"/>
  <c r="B23" i="6"/>
  <c r="C22" i="6"/>
  <c r="D23" i="6" s="1"/>
  <c r="B22" i="6"/>
  <c r="C21" i="6"/>
  <c r="D22" i="6" s="1"/>
  <c r="B21" i="6"/>
  <c r="C20" i="6"/>
  <c r="D21" i="6" s="1"/>
  <c r="B20" i="6"/>
  <c r="C19" i="6"/>
  <c r="D20" i="6" s="1"/>
  <c r="B19" i="6"/>
  <c r="C18" i="6"/>
  <c r="D19" i="6" s="1"/>
  <c r="B18" i="6"/>
  <c r="C17" i="6"/>
  <c r="D18" i="6" s="1"/>
  <c r="B17" i="6"/>
  <c r="C16" i="6"/>
  <c r="D17" i="6" s="1"/>
  <c r="B16" i="6"/>
  <c r="C15" i="6"/>
  <c r="D16" i="6" s="1"/>
  <c r="B15" i="6"/>
  <c r="C14" i="6"/>
  <c r="D15" i="6" s="1"/>
  <c r="B14" i="6"/>
  <c r="C13" i="6"/>
  <c r="D14" i="6" s="1"/>
  <c r="B13" i="6"/>
  <c r="C12" i="6"/>
  <c r="D13" i="6" s="1"/>
  <c r="B12" i="6"/>
  <c r="C11" i="6"/>
  <c r="D12" i="6" s="1"/>
  <c r="B11" i="6"/>
  <c r="C10" i="6"/>
  <c r="D11" i="6" s="1"/>
  <c r="B10" i="6"/>
  <c r="C9" i="6"/>
  <c r="D10" i="6" s="1"/>
  <c r="B9" i="6"/>
  <c r="C8" i="6"/>
  <c r="D9" i="6" s="1"/>
  <c r="B8" i="6"/>
  <c r="C7" i="6"/>
  <c r="D8" i="6" s="1"/>
  <c r="B7" i="6"/>
  <c r="C6" i="6"/>
  <c r="D7" i="6" s="1"/>
  <c r="B6" i="6"/>
  <c r="C5" i="6"/>
  <c r="D6" i="6" s="1"/>
  <c r="B5" i="6"/>
  <c r="C4" i="6"/>
  <c r="D5" i="6" s="1"/>
  <c r="B4" i="6"/>
  <c r="C3" i="6"/>
  <c r="D4" i="6" s="1"/>
  <c r="B3" i="6"/>
  <c r="B2" i="6"/>
  <c r="E30" i="6" l="1"/>
  <c r="E38" i="6"/>
  <c r="E46" i="6"/>
  <c r="D47" i="6"/>
  <c r="D39" i="6"/>
  <c r="E39" i="6" s="1"/>
  <c r="D31" i="6"/>
  <c r="E31" i="6" s="1"/>
  <c r="E32" i="6"/>
  <c r="E48" i="6"/>
  <c r="E64" i="6"/>
  <c r="E72" i="6"/>
  <c r="E80" i="6"/>
  <c r="E88" i="6"/>
  <c r="E96" i="6"/>
  <c r="E104" i="6"/>
  <c r="E112" i="6"/>
  <c r="E68" i="6"/>
  <c r="E92" i="6"/>
  <c r="E108" i="6"/>
  <c r="E116" i="6"/>
  <c r="E76" i="6"/>
  <c r="E84" i="6"/>
  <c r="E100" i="6"/>
  <c r="E4" i="6"/>
  <c r="E8" i="6"/>
  <c r="E7" i="6"/>
  <c r="E42" i="6"/>
  <c r="E52" i="6"/>
  <c r="E53" i="6"/>
  <c r="E56" i="6"/>
  <c r="E60" i="6"/>
  <c r="E14" i="6"/>
  <c r="E13" i="6"/>
  <c r="E10" i="6"/>
  <c r="E26" i="6"/>
  <c r="E17" i="6"/>
  <c r="E36" i="6"/>
  <c r="E5" i="6"/>
  <c r="E11" i="6"/>
  <c r="E24" i="6"/>
  <c r="E40" i="6"/>
  <c r="E43" i="6"/>
  <c r="E16" i="6"/>
  <c r="E18" i="6"/>
  <c r="E21" i="6"/>
  <c r="E34" i="6"/>
  <c r="E37" i="6"/>
  <c r="E50" i="6"/>
  <c r="E54" i="6"/>
  <c r="E58" i="6"/>
  <c r="E59" i="6"/>
  <c r="E62" i="6"/>
  <c r="E66" i="6"/>
  <c r="E70" i="6"/>
  <c r="E74" i="6"/>
  <c r="E78" i="6"/>
  <c r="E82" i="6"/>
  <c r="E86" i="6"/>
  <c r="E90" i="6"/>
  <c r="E94" i="6"/>
  <c r="E98" i="6"/>
  <c r="E102" i="6"/>
  <c r="E106" i="6"/>
  <c r="E110" i="6"/>
  <c r="E114" i="6"/>
  <c r="E118" i="6"/>
  <c r="E12" i="6"/>
  <c r="E15" i="6"/>
  <c r="E28" i="6"/>
  <c r="E44" i="6"/>
  <c r="E9" i="6"/>
  <c r="E6" i="6"/>
  <c r="E20" i="6"/>
  <c r="E19" i="6"/>
  <c r="E22" i="6"/>
  <c r="E69" i="6"/>
  <c r="E73" i="6"/>
  <c r="E75" i="6"/>
  <c r="E23" i="6"/>
  <c r="E25" i="6"/>
  <c r="E27" i="6"/>
  <c r="E29" i="6"/>
  <c r="E33" i="6"/>
  <c r="E35" i="6"/>
  <c r="E41" i="6"/>
  <c r="E45" i="6"/>
  <c r="E47" i="6"/>
  <c r="E49" i="6"/>
  <c r="E51" i="6"/>
  <c r="E55" i="6"/>
  <c r="E57" i="6"/>
  <c r="E61" i="6"/>
  <c r="E63" i="6"/>
  <c r="E65" i="6"/>
  <c r="E67" i="6"/>
  <c r="E71" i="6"/>
  <c r="E77" i="6"/>
  <c r="E79" i="6"/>
  <c r="E81" i="6"/>
  <c r="E83" i="6"/>
  <c r="E85" i="6"/>
  <c r="E87" i="6"/>
  <c r="E89" i="6"/>
  <c r="E91" i="6"/>
  <c r="E93" i="6"/>
  <c r="E95" i="6"/>
  <c r="E97" i="6"/>
  <c r="E99" i="6"/>
  <c r="E101" i="6"/>
  <c r="E103" i="6"/>
  <c r="E105" i="6"/>
  <c r="E107" i="6"/>
  <c r="E109" i="6"/>
  <c r="E111" i="6"/>
  <c r="E113" i="6"/>
  <c r="E115" i="6"/>
  <c r="E117" i="6"/>
  <c r="D119" i="4" l="1"/>
  <c r="C119" i="4"/>
  <c r="B119" i="4"/>
  <c r="D118" i="4"/>
  <c r="E119" i="4" s="1"/>
  <c r="C118" i="4"/>
  <c r="B118" i="4"/>
  <c r="D117" i="4"/>
  <c r="E118" i="4" s="1"/>
  <c r="C117" i="4"/>
  <c r="B117" i="4"/>
  <c r="D116" i="4"/>
  <c r="E117" i="4" s="1"/>
  <c r="C116" i="4"/>
  <c r="B116" i="4"/>
  <c r="D115" i="4"/>
  <c r="E116" i="4" s="1"/>
  <c r="C115" i="4"/>
  <c r="B115" i="4"/>
  <c r="D114" i="4"/>
  <c r="E115" i="4" s="1"/>
  <c r="C114" i="4"/>
  <c r="B114" i="4"/>
  <c r="D113" i="4"/>
  <c r="E114" i="4" s="1"/>
  <c r="C113" i="4"/>
  <c r="B113" i="4"/>
  <c r="D112" i="4"/>
  <c r="E113" i="4" s="1"/>
  <c r="C112" i="4"/>
  <c r="B112" i="4"/>
  <c r="D111" i="4"/>
  <c r="E112" i="4" s="1"/>
  <c r="C111" i="4"/>
  <c r="B111" i="4"/>
  <c r="D110" i="4"/>
  <c r="E111" i="4" s="1"/>
  <c r="C110" i="4"/>
  <c r="B110" i="4"/>
  <c r="D109" i="4"/>
  <c r="E110" i="4" s="1"/>
  <c r="C109" i="4"/>
  <c r="B109" i="4"/>
  <c r="D108" i="4"/>
  <c r="E109" i="4" s="1"/>
  <c r="C108" i="4"/>
  <c r="B108" i="4"/>
  <c r="D107" i="4"/>
  <c r="E108" i="4" s="1"/>
  <c r="C107" i="4"/>
  <c r="B107" i="4"/>
  <c r="D106" i="4"/>
  <c r="E107" i="4" s="1"/>
  <c r="C106" i="4"/>
  <c r="B106" i="4"/>
  <c r="D105" i="4"/>
  <c r="E106" i="4" s="1"/>
  <c r="C105" i="4"/>
  <c r="B105" i="4"/>
  <c r="D104" i="4"/>
  <c r="E105" i="4" s="1"/>
  <c r="C104" i="4"/>
  <c r="B104" i="4"/>
  <c r="D103" i="4"/>
  <c r="E104" i="4" s="1"/>
  <c r="C103" i="4"/>
  <c r="B103" i="4"/>
  <c r="D102" i="4"/>
  <c r="E103" i="4" s="1"/>
  <c r="C102" i="4"/>
  <c r="B102" i="4"/>
  <c r="D101" i="4"/>
  <c r="E102" i="4" s="1"/>
  <c r="C101" i="4"/>
  <c r="B101" i="4"/>
  <c r="D100" i="4"/>
  <c r="E101" i="4" s="1"/>
  <c r="C100" i="4"/>
  <c r="B100" i="4"/>
  <c r="D99" i="4"/>
  <c r="E100" i="4" s="1"/>
  <c r="C99" i="4"/>
  <c r="B99" i="4"/>
  <c r="D98" i="4"/>
  <c r="E99" i="4" s="1"/>
  <c r="C98" i="4"/>
  <c r="B98" i="4"/>
  <c r="D97" i="4"/>
  <c r="E98" i="4" s="1"/>
  <c r="C97" i="4"/>
  <c r="B97" i="4"/>
  <c r="D96" i="4"/>
  <c r="E97" i="4" s="1"/>
  <c r="C96" i="4"/>
  <c r="B96" i="4"/>
  <c r="D95" i="4"/>
  <c r="E96" i="4" s="1"/>
  <c r="C95" i="4"/>
  <c r="B95" i="4"/>
  <c r="D94" i="4"/>
  <c r="E95" i="4" s="1"/>
  <c r="C94" i="4"/>
  <c r="B94" i="4"/>
  <c r="D93" i="4"/>
  <c r="E94" i="4" s="1"/>
  <c r="C93" i="4"/>
  <c r="B93" i="4"/>
  <c r="D92" i="4"/>
  <c r="E93" i="4" s="1"/>
  <c r="C92" i="4"/>
  <c r="B92" i="4"/>
  <c r="D91" i="4"/>
  <c r="E92" i="4" s="1"/>
  <c r="C91" i="4"/>
  <c r="B91" i="4"/>
  <c r="D90" i="4"/>
  <c r="E91" i="4" s="1"/>
  <c r="C90" i="4"/>
  <c r="B90" i="4"/>
  <c r="D89" i="4"/>
  <c r="E90" i="4" s="1"/>
  <c r="C89" i="4"/>
  <c r="B89" i="4"/>
  <c r="D88" i="4"/>
  <c r="E89" i="4" s="1"/>
  <c r="C88" i="4"/>
  <c r="B88" i="4"/>
  <c r="D87" i="4"/>
  <c r="E88" i="4" s="1"/>
  <c r="C87" i="4"/>
  <c r="B87" i="4"/>
  <c r="D86" i="4"/>
  <c r="E87" i="4" s="1"/>
  <c r="C86" i="4"/>
  <c r="B86" i="4"/>
  <c r="D85" i="4"/>
  <c r="E86" i="4" s="1"/>
  <c r="C85" i="4"/>
  <c r="B85" i="4"/>
  <c r="D84" i="4"/>
  <c r="E85" i="4" s="1"/>
  <c r="C84" i="4"/>
  <c r="B84" i="4"/>
  <c r="D83" i="4"/>
  <c r="E84" i="4" s="1"/>
  <c r="C83" i="4"/>
  <c r="B83" i="4"/>
  <c r="D82" i="4"/>
  <c r="E83" i="4" s="1"/>
  <c r="C82" i="4"/>
  <c r="B82" i="4"/>
  <c r="D81" i="4"/>
  <c r="E82" i="4" s="1"/>
  <c r="C81" i="4"/>
  <c r="B81" i="4"/>
  <c r="D80" i="4"/>
  <c r="E81" i="4" s="1"/>
  <c r="C80" i="4"/>
  <c r="B80" i="4"/>
  <c r="D79" i="4"/>
  <c r="E80" i="4" s="1"/>
  <c r="C79" i="4"/>
  <c r="B79" i="4"/>
  <c r="D78" i="4"/>
  <c r="E79" i="4" s="1"/>
  <c r="C78" i="4"/>
  <c r="B78" i="4"/>
  <c r="D77" i="4"/>
  <c r="E78" i="4" s="1"/>
  <c r="C77" i="4"/>
  <c r="B77" i="4"/>
  <c r="D76" i="4"/>
  <c r="E77" i="4" s="1"/>
  <c r="C76" i="4"/>
  <c r="B76" i="4"/>
  <c r="D75" i="4"/>
  <c r="E76" i="4" s="1"/>
  <c r="C75" i="4"/>
  <c r="B75" i="4"/>
  <c r="D74" i="4"/>
  <c r="E75" i="4" s="1"/>
  <c r="C74" i="4"/>
  <c r="B74" i="4"/>
  <c r="D73" i="4"/>
  <c r="E74" i="4" s="1"/>
  <c r="C73" i="4"/>
  <c r="B73" i="4"/>
  <c r="D72" i="4"/>
  <c r="E73" i="4" s="1"/>
  <c r="C72" i="4"/>
  <c r="B72" i="4"/>
  <c r="D71" i="4"/>
  <c r="E72" i="4" s="1"/>
  <c r="C71" i="4"/>
  <c r="B71" i="4"/>
  <c r="D70" i="4"/>
  <c r="E71" i="4" s="1"/>
  <c r="C70" i="4"/>
  <c r="B70" i="4"/>
  <c r="D69" i="4"/>
  <c r="E70" i="4" s="1"/>
  <c r="C69" i="4"/>
  <c r="B69" i="4"/>
  <c r="D68" i="4"/>
  <c r="E69" i="4" s="1"/>
  <c r="C68" i="4"/>
  <c r="B68" i="4"/>
  <c r="D67" i="4"/>
  <c r="E68" i="4" s="1"/>
  <c r="C67" i="4"/>
  <c r="B67" i="4"/>
  <c r="D66" i="4"/>
  <c r="E67" i="4" s="1"/>
  <c r="C66" i="4"/>
  <c r="B66" i="4"/>
  <c r="D65" i="4"/>
  <c r="E66" i="4" s="1"/>
  <c r="C65" i="4"/>
  <c r="B65" i="4"/>
  <c r="D64" i="4"/>
  <c r="E65" i="4" s="1"/>
  <c r="C64" i="4"/>
  <c r="B64" i="4"/>
  <c r="D63" i="4"/>
  <c r="E64" i="4" s="1"/>
  <c r="C63" i="4"/>
  <c r="B63" i="4"/>
  <c r="D62" i="4"/>
  <c r="E63" i="4" s="1"/>
  <c r="C62" i="4"/>
  <c r="B62" i="4"/>
  <c r="D61" i="4"/>
  <c r="E62" i="4" s="1"/>
  <c r="C61" i="4"/>
  <c r="B61" i="4"/>
  <c r="D60" i="4"/>
  <c r="E61" i="4" s="1"/>
  <c r="C60" i="4"/>
  <c r="B60" i="4"/>
  <c r="D59" i="4"/>
  <c r="E60" i="4" s="1"/>
  <c r="C59" i="4"/>
  <c r="B59" i="4"/>
  <c r="D58" i="4"/>
  <c r="E59" i="4" s="1"/>
  <c r="C58" i="4"/>
  <c r="B58" i="4"/>
  <c r="D57" i="4"/>
  <c r="E58" i="4" s="1"/>
  <c r="C57" i="4"/>
  <c r="B57" i="4"/>
  <c r="D56" i="4"/>
  <c r="E57" i="4" s="1"/>
  <c r="C56" i="4"/>
  <c r="B56" i="4"/>
  <c r="D55" i="4"/>
  <c r="E56" i="4" s="1"/>
  <c r="C55" i="4"/>
  <c r="B55" i="4"/>
  <c r="D54" i="4"/>
  <c r="E55" i="4" s="1"/>
  <c r="C54" i="4"/>
  <c r="B54" i="4"/>
  <c r="D53" i="4"/>
  <c r="E54" i="4" s="1"/>
  <c r="C53" i="4"/>
  <c r="B53" i="4"/>
  <c r="D52" i="4"/>
  <c r="E53" i="4" s="1"/>
  <c r="C52" i="4"/>
  <c r="B52" i="4"/>
  <c r="D51" i="4"/>
  <c r="E52" i="4" s="1"/>
  <c r="C51" i="4"/>
  <c r="B51" i="4"/>
  <c r="D50" i="4"/>
  <c r="E51" i="4" s="1"/>
  <c r="C50" i="4"/>
  <c r="B50" i="4"/>
  <c r="D49" i="4"/>
  <c r="E50" i="4" s="1"/>
  <c r="C49" i="4"/>
  <c r="B49" i="4"/>
  <c r="D48" i="4"/>
  <c r="E49" i="4" s="1"/>
  <c r="C48" i="4"/>
  <c r="B48" i="4"/>
  <c r="D47" i="4"/>
  <c r="E48" i="4" s="1"/>
  <c r="C47" i="4"/>
  <c r="B47" i="4"/>
  <c r="D46" i="4"/>
  <c r="E47" i="4" s="1"/>
  <c r="C46" i="4"/>
  <c r="B46" i="4"/>
  <c r="D45" i="4"/>
  <c r="E46" i="4" s="1"/>
  <c r="C45" i="4"/>
  <c r="B45" i="4"/>
  <c r="D44" i="4"/>
  <c r="E45" i="4" s="1"/>
  <c r="C44" i="4"/>
  <c r="B44" i="4"/>
  <c r="D43" i="4"/>
  <c r="E44" i="4" s="1"/>
  <c r="C43" i="4"/>
  <c r="B43" i="4"/>
  <c r="D42" i="4"/>
  <c r="E43" i="4" s="1"/>
  <c r="C42" i="4"/>
  <c r="B42" i="4"/>
  <c r="D41" i="4"/>
  <c r="E42" i="4" s="1"/>
  <c r="C41" i="4"/>
  <c r="B41" i="4"/>
  <c r="D40" i="4"/>
  <c r="E41" i="4" s="1"/>
  <c r="C40" i="4"/>
  <c r="B40" i="4"/>
  <c r="D39" i="4"/>
  <c r="E40" i="4" s="1"/>
  <c r="C39" i="4"/>
  <c r="B39" i="4"/>
  <c r="D38" i="4"/>
  <c r="E39" i="4" s="1"/>
  <c r="C38" i="4"/>
  <c r="B38" i="4"/>
  <c r="D37" i="4"/>
  <c r="E38" i="4" s="1"/>
  <c r="C37" i="4"/>
  <c r="B37" i="4"/>
  <c r="D36" i="4"/>
  <c r="E37" i="4" s="1"/>
  <c r="C36" i="4"/>
  <c r="B36" i="4"/>
  <c r="D35" i="4"/>
  <c r="E36" i="4" s="1"/>
  <c r="C35" i="4"/>
  <c r="B35" i="4"/>
  <c r="D34" i="4"/>
  <c r="E35" i="4" s="1"/>
  <c r="C34" i="4"/>
  <c r="B34" i="4"/>
  <c r="D33" i="4"/>
  <c r="E34" i="4" s="1"/>
  <c r="C33" i="4"/>
  <c r="B33" i="4"/>
  <c r="D32" i="4"/>
  <c r="E33" i="4" s="1"/>
  <c r="C32" i="4"/>
  <c r="B32" i="4"/>
  <c r="D31" i="4"/>
  <c r="E32" i="4" s="1"/>
  <c r="C31" i="4"/>
  <c r="B31" i="4"/>
  <c r="D30" i="4"/>
  <c r="E31" i="4" s="1"/>
  <c r="C30" i="4"/>
  <c r="B30" i="4"/>
  <c r="D29" i="4"/>
  <c r="E30" i="4" s="1"/>
  <c r="C29" i="4"/>
  <c r="B29" i="4"/>
  <c r="D28" i="4"/>
  <c r="E29" i="4" s="1"/>
  <c r="C28" i="4"/>
  <c r="B28" i="4"/>
  <c r="D27" i="4"/>
  <c r="E28" i="4" s="1"/>
  <c r="C27" i="4"/>
  <c r="B27" i="4"/>
  <c r="D26" i="4"/>
  <c r="E27" i="4" s="1"/>
  <c r="C26" i="4"/>
  <c r="B26" i="4"/>
  <c r="D25" i="4"/>
  <c r="E26" i="4" s="1"/>
  <c r="C25" i="4"/>
  <c r="B25" i="4"/>
  <c r="D24" i="4"/>
  <c r="E25" i="4" s="1"/>
  <c r="C24" i="4"/>
  <c r="B24" i="4"/>
  <c r="D23" i="4"/>
  <c r="E24" i="4" s="1"/>
  <c r="C23" i="4"/>
  <c r="B23" i="4"/>
  <c r="D22" i="4"/>
  <c r="E23" i="4" s="1"/>
  <c r="C22" i="4"/>
  <c r="B22" i="4"/>
  <c r="D21" i="4"/>
  <c r="E22" i="4" s="1"/>
  <c r="C21" i="4"/>
  <c r="B21" i="4"/>
  <c r="D20" i="4"/>
  <c r="E21" i="4" s="1"/>
  <c r="C20" i="4"/>
  <c r="B20" i="4"/>
  <c r="D19" i="4"/>
  <c r="E20" i="4" s="1"/>
  <c r="C19" i="4"/>
  <c r="B19" i="4"/>
  <c r="D18" i="4"/>
  <c r="E19" i="4" s="1"/>
  <c r="C18" i="4"/>
  <c r="B18" i="4"/>
  <c r="D17" i="4"/>
  <c r="E18" i="4" s="1"/>
  <c r="C17" i="4"/>
  <c r="B17" i="4"/>
  <c r="D16" i="4"/>
  <c r="E17" i="4" s="1"/>
  <c r="C16" i="4"/>
  <c r="B16" i="4"/>
  <c r="D15" i="4"/>
  <c r="E16" i="4" s="1"/>
  <c r="C15" i="4"/>
  <c r="B15" i="4"/>
  <c r="D14" i="4"/>
  <c r="E15" i="4" s="1"/>
  <c r="C14" i="4"/>
  <c r="B14" i="4"/>
  <c r="D13" i="4"/>
  <c r="E14" i="4" s="1"/>
  <c r="C13" i="4"/>
  <c r="B13" i="4"/>
  <c r="D12" i="4"/>
  <c r="E13" i="4" s="1"/>
  <c r="C12" i="4"/>
  <c r="B12" i="4"/>
  <c r="D11" i="4"/>
  <c r="E12" i="4" s="1"/>
  <c r="C11" i="4"/>
  <c r="B11" i="4"/>
  <c r="D10" i="4"/>
  <c r="E11" i="4" s="1"/>
  <c r="C10" i="4"/>
  <c r="B10" i="4"/>
  <c r="D9" i="4"/>
  <c r="E10" i="4" s="1"/>
  <c r="C9" i="4"/>
  <c r="B9" i="4"/>
  <c r="D8" i="4"/>
  <c r="E9" i="4" s="1"/>
  <c r="C8" i="4"/>
  <c r="B8" i="4"/>
  <c r="D7" i="4"/>
  <c r="E8" i="4" s="1"/>
  <c r="C7" i="4"/>
  <c r="B7" i="4"/>
  <c r="D6" i="4"/>
  <c r="E7" i="4" s="1"/>
  <c r="C6" i="4"/>
  <c r="B6" i="4"/>
  <c r="D5" i="4"/>
  <c r="E6" i="4" s="1"/>
  <c r="C5" i="4"/>
  <c r="B5" i="4"/>
  <c r="D4" i="4"/>
  <c r="E5" i="4" s="1"/>
  <c r="C4" i="4"/>
  <c r="B4" i="4"/>
  <c r="C3" i="4"/>
  <c r="B3" i="4"/>
  <c r="C118" i="3"/>
  <c r="D118" i="3" s="1"/>
  <c r="B118" i="3"/>
  <c r="A118" i="3"/>
  <c r="C117" i="3"/>
  <c r="B117" i="3"/>
  <c r="A117" i="3"/>
  <c r="C116" i="3"/>
  <c r="B116" i="3"/>
  <c r="A116" i="3"/>
  <c r="C115" i="3"/>
  <c r="B115" i="3"/>
  <c r="A115" i="3"/>
  <c r="C114" i="3"/>
  <c r="B114" i="3"/>
  <c r="A114" i="3"/>
  <c r="C113" i="3"/>
  <c r="B113" i="3"/>
  <c r="A113" i="3"/>
  <c r="C112" i="3"/>
  <c r="D112" i="3" s="1"/>
  <c r="B112" i="3"/>
  <c r="A112" i="3"/>
  <c r="C111" i="3"/>
  <c r="B111" i="3"/>
  <c r="A111" i="3"/>
  <c r="C110" i="3"/>
  <c r="D110" i="3" s="1"/>
  <c r="B110" i="3"/>
  <c r="A110" i="3"/>
  <c r="C109" i="3"/>
  <c r="B109" i="3"/>
  <c r="A109" i="3"/>
  <c r="C108" i="3"/>
  <c r="B108" i="3"/>
  <c r="A108" i="3"/>
  <c r="C107" i="3"/>
  <c r="B107" i="3"/>
  <c r="A107" i="3"/>
  <c r="C106" i="3"/>
  <c r="D106" i="3" s="1"/>
  <c r="B106" i="3"/>
  <c r="A106" i="3"/>
  <c r="C105" i="3"/>
  <c r="B105" i="3"/>
  <c r="A105" i="3"/>
  <c r="C104" i="3"/>
  <c r="D104" i="3" s="1"/>
  <c r="B104" i="3"/>
  <c r="A104" i="3"/>
  <c r="C103" i="3"/>
  <c r="B103" i="3"/>
  <c r="A103" i="3"/>
  <c r="C102" i="3"/>
  <c r="D102" i="3" s="1"/>
  <c r="B102" i="3"/>
  <c r="A102" i="3"/>
  <c r="C101" i="3"/>
  <c r="B101" i="3"/>
  <c r="A101" i="3"/>
  <c r="C100" i="3"/>
  <c r="B100" i="3"/>
  <c r="A100" i="3"/>
  <c r="C99" i="3"/>
  <c r="B99" i="3"/>
  <c r="A99" i="3"/>
  <c r="C98" i="3"/>
  <c r="D98" i="3" s="1"/>
  <c r="B98" i="3"/>
  <c r="A98" i="3"/>
  <c r="C97" i="3"/>
  <c r="B97" i="3"/>
  <c r="A97" i="3"/>
  <c r="C96" i="3"/>
  <c r="D96" i="3" s="1"/>
  <c r="B96" i="3"/>
  <c r="A96" i="3"/>
  <c r="C95" i="3"/>
  <c r="B95" i="3"/>
  <c r="A95" i="3"/>
  <c r="C94" i="3"/>
  <c r="D94" i="3" s="1"/>
  <c r="B94" i="3"/>
  <c r="A94" i="3"/>
  <c r="C93" i="3"/>
  <c r="B93" i="3"/>
  <c r="A93" i="3"/>
  <c r="C92" i="3"/>
  <c r="B92" i="3"/>
  <c r="A92" i="3"/>
  <c r="C91" i="3"/>
  <c r="B91" i="3"/>
  <c r="A91" i="3"/>
  <c r="C90" i="3"/>
  <c r="D90" i="3" s="1"/>
  <c r="B90" i="3"/>
  <c r="A90" i="3"/>
  <c r="C89" i="3"/>
  <c r="B89" i="3"/>
  <c r="A89" i="3"/>
  <c r="C88" i="3"/>
  <c r="D88" i="3" s="1"/>
  <c r="B88" i="3"/>
  <c r="A88" i="3"/>
  <c r="C87" i="3"/>
  <c r="B87" i="3"/>
  <c r="A87" i="3"/>
  <c r="C86" i="3"/>
  <c r="D86" i="3" s="1"/>
  <c r="B86" i="3"/>
  <c r="A86" i="3"/>
  <c r="C85" i="3"/>
  <c r="B85" i="3"/>
  <c r="A85" i="3"/>
  <c r="C84" i="3"/>
  <c r="B84" i="3"/>
  <c r="A84" i="3"/>
  <c r="C83" i="3"/>
  <c r="B83" i="3"/>
  <c r="A83" i="3"/>
  <c r="C82" i="3"/>
  <c r="D82" i="3" s="1"/>
  <c r="B82" i="3"/>
  <c r="A82" i="3"/>
  <c r="C81" i="3"/>
  <c r="B81" i="3"/>
  <c r="A81" i="3"/>
  <c r="C80" i="3"/>
  <c r="D80" i="3" s="1"/>
  <c r="B80" i="3"/>
  <c r="A80" i="3"/>
  <c r="C79" i="3"/>
  <c r="B79" i="3"/>
  <c r="A79" i="3"/>
  <c r="C78" i="3"/>
  <c r="D78" i="3" s="1"/>
  <c r="B78" i="3"/>
  <c r="A78" i="3"/>
  <c r="C77" i="3"/>
  <c r="B77" i="3"/>
  <c r="A77" i="3"/>
  <c r="C76" i="3"/>
  <c r="B76" i="3"/>
  <c r="A76" i="3"/>
  <c r="C75" i="3"/>
  <c r="B75" i="3"/>
  <c r="A75" i="3"/>
  <c r="C74" i="3"/>
  <c r="D74" i="3" s="1"/>
  <c r="B74" i="3"/>
  <c r="A74" i="3"/>
  <c r="C73" i="3"/>
  <c r="B73" i="3"/>
  <c r="A73" i="3"/>
  <c r="C72" i="3"/>
  <c r="D72" i="3" s="1"/>
  <c r="B72" i="3"/>
  <c r="A72" i="3"/>
  <c r="C71" i="3"/>
  <c r="B71" i="3"/>
  <c r="A71" i="3"/>
  <c r="C70" i="3"/>
  <c r="D70" i="3" s="1"/>
  <c r="B70" i="3"/>
  <c r="A70" i="3"/>
  <c r="C69" i="3"/>
  <c r="B69" i="3"/>
  <c r="A69" i="3"/>
  <c r="C68" i="3"/>
  <c r="B68" i="3"/>
  <c r="A68" i="3"/>
  <c r="C67" i="3"/>
  <c r="B67" i="3"/>
  <c r="A67" i="3"/>
  <c r="C66" i="3"/>
  <c r="D66" i="3" s="1"/>
  <c r="B66" i="3"/>
  <c r="A66" i="3"/>
  <c r="C65" i="3"/>
  <c r="B65" i="3"/>
  <c r="A65" i="3"/>
  <c r="C64" i="3"/>
  <c r="D64" i="3" s="1"/>
  <c r="B64" i="3"/>
  <c r="A64" i="3"/>
  <c r="C63" i="3"/>
  <c r="B63" i="3"/>
  <c r="A63" i="3"/>
  <c r="C62" i="3"/>
  <c r="D62" i="3" s="1"/>
  <c r="B62" i="3"/>
  <c r="A62" i="3"/>
  <c r="C61" i="3"/>
  <c r="B61" i="3"/>
  <c r="A61" i="3"/>
  <c r="C60" i="3"/>
  <c r="B60" i="3"/>
  <c r="A60" i="3"/>
  <c r="C59" i="3"/>
  <c r="B59" i="3"/>
  <c r="A59" i="3"/>
  <c r="C58" i="3"/>
  <c r="D58" i="3" s="1"/>
  <c r="B58" i="3"/>
  <c r="A58" i="3"/>
  <c r="C57" i="3"/>
  <c r="B57" i="3"/>
  <c r="A57" i="3"/>
  <c r="C56" i="3"/>
  <c r="D56" i="3" s="1"/>
  <c r="B56" i="3"/>
  <c r="A56" i="3"/>
  <c r="C55" i="3"/>
  <c r="B55" i="3"/>
  <c r="A55" i="3"/>
  <c r="C54" i="3"/>
  <c r="D54" i="3" s="1"/>
  <c r="B54" i="3"/>
  <c r="A54" i="3"/>
  <c r="C53" i="3"/>
  <c r="B53" i="3"/>
  <c r="A53" i="3"/>
  <c r="C52" i="3"/>
  <c r="B52" i="3"/>
  <c r="A52" i="3"/>
  <c r="C51" i="3"/>
  <c r="B51" i="3"/>
  <c r="A51" i="3"/>
  <c r="C50" i="3"/>
  <c r="D50" i="3" s="1"/>
  <c r="B50" i="3"/>
  <c r="A50" i="3"/>
  <c r="C49" i="3"/>
  <c r="B49" i="3"/>
  <c r="A49" i="3"/>
  <c r="C48" i="3"/>
  <c r="B48" i="3"/>
  <c r="A48" i="3"/>
  <c r="C47" i="3"/>
  <c r="B47" i="3"/>
  <c r="A47" i="3"/>
  <c r="C46" i="3"/>
  <c r="D46" i="3" s="1"/>
  <c r="B46" i="3"/>
  <c r="A46" i="3"/>
  <c r="C45" i="3"/>
  <c r="B45" i="3"/>
  <c r="A45" i="3"/>
  <c r="C44" i="3"/>
  <c r="B44" i="3"/>
  <c r="A44" i="3"/>
  <c r="C43" i="3"/>
  <c r="B43" i="3"/>
  <c r="A43" i="3"/>
  <c r="C42" i="3"/>
  <c r="D42" i="3" s="1"/>
  <c r="B42" i="3"/>
  <c r="A42" i="3"/>
  <c r="C41" i="3"/>
  <c r="B41" i="3"/>
  <c r="A41" i="3"/>
  <c r="C40" i="3"/>
  <c r="B40" i="3"/>
  <c r="A40" i="3"/>
  <c r="C39" i="3"/>
  <c r="B39" i="3"/>
  <c r="A39" i="3"/>
  <c r="C38" i="3"/>
  <c r="D38" i="3" s="1"/>
  <c r="B38" i="3"/>
  <c r="A38" i="3"/>
  <c r="C37" i="3"/>
  <c r="B37" i="3"/>
  <c r="A37" i="3"/>
  <c r="C36" i="3"/>
  <c r="B36" i="3"/>
  <c r="A36" i="3"/>
  <c r="C35" i="3"/>
  <c r="B35" i="3"/>
  <c r="A35" i="3"/>
  <c r="C34" i="3"/>
  <c r="D34" i="3" s="1"/>
  <c r="B34" i="3"/>
  <c r="A34" i="3"/>
  <c r="C33" i="3"/>
  <c r="B33" i="3"/>
  <c r="A33" i="3"/>
  <c r="C32" i="3"/>
  <c r="B32" i="3"/>
  <c r="A32" i="3"/>
  <c r="C31" i="3"/>
  <c r="B31" i="3"/>
  <c r="A31" i="3"/>
  <c r="C30" i="3"/>
  <c r="D30" i="3" s="1"/>
  <c r="B30" i="3"/>
  <c r="A30" i="3"/>
  <c r="C29" i="3"/>
  <c r="B29" i="3"/>
  <c r="A29" i="3"/>
  <c r="C28" i="3"/>
  <c r="B28" i="3"/>
  <c r="A28" i="3"/>
  <c r="C27" i="3"/>
  <c r="B27" i="3"/>
  <c r="A27" i="3"/>
  <c r="C26" i="3"/>
  <c r="D26" i="3" s="1"/>
  <c r="B26" i="3"/>
  <c r="A26" i="3"/>
  <c r="C25" i="3"/>
  <c r="B25" i="3"/>
  <c r="A25" i="3"/>
  <c r="C24" i="3"/>
  <c r="B24" i="3"/>
  <c r="A24" i="3"/>
  <c r="C23" i="3"/>
  <c r="B23" i="3"/>
  <c r="A23" i="3"/>
  <c r="C22" i="3"/>
  <c r="D22" i="3" s="1"/>
  <c r="B22" i="3"/>
  <c r="A22" i="3"/>
  <c r="C21" i="3"/>
  <c r="B21" i="3"/>
  <c r="A21" i="3"/>
  <c r="C20" i="3"/>
  <c r="B20" i="3"/>
  <c r="A20" i="3"/>
  <c r="C19" i="3"/>
  <c r="B19" i="3"/>
  <c r="A19" i="3"/>
  <c r="C18" i="3"/>
  <c r="D18" i="3" s="1"/>
  <c r="B18" i="3"/>
  <c r="A18" i="3"/>
  <c r="C17" i="3"/>
  <c r="B17" i="3"/>
  <c r="A17" i="3"/>
  <c r="C16" i="3"/>
  <c r="B16" i="3"/>
  <c r="A16" i="3"/>
  <c r="C15" i="3"/>
  <c r="B15" i="3"/>
  <c r="A15" i="3"/>
  <c r="C14" i="3"/>
  <c r="D14" i="3" s="1"/>
  <c r="B14" i="3"/>
  <c r="A14" i="3"/>
  <c r="C13" i="3"/>
  <c r="B13" i="3"/>
  <c r="A13" i="3"/>
  <c r="C12" i="3"/>
  <c r="B12" i="3"/>
  <c r="A12" i="3"/>
  <c r="C11" i="3"/>
  <c r="B11" i="3"/>
  <c r="A11" i="3"/>
  <c r="C10" i="3"/>
  <c r="D10" i="3" s="1"/>
  <c r="B10" i="3"/>
  <c r="A10" i="3"/>
  <c r="C9" i="3"/>
  <c r="B9" i="3"/>
  <c r="A9" i="3"/>
  <c r="C8" i="3"/>
  <c r="B8" i="3"/>
  <c r="A8" i="3"/>
  <c r="C7" i="3"/>
  <c r="B7" i="3"/>
  <c r="A7" i="3"/>
  <c r="C6" i="3"/>
  <c r="D6" i="3" s="1"/>
  <c r="B6" i="3"/>
  <c r="A6" i="3"/>
  <c r="C5" i="3"/>
  <c r="B5" i="3"/>
  <c r="A5" i="3"/>
  <c r="C4" i="3"/>
  <c r="B4" i="3"/>
  <c r="A4" i="3"/>
  <c r="C3" i="3"/>
  <c r="D3" i="3" s="1"/>
  <c r="B3" i="3"/>
  <c r="A3" i="3"/>
  <c r="C2" i="3"/>
  <c r="B2" i="3"/>
  <c r="A2" i="3"/>
  <c r="D114" i="3" l="1"/>
  <c r="D8" i="3"/>
  <c r="D16" i="3"/>
  <c r="D24" i="3"/>
  <c r="D32" i="3"/>
  <c r="D40" i="3"/>
  <c r="D48" i="3"/>
  <c r="D12" i="3"/>
  <c r="D20" i="3"/>
  <c r="D28" i="3"/>
  <c r="D36" i="3"/>
  <c r="D44" i="3"/>
  <c r="D52" i="3"/>
  <c r="D60" i="3"/>
  <c r="D68" i="3"/>
  <c r="D76" i="3"/>
  <c r="D84" i="3"/>
  <c r="D92" i="3"/>
  <c r="D100" i="3"/>
  <c r="D108" i="3"/>
  <c r="D116" i="3"/>
  <c r="D4" i="3"/>
  <c r="D7" i="3"/>
  <c r="D11" i="3"/>
  <c r="D17" i="3"/>
  <c r="D19" i="3"/>
  <c r="D23" i="3"/>
  <c r="D27" i="3"/>
  <c r="D29" i="3"/>
  <c r="D33" i="3"/>
  <c r="D35" i="3"/>
  <c r="D37" i="3"/>
  <c r="D39" i="3"/>
  <c r="D41" i="3"/>
  <c r="D43" i="3"/>
  <c r="D45" i="3"/>
  <c r="D47" i="3"/>
  <c r="D49" i="3"/>
  <c r="D51" i="3"/>
  <c r="D53" i="3"/>
  <c r="D55" i="3"/>
  <c r="D57" i="3"/>
  <c r="D59" i="3"/>
  <c r="D61" i="3"/>
  <c r="D63" i="3"/>
  <c r="D65" i="3"/>
  <c r="D67" i="3"/>
  <c r="D69" i="3"/>
  <c r="D71" i="3"/>
  <c r="D73" i="3"/>
  <c r="D75" i="3"/>
  <c r="D77" i="3"/>
  <c r="D79" i="3"/>
  <c r="D81" i="3"/>
  <c r="D83" i="3"/>
  <c r="D85" i="3"/>
  <c r="D87" i="3"/>
  <c r="D89" i="3"/>
  <c r="D91" i="3"/>
  <c r="D93" i="3"/>
  <c r="D95" i="3"/>
  <c r="D97" i="3"/>
  <c r="D99" i="3"/>
  <c r="D101" i="3"/>
  <c r="D103" i="3"/>
  <c r="D105" i="3"/>
  <c r="D107" i="3"/>
  <c r="D109" i="3"/>
  <c r="D111" i="3"/>
  <c r="D113" i="3"/>
  <c r="D115" i="3"/>
  <c r="D117" i="3"/>
  <c r="D5" i="3"/>
  <c r="D9" i="3"/>
  <c r="D15" i="3"/>
  <c r="D21" i="3"/>
  <c r="D31" i="3"/>
  <c r="D13" i="3"/>
  <c r="D25" i="3"/>
</calcChain>
</file>

<file path=xl/sharedStrings.xml><?xml version="1.0" encoding="utf-8"?>
<sst xmlns="http://schemas.openxmlformats.org/spreadsheetml/2006/main" count="69" uniqueCount="34">
  <si>
    <t>Date</t>
  </si>
  <si>
    <t>Time</t>
  </si>
  <si>
    <t>Y</t>
  </si>
  <si>
    <t>dY</t>
  </si>
  <si>
    <t>Lag 1</t>
  </si>
  <si>
    <t>Intercept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</si>
  <si>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</si>
  <si>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</si>
  <si>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</si>
  <si>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</si>
  <si>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</si>
  <si>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</si>
  <si>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</si>
  <si>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</si>
  <si>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</si>
  <si>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</si>
  <si>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</si>
  <si>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</si>
  <si>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</si>
  <si>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</si>
  <si>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</si>
  <si>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</si>
  <si>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</si>
  <si>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</si>
  <si>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</si>
  <si>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</si>
  <si>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</si>
  <si>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</si>
  <si>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</si>
  <si>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</si>
  <si>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Actual dY</t>
  </si>
  <si>
    <t>Predicted dY</t>
  </si>
  <si>
    <t>e(t)</t>
  </si>
  <si>
    <t>e(t-1)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</si>
</sst>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1" fontId="0" fillId="0" borderId="0" xfId="0" applyNumberFormat="1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data'!$C$1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cat>
            <c:numRef>
              <c:f>'Price data'!$A$2:$A$118</c:f>
              <c:numCache>
                <c:formatCode>m/d/yyyy</c:formatCode>
                <c:ptCount val="117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  <c:pt idx="92">
                  <c:v>44228</c:v>
                </c:pt>
                <c:pt idx="93">
                  <c:v>44229</c:v>
                </c:pt>
                <c:pt idx="94">
                  <c:v>44230</c:v>
                </c:pt>
                <c:pt idx="95">
                  <c:v>44231</c:v>
                </c:pt>
                <c:pt idx="96">
                  <c:v>44232</c:v>
                </c:pt>
                <c:pt idx="97">
                  <c:v>44233</c:v>
                </c:pt>
                <c:pt idx="98">
                  <c:v>44234</c:v>
                </c:pt>
                <c:pt idx="99">
                  <c:v>44235</c:v>
                </c:pt>
                <c:pt idx="100">
                  <c:v>44236</c:v>
                </c:pt>
                <c:pt idx="101">
                  <c:v>44237</c:v>
                </c:pt>
                <c:pt idx="102">
                  <c:v>44238</c:v>
                </c:pt>
                <c:pt idx="103">
                  <c:v>44239</c:v>
                </c:pt>
                <c:pt idx="104">
                  <c:v>44240</c:v>
                </c:pt>
                <c:pt idx="105">
                  <c:v>44241</c:v>
                </c:pt>
                <c:pt idx="106">
                  <c:v>44242</c:v>
                </c:pt>
                <c:pt idx="107">
                  <c:v>44243</c:v>
                </c:pt>
                <c:pt idx="108">
                  <c:v>44244</c:v>
                </c:pt>
                <c:pt idx="109">
                  <c:v>44245</c:v>
                </c:pt>
                <c:pt idx="110">
                  <c:v>44246</c:v>
                </c:pt>
                <c:pt idx="111">
                  <c:v>44247</c:v>
                </c:pt>
                <c:pt idx="112">
                  <c:v>44248</c:v>
                </c:pt>
                <c:pt idx="113">
                  <c:v>44249</c:v>
                </c:pt>
                <c:pt idx="114">
                  <c:v>44250</c:v>
                </c:pt>
                <c:pt idx="115">
                  <c:v>44251</c:v>
                </c:pt>
                <c:pt idx="116">
                  <c:v>44252</c:v>
                </c:pt>
              </c:numCache>
            </c:numRef>
          </c:cat>
          <c:val>
            <c:numRef>
              <c:f>'Price data'!$C$2:$C$118</c:f>
              <c:numCache>
                <c:formatCode>0.00</c:formatCode>
                <c:ptCount val="117"/>
                <c:pt idx="0">
                  <c:v>6.0097795023026315</c:v>
                </c:pt>
                <c:pt idx="1">
                  <c:v>6.4188849175702094</c:v>
                </c:pt>
                <c:pt idx="2">
                  <c:v>5.9970634109961249</c:v>
                </c:pt>
                <c:pt idx="3">
                  <c:v>6.2999411250998394</c:v>
                </c:pt>
                <c:pt idx="4">
                  <c:v>7.1346992312159916</c:v>
                </c:pt>
                <c:pt idx="5">
                  <c:v>7.0689325553237943</c:v>
                </c:pt>
                <c:pt idx="6">
                  <c:v>7.5742688219335959</c:v>
                </c:pt>
                <c:pt idx="7">
                  <c:v>7.91047134221707</c:v>
                </c:pt>
                <c:pt idx="8">
                  <c:v>8.1812336147585789</c:v>
                </c:pt>
                <c:pt idx="9">
                  <c:v>8.1456082476252583</c:v>
                </c:pt>
                <c:pt idx="10">
                  <c:v>8.6744066827237418</c:v>
                </c:pt>
                <c:pt idx="11">
                  <c:v>8.7900538650435998</c:v>
                </c:pt>
                <c:pt idx="12">
                  <c:v>7.9348882120509803</c:v>
                </c:pt>
                <c:pt idx="13">
                  <c:v>8.3425652686764487</c:v>
                </c:pt>
                <c:pt idx="14">
                  <c:v>8.2027758342604411</c:v>
                </c:pt>
                <c:pt idx="15">
                  <c:v>8.1008677509945048</c:v>
                </c:pt>
                <c:pt idx="16">
                  <c:v>7.9262318101164322</c:v>
                </c:pt>
                <c:pt idx="17">
                  <c:v>7.5334158088211414</c:v>
                </c:pt>
                <c:pt idx="18">
                  <c:v>7.7198700594731182</c:v>
                </c:pt>
                <c:pt idx="19">
                  <c:v>7.5518741158387659</c:v>
                </c:pt>
                <c:pt idx="20">
                  <c:v>7.5138149732170572</c:v>
                </c:pt>
                <c:pt idx="21">
                  <c:v>6.9441620071047634</c:v>
                </c:pt>
                <c:pt idx="22">
                  <c:v>6.8064661188488254</c:v>
                </c:pt>
                <c:pt idx="23">
                  <c:v>6.8408033273724982</c:v>
                </c:pt>
                <c:pt idx="24">
                  <c:v>7.2819033763233421</c:v>
                </c:pt>
                <c:pt idx="25">
                  <c:v>6.5824164475425864</c:v>
                </c:pt>
                <c:pt idx="26">
                  <c:v>6.9182965307023565</c:v>
                </c:pt>
                <c:pt idx="27">
                  <c:v>6.3858015694658121</c:v>
                </c:pt>
                <c:pt idx="28">
                  <c:v>7.0059755771828165</c:v>
                </c:pt>
                <c:pt idx="29">
                  <c:v>6.8656767865508117</c:v>
                </c:pt>
                <c:pt idx="30">
                  <c:v>7.2429686463441891</c:v>
                </c:pt>
                <c:pt idx="31">
                  <c:v>7.1751249338414151</c:v>
                </c:pt>
                <c:pt idx="32">
                  <c:v>6.9690733090955108</c:v>
                </c:pt>
                <c:pt idx="33">
                  <c:v>7.4805081716603246</c:v>
                </c:pt>
                <c:pt idx="34">
                  <c:v>7.9736910697429675</c:v>
                </c:pt>
                <c:pt idx="35">
                  <c:v>8.0874230502927471</c:v>
                </c:pt>
                <c:pt idx="36">
                  <c:v>8.5738086559314919</c:v>
                </c:pt>
                <c:pt idx="37">
                  <c:v>8.9754383839611211</c:v>
                </c:pt>
                <c:pt idx="38">
                  <c:v>9.6525381544628956</c:v>
                </c:pt>
                <c:pt idx="39">
                  <c:v>9.3433444430555816</c:v>
                </c:pt>
                <c:pt idx="40">
                  <c:v>9.4670832033123276</c:v>
                </c:pt>
                <c:pt idx="41">
                  <c:v>10.531327699803338</c:v>
                </c:pt>
                <c:pt idx="42">
                  <c:v>10.392300185410509</c:v>
                </c:pt>
                <c:pt idx="43">
                  <c:v>11.110309959339899</c:v>
                </c:pt>
                <c:pt idx="44">
                  <c:v>11.14642019184358</c:v>
                </c:pt>
                <c:pt idx="45">
                  <c:v>10.959863056908329</c:v>
                </c:pt>
                <c:pt idx="46">
                  <c:v>11.28816462937376</c:v>
                </c:pt>
                <c:pt idx="47">
                  <c:v>11.612152150734971</c:v>
                </c:pt>
                <c:pt idx="48">
                  <c:v>12.571190263902917</c:v>
                </c:pt>
                <c:pt idx="49">
                  <c:v>12.723441267589244</c:v>
                </c:pt>
                <c:pt idx="50">
                  <c:v>12.649442981895506</c:v>
                </c:pt>
                <c:pt idx="51">
                  <c:v>12.295758563150923</c:v>
                </c:pt>
                <c:pt idx="52">
                  <c:v>12.296507205391922</c:v>
                </c:pt>
                <c:pt idx="53">
                  <c:v>11.978425930707889</c:v>
                </c:pt>
                <c:pt idx="54">
                  <c:v>12.356227517033599</c:v>
                </c:pt>
                <c:pt idx="55">
                  <c:v>12.371012845788789</c:v>
                </c:pt>
                <c:pt idx="56">
                  <c:v>11.914542470054625</c:v>
                </c:pt>
                <c:pt idx="57">
                  <c:v>11.701842939175673</c:v>
                </c:pt>
                <c:pt idx="58">
                  <c:v>11.337313930764044</c:v>
                </c:pt>
                <c:pt idx="59">
                  <c:v>11.672593460842299</c:v>
                </c:pt>
                <c:pt idx="60">
                  <c:v>11.61927770905195</c:v>
                </c:pt>
                <c:pt idx="61">
                  <c:v>11.344619939792993</c:v>
                </c:pt>
                <c:pt idx="62">
                  <c:v>11.691356313332237</c:v>
                </c:pt>
                <c:pt idx="63">
                  <c:v>11.150839607926304</c:v>
                </c:pt>
                <c:pt idx="64">
                  <c:v>10.683756803420277</c:v>
                </c:pt>
                <c:pt idx="65">
                  <c:v>10.765600352772315</c:v>
                </c:pt>
                <c:pt idx="66">
                  <c:v>11.01177416593932</c:v>
                </c:pt>
                <c:pt idx="67">
                  <c:v>10.728357976761814</c:v>
                </c:pt>
                <c:pt idx="68">
                  <c:v>10.80983157378189</c:v>
                </c:pt>
                <c:pt idx="69">
                  <c:v>10.09812839146554</c:v>
                </c:pt>
                <c:pt idx="70">
                  <c:v>11.139013003047371</c:v>
                </c:pt>
                <c:pt idx="71">
                  <c:v>11.456625551417812</c:v>
                </c:pt>
                <c:pt idx="72">
                  <c:v>11.782576185258915</c:v>
                </c:pt>
                <c:pt idx="73">
                  <c:v>11.455462409216665</c:v>
                </c:pt>
                <c:pt idx="74">
                  <c:v>12.448140099286038</c:v>
                </c:pt>
                <c:pt idx="75">
                  <c:v>11.807985288332912</c:v>
                </c:pt>
                <c:pt idx="76">
                  <c:v>12.742938359789973</c:v>
                </c:pt>
                <c:pt idx="77">
                  <c:v>13.072450382243057</c:v>
                </c:pt>
                <c:pt idx="78">
                  <c:v>13.148082923021903</c:v>
                </c:pt>
                <c:pt idx="79">
                  <c:v>13.972564395511982</c:v>
                </c:pt>
                <c:pt idx="80">
                  <c:v>13.388583490173893</c:v>
                </c:pt>
                <c:pt idx="81">
                  <c:v>14.069506008155644</c:v>
                </c:pt>
                <c:pt idx="82">
                  <c:v>14.893481035151058</c:v>
                </c:pt>
                <c:pt idx="83">
                  <c:v>14.752423427977376</c:v>
                </c:pt>
                <c:pt idx="84">
                  <c:v>14.622994096437072</c:v>
                </c:pt>
                <c:pt idx="85">
                  <c:v>15.162492782943154</c:v>
                </c:pt>
                <c:pt idx="86">
                  <c:v>15.27248509360526</c:v>
                </c:pt>
                <c:pt idx="87">
                  <c:v>15.710691613477133</c:v>
                </c:pt>
                <c:pt idx="88">
                  <c:v>15.821331850607351</c:v>
                </c:pt>
                <c:pt idx="89">
                  <c:v>16.566539924218517</c:v>
                </c:pt>
                <c:pt idx="90">
                  <c:v>15.940213601235216</c:v>
                </c:pt>
                <c:pt idx="91">
                  <c:v>16.77060247123077</c:v>
                </c:pt>
                <c:pt idx="92">
                  <c:v>16.548619615784723</c:v>
                </c:pt>
                <c:pt idx="93">
                  <c:v>16.232591435485343</c:v>
                </c:pt>
                <c:pt idx="94">
                  <c:v>16.412984403345412</c:v>
                </c:pt>
                <c:pt idx="95">
                  <c:v>15.59687354579113</c:v>
                </c:pt>
                <c:pt idx="96">
                  <c:v>15.463928834611547</c:v>
                </c:pt>
                <c:pt idx="97">
                  <c:v>16.167809157341523</c:v>
                </c:pt>
                <c:pt idx="98">
                  <c:v>15.914981548623629</c:v>
                </c:pt>
                <c:pt idx="99">
                  <c:v>15.348974823934926</c:v>
                </c:pt>
                <c:pt idx="100">
                  <c:v>15.405125914546776</c:v>
                </c:pt>
                <c:pt idx="101">
                  <c:v>15.528096165344245</c:v>
                </c:pt>
                <c:pt idx="102">
                  <c:v>15.420482955811176</c:v>
                </c:pt>
                <c:pt idx="103">
                  <c:v>15.512485031324056</c:v>
                </c:pt>
                <c:pt idx="104">
                  <c:v>14.78950229972936</c:v>
                </c:pt>
                <c:pt idx="105">
                  <c:v>14.751829459968954</c:v>
                </c:pt>
                <c:pt idx="106">
                  <c:v>14.933676079041094</c:v>
                </c:pt>
                <c:pt idx="107">
                  <c:v>14.967417377274737</c:v>
                </c:pt>
                <c:pt idx="108">
                  <c:v>14.217745926005723</c:v>
                </c:pt>
                <c:pt idx="109">
                  <c:v>14.734725450308499</c:v>
                </c:pt>
                <c:pt idx="110">
                  <c:v>14.649103786426435</c:v>
                </c:pt>
                <c:pt idx="111">
                  <c:v>15.51387822731323</c:v>
                </c:pt>
                <c:pt idx="112">
                  <c:v>15.281290439579548</c:v>
                </c:pt>
                <c:pt idx="113">
                  <c:v>15.950148181048958</c:v>
                </c:pt>
                <c:pt idx="114">
                  <c:v>16.196806742012733</c:v>
                </c:pt>
                <c:pt idx="115">
                  <c:v>16.583508118158409</c:v>
                </c:pt>
                <c:pt idx="116">
                  <c:v>16.372693229433054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9-436D-9D84-A8CD61F9A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048128"/>
        <c:axId val="274049664"/>
      </c:lineChart>
      <c:dateAx>
        <c:axId val="274048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74049664"/>
        <c:crosses val="autoZero"/>
        <c:auto val="1"/>
        <c:lblOffset val="100"/>
        <c:baseTimeUnit val="days"/>
      </c:dateAx>
      <c:valAx>
        <c:axId val="274049664"/>
        <c:scaling>
          <c:orientation val="minMax"/>
          <c:min val="5"/>
        </c:scaling>
        <c:delete val="0"/>
        <c:axPos val="l"/>
        <c:numFmt formatCode="0.00" sourceLinked="1"/>
        <c:majorTickMark val="out"/>
        <c:minorTickMark val="none"/>
        <c:tickLblPos val="nextTo"/>
        <c:crossAx val="274048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'First-order Differencing'!$C$1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cat>
            <c:numRef>
              <c:f>'First-order Differencing'!$A$2:$A$118</c:f>
              <c:numCache>
                <c:formatCode>m/d/yyyy</c:formatCode>
                <c:ptCount val="117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  <c:pt idx="92">
                  <c:v>44228</c:v>
                </c:pt>
                <c:pt idx="93">
                  <c:v>44229</c:v>
                </c:pt>
                <c:pt idx="94">
                  <c:v>44230</c:v>
                </c:pt>
                <c:pt idx="95">
                  <c:v>44231</c:v>
                </c:pt>
                <c:pt idx="96">
                  <c:v>44232</c:v>
                </c:pt>
                <c:pt idx="97">
                  <c:v>44233</c:v>
                </c:pt>
                <c:pt idx="98">
                  <c:v>44234</c:v>
                </c:pt>
                <c:pt idx="99">
                  <c:v>44235</c:v>
                </c:pt>
                <c:pt idx="100">
                  <c:v>44236</c:v>
                </c:pt>
                <c:pt idx="101">
                  <c:v>44237</c:v>
                </c:pt>
                <c:pt idx="102">
                  <c:v>44238</c:v>
                </c:pt>
                <c:pt idx="103">
                  <c:v>44239</c:v>
                </c:pt>
                <c:pt idx="104">
                  <c:v>44240</c:v>
                </c:pt>
                <c:pt idx="105">
                  <c:v>44241</c:v>
                </c:pt>
                <c:pt idx="106">
                  <c:v>44242</c:v>
                </c:pt>
                <c:pt idx="107">
                  <c:v>44243</c:v>
                </c:pt>
                <c:pt idx="108">
                  <c:v>44244</c:v>
                </c:pt>
                <c:pt idx="109">
                  <c:v>44245</c:v>
                </c:pt>
                <c:pt idx="110">
                  <c:v>44246</c:v>
                </c:pt>
                <c:pt idx="111">
                  <c:v>44247</c:v>
                </c:pt>
                <c:pt idx="112">
                  <c:v>44248</c:v>
                </c:pt>
                <c:pt idx="113">
                  <c:v>44249</c:v>
                </c:pt>
                <c:pt idx="114">
                  <c:v>44250</c:v>
                </c:pt>
                <c:pt idx="115">
                  <c:v>44251</c:v>
                </c:pt>
                <c:pt idx="116">
                  <c:v>44252</c:v>
                </c:pt>
              </c:numCache>
            </c:numRef>
          </c:cat>
          <c:val>
            <c:numRef>
              <c:f>'First-order Differencing'!$C$2:$C$118</c:f>
              <c:numCache>
                <c:formatCode>0.00</c:formatCode>
                <c:ptCount val="117"/>
                <c:pt idx="0">
                  <c:v>6.0097795023026315</c:v>
                </c:pt>
                <c:pt idx="1">
                  <c:v>6.4188849175702094</c:v>
                </c:pt>
                <c:pt idx="2">
                  <c:v>5.9970634109961249</c:v>
                </c:pt>
                <c:pt idx="3">
                  <c:v>6.2999411250998394</c:v>
                </c:pt>
                <c:pt idx="4">
                  <c:v>7.1346992312159916</c:v>
                </c:pt>
                <c:pt idx="5">
                  <c:v>7.0689325553237943</c:v>
                </c:pt>
                <c:pt idx="6">
                  <c:v>7.5742688219335959</c:v>
                </c:pt>
                <c:pt idx="7">
                  <c:v>7.91047134221707</c:v>
                </c:pt>
                <c:pt idx="8">
                  <c:v>8.1812336147585789</c:v>
                </c:pt>
                <c:pt idx="9">
                  <c:v>8.1456082476252583</c:v>
                </c:pt>
                <c:pt idx="10">
                  <c:v>8.6744066827237418</c:v>
                </c:pt>
                <c:pt idx="11">
                  <c:v>8.7900538650435998</c:v>
                </c:pt>
                <c:pt idx="12">
                  <c:v>7.9348882120509803</c:v>
                </c:pt>
                <c:pt idx="13">
                  <c:v>8.3425652686764487</c:v>
                </c:pt>
                <c:pt idx="14">
                  <c:v>8.2027758342604411</c:v>
                </c:pt>
                <c:pt idx="15">
                  <c:v>8.1008677509945048</c:v>
                </c:pt>
                <c:pt idx="16">
                  <c:v>7.9262318101164322</c:v>
                </c:pt>
                <c:pt idx="17">
                  <c:v>7.5334158088211414</c:v>
                </c:pt>
                <c:pt idx="18">
                  <c:v>7.7198700594731182</c:v>
                </c:pt>
                <c:pt idx="19">
                  <c:v>7.5518741158387659</c:v>
                </c:pt>
                <c:pt idx="20">
                  <c:v>7.5138149732170572</c:v>
                </c:pt>
                <c:pt idx="21">
                  <c:v>6.9441620071047634</c:v>
                </c:pt>
                <c:pt idx="22">
                  <c:v>6.8064661188488254</c:v>
                </c:pt>
                <c:pt idx="23">
                  <c:v>6.8408033273724982</c:v>
                </c:pt>
                <c:pt idx="24">
                  <c:v>7.2819033763233421</c:v>
                </c:pt>
                <c:pt idx="25">
                  <c:v>6.5824164475425864</c:v>
                </c:pt>
                <c:pt idx="26">
                  <c:v>6.9182965307023565</c:v>
                </c:pt>
                <c:pt idx="27">
                  <c:v>6.3858015694658121</c:v>
                </c:pt>
                <c:pt idx="28">
                  <c:v>7.0059755771828165</c:v>
                </c:pt>
                <c:pt idx="29">
                  <c:v>6.8656767865508117</c:v>
                </c:pt>
                <c:pt idx="30">
                  <c:v>7.2429686463441891</c:v>
                </c:pt>
                <c:pt idx="31">
                  <c:v>7.1751249338414151</c:v>
                </c:pt>
                <c:pt idx="32">
                  <c:v>6.9690733090955108</c:v>
                </c:pt>
                <c:pt idx="33">
                  <c:v>7.4805081716603246</c:v>
                </c:pt>
                <c:pt idx="34">
                  <c:v>7.9736910697429675</c:v>
                </c:pt>
                <c:pt idx="35">
                  <c:v>8.0874230502927471</c:v>
                </c:pt>
                <c:pt idx="36">
                  <c:v>8.5738086559314919</c:v>
                </c:pt>
                <c:pt idx="37">
                  <c:v>8.9754383839611211</c:v>
                </c:pt>
                <c:pt idx="38">
                  <c:v>9.6525381544628956</c:v>
                </c:pt>
                <c:pt idx="39">
                  <c:v>9.3433444430555816</c:v>
                </c:pt>
                <c:pt idx="40">
                  <c:v>9.4670832033123276</c:v>
                </c:pt>
                <c:pt idx="41">
                  <c:v>10.531327699803338</c:v>
                </c:pt>
                <c:pt idx="42">
                  <c:v>10.392300185410509</c:v>
                </c:pt>
                <c:pt idx="43">
                  <c:v>11.110309959339899</c:v>
                </c:pt>
                <c:pt idx="44">
                  <c:v>11.14642019184358</c:v>
                </c:pt>
                <c:pt idx="45">
                  <c:v>10.959863056908329</c:v>
                </c:pt>
                <c:pt idx="46">
                  <c:v>11.28816462937376</c:v>
                </c:pt>
                <c:pt idx="47">
                  <c:v>11.612152150734971</c:v>
                </c:pt>
                <c:pt idx="48">
                  <c:v>12.571190263902917</c:v>
                </c:pt>
                <c:pt idx="49">
                  <c:v>12.723441267589244</c:v>
                </c:pt>
                <c:pt idx="50">
                  <c:v>12.649442981895506</c:v>
                </c:pt>
                <c:pt idx="51">
                  <c:v>12.295758563150923</c:v>
                </c:pt>
                <c:pt idx="52">
                  <c:v>12.296507205391922</c:v>
                </c:pt>
                <c:pt idx="53">
                  <c:v>11.978425930707889</c:v>
                </c:pt>
                <c:pt idx="54">
                  <c:v>12.356227517033599</c:v>
                </c:pt>
                <c:pt idx="55">
                  <c:v>12.371012845788789</c:v>
                </c:pt>
                <c:pt idx="56">
                  <c:v>11.914542470054625</c:v>
                </c:pt>
                <c:pt idx="57">
                  <c:v>11.701842939175673</c:v>
                </c:pt>
                <c:pt idx="58">
                  <c:v>11.337313930764044</c:v>
                </c:pt>
                <c:pt idx="59">
                  <c:v>11.672593460842299</c:v>
                </c:pt>
                <c:pt idx="60">
                  <c:v>11.61927770905195</c:v>
                </c:pt>
                <c:pt idx="61">
                  <c:v>11.344619939792993</c:v>
                </c:pt>
                <c:pt idx="62">
                  <c:v>11.691356313332237</c:v>
                </c:pt>
                <c:pt idx="63">
                  <c:v>11.150839607926304</c:v>
                </c:pt>
                <c:pt idx="64">
                  <c:v>10.683756803420277</c:v>
                </c:pt>
                <c:pt idx="65">
                  <c:v>10.765600352772315</c:v>
                </c:pt>
                <c:pt idx="66">
                  <c:v>11.01177416593932</c:v>
                </c:pt>
                <c:pt idx="67">
                  <c:v>10.728357976761814</c:v>
                </c:pt>
                <c:pt idx="68">
                  <c:v>10.80983157378189</c:v>
                </c:pt>
                <c:pt idx="69">
                  <c:v>10.09812839146554</c:v>
                </c:pt>
                <c:pt idx="70">
                  <c:v>11.139013003047371</c:v>
                </c:pt>
                <c:pt idx="71">
                  <c:v>11.456625551417812</c:v>
                </c:pt>
                <c:pt idx="72">
                  <c:v>11.782576185258915</c:v>
                </c:pt>
                <c:pt idx="73">
                  <c:v>11.455462409216665</c:v>
                </c:pt>
                <c:pt idx="74">
                  <c:v>12.448140099286038</c:v>
                </c:pt>
                <c:pt idx="75">
                  <c:v>11.807985288332912</c:v>
                </c:pt>
                <c:pt idx="76">
                  <c:v>12.742938359789973</c:v>
                </c:pt>
                <c:pt idx="77">
                  <c:v>13.072450382243057</c:v>
                </c:pt>
                <c:pt idx="78">
                  <c:v>13.148082923021903</c:v>
                </c:pt>
                <c:pt idx="79">
                  <c:v>13.972564395511982</c:v>
                </c:pt>
                <c:pt idx="80">
                  <c:v>13.388583490173893</c:v>
                </c:pt>
                <c:pt idx="81">
                  <c:v>14.069506008155644</c:v>
                </c:pt>
                <c:pt idx="82">
                  <c:v>14.893481035151058</c:v>
                </c:pt>
                <c:pt idx="83">
                  <c:v>14.752423427977376</c:v>
                </c:pt>
                <c:pt idx="84">
                  <c:v>14.622994096437072</c:v>
                </c:pt>
                <c:pt idx="85">
                  <c:v>15.162492782943154</c:v>
                </c:pt>
                <c:pt idx="86">
                  <c:v>15.27248509360526</c:v>
                </c:pt>
                <c:pt idx="87">
                  <c:v>15.710691613477133</c:v>
                </c:pt>
                <c:pt idx="88">
                  <c:v>15.821331850607351</c:v>
                </c:pt>
                <c:pt idx="89">
                  <c:v>16.566539924218517</c:v>
                </c:pt>
                <c:pt idx="90">
                  <c:v>15.940213601235216</c:v>
                </c:pt>
                <c:pt idx="91">
                  <c:v>16.77060247123077</c:v>
                </c:pt>
                <c:pt idx="92">
                  <c:v>16.548619615784723</c:v>
                </c:pt>
                <c:pt idx="93">
                  <c:v>16.232591435485343</c:v>
                </c:pt>
                <c:pt idx="94">
                  <c:v>16.412984403345412</c:v>
                </c:pt>
                <c:pt idx="95">
                  <c:v>15.59687354579113</c:v>
                </c:pt>
                <c:pt idx="96">
                  <c:v>15.463928834611547</c:v>
                </c:pt>
                <c:pt idx="97">
                  <c:v>16.167809157341523</c:v>
                </c:pt>
                <c:pt idx="98">
                  <c:v>15.914981548623629</c:v>
                </c:pt>
                <c:pt idx="99">
                  <c:v>15.348974823934926</c:v>
                </c:pt>
                <c:pt idx="100">
                  <c:v>15.405125914546776</c:v>
                </c:pt>
                <c:pt idx="101">
                  <c:v>15.528096165344245</c:v>
                </c:pt>
                <c:pt idx="102">
                  <c:v>15.420482955811176</c:v>
                </c:pt>
                <c:pt idx="103">
                  <c:v>15.512485031324056</c:v>
                </c:pt>
                <c:pt idx="104">
                  <c:v>14.78950229972936</c:v>
                </c:pt>
                <c:pt idx="105">
                  <c:v>14.751829459968954</c:v>
                </c:pt>
                <c:pt idx="106">
                  <c:v>14.933676079041094</c:v>
                </c:pt>
                <c:pt idx="107">
                  <c:v>14.967417377274737</c:v>
                </c:pt>
                <c:pt idx="108">
                  <c:v>14.217745926005723</c:v>
                </c:pt>
                <c:pt idx="109">
                  <c:v>14.734725450308499</c:v>
                </c:pt>
                <c:pt idx="110">
                  <c:v>14.649103786426435</c:v>
                </c:pt>
                <c:pt idx="111">
                  <c:v>15.51387822731323</c:v>
                </c:pt>
                <c:pt idx="112">
                  <c:v>15.281290439579548</c:v>
                </c:pt>
                <c:pt idx="113">
                  <c:v>15.950148181048958</c:v>
                </c:pt>
                <c:pt idx="114">
                  <c:v>16.196806742012733</c:v>
                </c:pt>
                <c:pt idx="115">
                  <c:v>16.583508118158409</c:v>
                </c:pt>
                <c:pt idx="116">
                  <c:v>16.372693229433054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A-4DDF-8405-4702B8D1E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070528"/>
        <c:axId val="275268352"/>
      </c:lineChart>
      <c:dateAx>
        <c:axId val="274070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75268352"/>
        <c:crosses val="autoZero"/>
        <c:auto val="1"/>
        <c:lblOffset val="100"/>
        <c:baseTimeUnit val="days"/>
      </c:dateAx>
      <c:valAx>
        <c:axId val="275268352"/>
        <c:scaling>
          <c:orientation val="minMax"/>
          <c:min val="4"/>
        </c:scaling>
        <c:delete val="0"/>
        <c:axPos val="l"/>
        <c:numFmt formatCode="0.00" sourceLinked="1"/>
        <c:majorTickMark val="out"/>
        <c:minorTickMark val="none"/>
        <c:tickLblPos val="nextTo"/>
        <c:crossAx val="274070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'First-order Differencing'!$D$1</c:f>
              <c:strCache>
                <c:ptCount val="1"/>
                <c:pt idx="0">
                  <c:v>dY</c:v>
                </c:pt>
              </c:strCache>
            </c:strRef>
          </c:tx>
          <c:marker>
            <c:symbol val="none"/>
          </c:marker>
          <c:cat>
            <c:numRef>
              <c:f>'First-order Differencing'!$A$2:$A$118</c:f>
              <c:numCache>
                <c:formatCode>m/d/yyyy</c:formatCode>
                <c:ptCount val="117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  <c:pt idx="92">
                  <c:v>44228</c:v>
                </c:pt>
                <c:pt idx="93">
                  <c:v>44229</c:v>
                </c:pt>
                <c:pt idx="94">
                  <c:v>44230</c:v>
                </c:pt>
                <c:pt idx="95">
                  <c:v>44231</c:v>
                </c:pt>
                <c:pt idx="96">
                  <c:v>44232</c:v>
                </c:pt>
                <c:pt idx="97">
                  <c:v>44233</c:v>
                </c:pt>
                <c:pt idx="98">
                  <c:v>44234</c:v>
                </c:pt>
                <c:pt idx="99">
                  <c:v>44235</c:v>
                </c:pt>
                <c:pt idx="100">
                  <c:v>44236</c:v>
                </c:pt>
                <c:pt idx="101">
                  <c:v>44237</c:v>
                </c:pt>
                <c:pt idx="102">
                  <c:v>44238</c:v>
                </c:pt>
                <c:pt idx="103">
                  <c:v>44239</c:v>
                </c:pt>
                <c:pt idx="104">
                  <c:v>44240</c:v>
                </c:pt>
                <c:pt idx="105">
                  <c:v>44241</c:v>
                </c:pt>
                <c:pt idx="106">
                  <c:v>44242</c:v>
                </c:pt>
                <c:pt idx="107">
                  <c:v>44243</c:v>
                </c:pt>
                <c:pt idx="108">
                  <c:v>44244</c:v>
                </c:pt>
                <c:pt idx="109">
                  <c:v>44245</c:v>
                </c:pt>
                <c:pt idx="110">
                  <c:v>44246</c:v>
                </c:pt>
                <c:pt idx="111">
                  <c:v>44247</c:v>
                </c:pt>
                <c:pt idx="112">
                  <c:v>44248</c:v>
                </c:pt>
                <c:pt idx="113">
                  <c:v>44249</c:v>
                </c:pt>
                <c:pt idx="114">
                  <c:v>44250</c:v>
                </c:pt>
                <c:pt idx="115">
                  <c:v>44251</c:v>
                </c:pt>
                <c:pt idx="116">
                  <c:v>44252</c:v>
                </c:pt>
              </c:numCache>
            </c:numRef>
          </c:cat>
          <c:val>
            <c:numRef>
              <c:f>'First-order Differencing'!$D$2:$D$118</c:f>
              <c:numCache>
                <c:formatCode>0.00</c:formatCode>
                <c:ptCount val="117"/>
                <c:pt idx="1">
                  <c:v>0.40910541526757793</c:v>
                </c:pt>
                <c:pt idx="2">
                  <c:v>-0.42182150657408446</c:v>
                </c:pt>
                <c:pt idx="3">
                  <c:v>0.30287771410371445</c:v>
                </c:pt>
                <c:pt idx="4">
                  <c:v>0.8347581061161522</c:v>
                </c:pt>
                <c:pt idx="5">
                  <c:v>-6.5766675892197313E-2</c:v>
                </c:pt>
                <c:pt idx="6">
                  <c:v>0.50533626660980158</c:v>
                </c:pt>
                <c:pt idx="7">
                  <c:v>0.33620252028347419</c:v>
                </c:pt>
                <c:pt idx="8">
                  <c:v>0.27076227254150886</c:v>
                </c:pt>
                <c:pt idx="9">
                  <c:v>-3.5625367133320651E-2</c:v>
                </c:pt>
                <c:pt idx="10">
                  <c:v>0.52879843509848357</c:v>
                </c:pt>
                <c:pt idx="11">
                  <c:v>0.11564718231985793</c:v>
                </c:pt>
                <c:pt idx="12">
                  <c:v>-0.85516565299261948</c:v>
                </c:pt>
                <c:pt idx="13">
                  <c:v>0.40767705662546838</c:v>
                </c:pt>
                <c:pt idx="14">
                  <c:v>-0.13978943441600755</c:v>
                </c:pt>
                <c:pt idx="15">
                  <c:v>-0.10190808326593626</c:v>
                </c:pt>
                <c:pt idx="16">
                  <c:v>-0.17463594087807266</c:v>
                </c:pt>
                <c:pt idx="17">
                  <c:v>-0.39281600129529082</c:v>
                </c:pt>
                <c:pt idx="18">
                  <c:v>0.18645425065197685</c:v>
                </c:pt>
                <c:pt idx="19">
                  <c:v>-0.16799594363435233</c:v>
                </c:pt>
                <c:pt idx="20">
                  <c:v>-3.805914262170873E-2</c:v>
                </c:pt>
                <c:pt idx="21">
                  <c:v>-0.56965296611229377</c:v>
                </c:pt>
                <c:pt idx="22">
                  <c:v>-0.13769588825593804</c:v>
                </c:pt>
                <c:pt idx="23">
                  <c:v>3.4337208523672835E-2</c:v>
                </c:pt>
                <c:pt idx="24">
                  <c:v>0.44110004895084387</c:v>
                </c:pt>
                <c:pt idx="25">
                  <c:v>-0.69948692878075569</c:v>
                </c:pt>
                <c:pt idx="26">
                  <c:v>0.33588008315977014</c:v>
                </c:pt>
                <c:pt idx="27">
                  <c:v>-0.53249496123654438</c:v>
                </c:pt>
                <c:pt idx="28">
                  <c:v>0.62017400771700437</c:v>
                </c:pt>
                <c:pt idx="29">
                  <c:v>-0.14029879063200479</c:v>
                </c:pt>
                <c:pt idx="30">
                  <c:v>0.37729185979337743</c:v>
                </c:pt>
                <c:pt idx="31">
                  <c:v>-6.784371250277399E-2</c:v>
                </c:pt>
                <c:pt idx="32">
                  <c:v>-0.20605162474590433</c:v>
                </c:pt>
                <c:pt idx="33">
                  <c:v>0.51143486256481374</c:v>
                </c:pt>
                <c:pt idx="34">
                  <c:v>0.49318289808264293</c:v>
                </c:pt>
                <c:pt idx="35">
                  <c:v>0.11373198054977962</c:v>
                </c:pt>
                <c:pt idx="36">
                  <c:v>0.48638560563874478</c:v>
                </c:pt>
                <c:pt idx="37">
                  <c:v>0.40162972802962926</c:v>
                </c:pt>
                <c:pt idx="38">
                  <c:v>0.6770997705017745</c:v>
                </c:pt>
                <c:pt idx="39">
                  <c:v>-0.309193711407314</c:v>
                </c:pt>
                <c:pt idx="40">
                  <c:v>0.12373876025674591</c:v>
                </c:pt>
                <c:pt idx="41">
                  <c:v>1.0642444964910105</c:v>
                </c:pt>
                <c:pt idx="42">
                  <c:v>-0.13902751439282923</c:v>
                </c:pt>
                <c:pt idx="43">
                  <c:v>0.71800977392939025</c:v>
                </c:pt>
                <c:pt idx="44">
                  <c:v>3.6110232503681061E-2</c:v>
                </c:pt>
                <c:pt idx="45">
                  <c:v>-0.18655713493525106</c:v>
                </c:pt>
                <c:pt idx="46">
                  <c:v>0.32830157246543124</c:v>
                </c:pt>
                <c:pt idx="47">
                  <c:v>0.3239875213612109</c:v>
                </c:pt>
                <c:pt idx="48">
                  <c:v>0.95903811316794574</c:v>
                </c:pt>
                <c:pt idx="49">
                  <c:v>0.15225100368632738</c:v>
                </c:pt>
                <c:pt idx="50">
                  <c:v>-7.3998285693738453E-2</c:v>
                </c:pt>
                <c:pt idx="51">
                  <c:v>-0.35368441874458334</c:v>
                </c:pt>
                <c:pt idx="52">
                  <c:v>7.4864224099968624E-4</c:v>
                </c:pt>
                <c:pt idx="53">
                  <c:v>-0.31808127468403313</c:v>
                </c:pt>
                <c:pt idx="54">
                  <c:v>0.37780158632570959</c:v>
                </c:pt>
                <c:pt idx="55">
                  <c:v>1.4785328755190008E-2</c:v>
                </c:pt>
                <c:pt idx="56">
                  <c:v>-0.45647037573416327</c:v>
                </c:pt>
                <c:pt idx="57">
                  <c:v>-0.2126995308789521</c:v>
                </c:pt>
                <c:pt idx="58">
                  <c:v>-0.36452900841162972</c:v>
                </c:pt>
                <c:pt idx="59">
                  <c:v>0.33527953007825495</c:v>
                </c:pt>
                <c:pt idx="60">
                  <c:v>-5.3315751790348642E-2</c:v>
                </c:pt>
                <c:pt idx="61">
                  <c:v>-0.27465776925895646</c:v>
                </c:pt>
                <c:pt idx="62">
                  <c:v>0.34673637353924391</c:v>
                </c:pt>
                <c:pt idx="63">
                  <c:v>-0.540516705405933</c:v>
                </c:pt>
                <c:pt idx="64">
                  <c:v>-0.46708280450602757</c:v>
                </c:pt>
                <c:pt idx="65">
                  <c:v>8.1843549352038636E-2</c:v>
                </c:pt>
                <c:pt idx="66">
                  <c:v>0.2461738131670046</c:v>
                </c:pt>
                <c:pt idx="67">
                  <c:v>-0.28341618917750644</c:v>
                </c:pt>
                <c:pt idx="68">
                  <c:v>8.1473597020076838E-2</c:v>
                </c:pt>
                <c:pt idx="69">
                  <c:v>-0.71170318231635044</c:v>
                </c:pt>
                <c:pt idx="70">
                  <c:v>1.0408846115818307</c:v>
                </c:pt>
                <c:pt idx="71">
                  <c:v>0.31761254837044106</c:v>
                </c:pt>
                <c:pt idx="72">
                  <c:v>0.3259506338411029</c:v>
                </c:pt>
                <c:pt idx="73">
                  <c:v>-0.32711377604224978</c:v>
                </c:pt>
                <c:pt idx="74">
                  <c:v>0.99267769006937279</c:v>
                </c:pt>
                <c:pt idx="75">
                  <c:v>-0.64015481095312587</c:v>
                </c:pt>
                <c:pt idx="76">
                  <c:v>0.93495307145706086</c:v>
                </c:pt>
                <c:pt idx="77">
                  <c:v>0.32951202245308409</c:v>
                </c:pt>
                <c:pt idx="78">
                  <c:v>7.5632540778846291E-2</c:v>
                </c:pt>
                <c:pt idx="79">
                  <c:v>0.82448147249007953</c:v>
                </c:pt>
                <c:pt idx="80">
                  <c:v>-0.58398090533808933</c:v>
                </c:pt>
                <c:pt idx="81">
                  <c:v>0.68092251798175063</c:v>
                </c:pt>
                <c:pt idx="82">
                  <c:v>0.82397502699541469</c:v>
                </c:pt>
                <c:pt idx="83">
                  <c:v>-0.14105760717368199</c:v>
                </c:pt>
                <c:pt idx="84">
                  <c:v>-0.12942933154030456</c:v>
                </c:pt>
                <c:pt idx="85">
                  <c:v>0.53949868650608224</c:v>
                </c:pt>
                <c:pt idx="86">
                  <c:v>0.10999231066210591</c:v>
                </c:pt>
                <c:pt idx="87">
                  <c:v>0.43820651987187276</c:v>
                </c:pt>
                <c:pt idx="88">
                  <c:v>0.11064023713021776</c:v>
                </c:pt>
                <c:pt idx="89">
                  <c:v>0.74520807361116681</c:v>
                </c:pt>
                <c:pt idx="90">
                  <c:v>-0.62632632298330115</c:v>
                </c:pt>
                <c:pt idx="91">
                  <c:v>0.83038886999555395</c:v>
                </c:pt>
                <c:pt idx="92">
                  <c:v>-0.22198285544604701</c:v>
                </c:pt>
                <c:pt idx="93">
                  <c:v>-0.31602818029938007</c:v>
                </c:pt>
                <c:pt idx="94">
                  <c:v>0.18039296786006886</c:v>
                </c:pt>
                <c:pt idx="95">
                  <c:v>-0.81611085755428192</c:v>
                </c:pt>
                <c:pt idx="96">
                  <c:v>-0.13294471117958295</c:v>
                </c:pt>
                <c:pt idx="97">
                  <c:v>0.70388032272997592</c:v>
                </c:pt>
                <c:pt idx="98">
                  <c:v>-0.25282760871789378</c:v>
                </c:pt>
                <c:pt idx="99">
                  <c:v>-0.5660067246887035</c:v>
                </c:pt>
                <c:pt idx="100">
                  <c:v>5.6151090611850307E-2</c:v>
                </c:pt>
                <c:pt idx="101">
                  <c:v>0.12297025079746859</c:v>
                </c:pt>
                <c:pt idx="102">
                  <c:v>-0.10761320953306885</c:v>
                </c:pt>
                <c:pt idx="103">
                  <c:v>9.200207551288031E-2</c:v>
                </c:pt>
                <c:pt idx="104">
                  <c:v>-0.72298273159469595</c:v>
                </c:pt>
                <c:pt idx="105">
                  <c:v>-3.7672839760405807E-2</c:v>
                </c:pt>
                <c:pt idx="106">
                  <c:v>0.1818466190721395</c:v>
                </c:pt>
                <c:pt idx="107">
                  <c:v>3.3741298233643136E-2</c:v>
                </c:pt>
                <c:pt idx="108">
                  <c:v>-0.74967145126901436</c:v>
                </c:pt>
                <c:pt idx="109">
                  <c:v>0.51697952430277638</c:v>
                </c:pt>
                <c:pt idx="110">
                  <c:v>-8.5621663882063714E-2</c:v>
                </c:pt>
                <c:pt idx="111">
                  <c:v>0.86477444088679434</c:v>
                </c:pt>
                <c:pt idx="112">
                  <c:v>-0.23258778773368149</c:v>
                </c:pt>
                <c:pt idx="113">
                  <c:v>0.66885774146940946</c:v>
                </c:pt>
                <c:pt idx="114">
                  <c:v>0.24665856096377503</c:v>
                </c:pt>
                <c:pt idx="115">
                  <c:v>0.38670137614567679</c:v>
                </c:pt>
                <c:pt idx="116">
                  <c:v>-0.21081488872535559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7-47A6-80D5-C1A948DD8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794368"/>
        <c:axId val="274137088"/>
      </c:lineChart>
      <c:dateAx>
        <c:axId val="274794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74137088"/>
        <c:crosses val="autoZero"/>
        <c:auto val="1"/>
        <c:lblOffset val="100"/>
        <c:baseTimeUnit val="days"/>
      </c:dateAx>
      <c:valAx>
        <c:axId val="274137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74794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Error!$C$2</c:f>
              <c:strCache>
                <c:ptCount val="1"/>
                <c:pt idx="0">
                  <c:v>Actual dY</c:v>
                </c:pt>
              </c:strCache>
            </c:strRef>
          </c:tx>
          <c:marker>
            <c:symbol val="none"/>
          </c:marker>
          <c:val>
            <c:numRef>
              <c:f>Error!$C$3:$C$118</c:f>
              <c:numCache>
                <c:formatCode>0.00</c:formatCode>
                <c:ptCount val="116"/>
                <c:pt idx="0">
                  <c:v>0.40910541526757793</c:v>
                </c:pt>
                <c:pt idx="1">
                  <c:v>-0.42182150657408446</c:v>
                </c:pt>
                <c:pt idx="2">
                  <c:v>0.30287771410371445</c:v>
                </c:pt>
                <c:pt idx="3">
                  <c:v>0.8347581061161522</c:v>
                </c:pt>
                <c:pt idx="4">
                  <c:v>-6.5766675892197313E-2</c:v>
                </c:pt>
                <c:pt idx="5">
                  <c:v>0.50533626660980158</c:v>
                </c:pt>
                <c:pt idx="6">
                  <c:v>0.33620252028347419</c:v>
                </c:pt>
                <c:pt idx="7">
                  <c:v>0.27076227254150886</c:v>
                </c:pt>
                <c:pt idx="8">
                  <c:v>-3.5625367133320651E-2</c:v>
                </c:pt>
                <c:pt idx="9">
                  <c:v>0.52879843509848357</c:v>
                </c:pt>
                <c:pt idx="10">
                  <c:v>0.11564718231985793</c:v>
                </c:pt>
                <c:pt idx="11">
                  <c:v>-0.85516565299261948</c:v>
                </c:pt>
                <c:pt idx="12">
                  <c:v>0.40767705662546838</c:v>
                </c:pt>
                <c:pt idx="13">
                  <c:v>-0.13978943441600755</c:v>
                </c:pt>
                <c:pt idx="14">
                  <c:v>-0.10190808326593626</c:v>
                </c:pt>
                <c:pt idx="15">
                  <c:v>-0.17463594087807266</c:v>
                </c:pt>
                <c:pt idx="16">
                  <c:v>-0.39281600129529082</c:v>
                </c:pt>
                <c:pt idx="17">
                  <c:v>0.18645425065197685</c:v>
                </c:pt>
                <c:pt idx="18">
                  <c:v>-0.16799594363435233</c:v>
                </c:pt>
                <c:pt idx="19">
                  <c:v>-3.805914262170873E-2</c:v>
                </c:pt>
                <c:pt idx="20">
                  <c:v>-0.56965296611229377</c:v>
                </c:pt>
                <c:pt idx="21">
                  <c:v>-0.13769588825593804</c:v>
                </c:pt>
                <c:pt idx="22">
                  <c:v>3.4337208523672835E-2</c:v>
                </c:pt>
                <c:pt idx="23">
                  <c:v>0.44110004895084387</c:v>
                </c:pt>
                <c:pt idx="24">
                  <c:v>-0.69948692878075569</c:v>
                </c:pt>
                <c:pt idx="25">
                  <c:v>0.33588008315977014</c:v>
                </c:pt>
                <c:pt idx="26">
                  <c:v>-0.53249496123654438</c:v>
                </c:pt>
                <c:pt idx="27">
                  <c:v>0.62017400771700437</c:v>
                </c:pt>
                <c:pt idx="28">
                  <c:v>-0.14029879063200479</c:v>
                </c:pt>
                <c:pt idx="29">
                  <c:v>0.37729185979337743</c:v>
                </c:pt>
                <c:pt idx="30">
                  <c:v>-6.784371250277399E-2</c:v>
                </c:pt>
                <c:pt idx="31">
                  <c:v>-0.20605162474590433</c:v>
                </c:pt>
                <c:pt idx="32">
                  <c:v>0.51143486256481374</c:v>
                </c:pt>
                <c:pt idx="33">
                  <c:v>0.49318289808264293</c:v>
                </c:pt>
                <c:pt idx="34">
                  <c:v>0.11373198054977962</c:v>
                </c:pt>
                <c:pt idx="35">
                  <c:v>0.48638560563874478</c:v>
                </c:pt>
                <c:pt idx="36">
                  <c:v>0.40162972802962926</c:v>
                </c:pt>
                <c:pt idx="37">
                  <c:v>0.6770997705017745</c:v>
                </c:pt>
                <c:pt idx="38">
                  <c:v>-0.309193711407314</c:v>
                </c:pt>
                <c:pt idx="39">
                  <c:v>0.12373876025674591</c:v>
                </c:pt>
                <c:pt idx="40">
                  <c:v>1.0642444964910105</c:v>
                </c:pt>
                <c:pt idx="41">
                  <c:v>-0.13902751439282923</c:v>
                </c:pt>
                <c:pt idx="42">
                  <c:v>0.71800977392939025</c:v>
                </c:pt>
                <c:pt idx="43">
                  <c:v>3.6110232503681061E-2</c:v>
                </c:pt>
                <c:pt idx="44">
                  <c:v>-0.18655713493525106</c:v>
                </c:pt>
                <c:pt idx="45">
                  <c:v>0.32830157246543124</c:v>
                </c:pt>
                <c:pt idx="46">
                  <c:v>0.3239875213612109</c:v>
                </c:pt>
                <c:pt idx="47">
                  <c:v>0.95903811316794574</c:v>
                </c:pt>
                <c:pt idx="48">
                  <c:v>0.15225100368632738</c:v>
                </c:pt>
                <c:pt idx="49">
                  <c:v>-7.3998285693738453E-2</c:v>
                </c:pt>
                <c:pt idx="50">
                  <c:v>-0.35368441874458334</c:v>
                </c:pt>
                <c:pt idx="51">
                  <c:v>7.4864224099968624E-4</c:v>
                </c:pt>
                <c:pt idx="52">
                  <c:v>-0.31808127468403313</c:v>
                </c:pt>
                <c:pt idx="53">
                  <c:v>0.37780158632570959</c:v>
                </c:pt>
                <c:pt idx="54">
                  <c:v>1.4785328755190008E-2</c:v>
                </c:pt>
                <c:pt idx="55">
                  <c:v>-0.45647037573416327</c:v>
                </c:pt>
                <c:pt idx="56">
                  <c:v>-0.2126995308789521</c:v>
                </c:pt>
                <c:pt idx="57">
                  <c:v>-0.36452900841162972</c:v>
                </c:pt>
                <c:pt idx="58">
                  <c:v>0.33527953007825495</c:v>
                </c:pt>
                <c:pt idx="59">
                  <c:v>-5.3315751790348642E-2</c:v>
                </c:pt>
                <c:pt idx="60">
                  <c:v>-0.27465776925895646</c:v>
                </c:pt>
                <c:pt idx="61">
                  <c:v>0.34673637353924391</c:v>
                </c:pt>
                <c:pt idx="62">
                  <c:v>-0.540516705405933</c:v>
                </c:pt>
                <c:pt idx="63">
                  <c:v>-0.46708280450602757</c:v>
                </c:pt>
                <c:pt idx="64">
                  <c:v>8.1843549352038636E-2</c:v>
                </c:pt>
                <c:pt idx="65">
                  <c:v>0.2461738131670046</c:v>
                </c:pt>
                <c:pt idx="66">
                  <c:v>-0.28341618917750644</c:v>
                </c:pt>
                <c:pt idx="67">
                  <c:v>8.1473597020076838E-2</c:v>
                </c:pt>
                <c:pt idx="68">
                  <c:v>-0.71170318231635044</c:v>
                </c:pt>
                <c:pt idx="69">
                  <c:v>1.0408846115818307</c:v>
                </c:pt>
                <c:pt idx="70">
                  <c:v>0.31761254837044106</c:v>
                </c:pt>
                <c:pt idx="71">
                  <c:v>0.3259506338411029</c:v>
                </c:pt>
                <c:pt idx="72">
                  <c:v>-0.32711377604224978</c:v>
                </c:pt>
                <c:pt idx="73">
                  <c:v>0.99267769006937279</c:v>
                </c:pt>
                <c:pt idx="74">
                  <c:v>-0.64015481095312587</c:v>
                </c:pt>
                <c:pt idx="75">
                  <c:v>0.93495307145706086</c:v>
                </c:pt>
                <c:pt idx="76">
                  <c:v>0.32951202245308409</c:v>
                </c:pt>
                <c:pt idx="77">
                  <c:v>7.5632540778846291E-2</c:v>
                </c:pt>
                <c:pt idx="78">
                  <c:v>0.82448147249007953</c:v>
                </c:pt>
                <c:pt idx="79">
                  <c:v>-0.58398090533808933</c:v>
                </c:pt>
                <c:pt idx="80">
                  <c:v>0.68092251798175063</c:v>
                </c:pt>
                <c:pt idx="81">
                  <c:v>0.82397502699541469</c:v>
                </c:pt>
                <c:pt idx="82">
                  <c:v>-0.14105760717368199</c:v>
                </c:pt>
                <c:pt idx="83">
                  <c:v>-0.12942933154030456</c:v>
                </c:pt>
                <c:pt idx="84">
                  <c:v>0.53949868650608224</c:v>
                </c:pt>
                <c:pt idx="85">
                  <c:v>0.10999231066210591</c:v>
                </c:pt>
                <c:pt idx="86">
                  <c:v>0.43820651987187276</c:v>
                </c:pt>
                <c:pt idx="87">
                  <c:v>0.11064023713021776</c:v>
                </c:pt>
                <c:pt idx="88">
                  <c:v>0.74520807361116681</c:v>
                </c:pt>
                <c:pt idx="89">
                  <c:v>-0.62632632298330115</c:v>
                </c:pt>
                <c:pt idx="90">
                  <c:v>0.83038886999555395</c:v>
                </c:pt>
                <c:pt idx="91">
                  <c:v>-0.22198285544604701</c:v>
                </c:pt>
                <c:pt idx="92">
                  <c:v>-0.31602818029938007</c:v>
                </c:pt>
                <c:pt idx="93">
                  <c:v>0.18039296786006886</c:v>
                </c:pt>
                <c:pt idx="94">
                  <c:v>-0.81611085755428192</c:v>
                </c:pt>
                <c:pt idx="95">
                  <c:v>-0.13294471117958295</c:v>
                </c:pt>
                <c:pt idx="96">
                  <c:v>0.70388032272997592</c:v>
                </c:pt>
                <c:pt idx="97">
                  <c:v>-0.25282760871789378</c:v>
                </c:pt>
                <c:pt idx="98">
                  <c:v>-0.5660067246887035</c:v>
                </c:pt>
                <c:pt idx="99">
                  <c:v>5.6151090611850307E-2</c:v>
                </c:pt>
                <c:pt idx="100">
                  <c:v>0.12297025079746859</c:v>
                </c:pt>
                <c:pt idx="101">
                  <c:v>-0.10761320953306885</c:v>
                </c:pt>
                <c:pt idx="102">
                  <c:v>9.200207551288031E-2</c:v>
                </c:pt>
                <c:pt idx="103">
                  <c:v>-0.72298273159469595</c:v>
                </c:pt>
                <c:pt idx="104">
                  <c:v>-3.7672839760405807E-2</c:v>
                </c:pt>
                <c:pt idx="105">
                  <c:v>0.1818466190721395</c:v>
                </c:pt>
                <c:pt idx="106">
                  <c:v>3.3741298233643136E-2</c:v>
                </c:pt>
                <c:pt idx="107">
                  <c:v>-0.74967145126901436</c:v>
                </c:pt>
                <c:pt idx="108">
                  <c:v>0.51697952430277638</c:v>
                </c:pt>
                <c:pt idx="109">
                  <c:v>-8.5621663882063714E-2</c:v>
                </c:pt>
                <c:pt idx="110">
                  <c:v>0.86477444088679434</c:v>
                </c:pt>
                <c:pt idx="111">
                  <c:v>-0.23258778773368149</c:v>
                </c:pt>
                <c:pt idx="112">
                  <c:v>0.66885774146940946</c:v>
                </c:pt>
                <c:pt idx="113">
                  <c:v>0.24665856096377503</c:v>
                </c:pt>
                <c:pt idx="114">
                  <c:v>0.38670137614567679</c:v>
                </c:pt>
                <c:pt idx="115">
                  <c:v>-0.21081488872535559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6-45C5-A78C-4BB1331A0AA8}"/>
            </c:ext>
          </c:extLst>
        </c:ser>
        <c:ser>
          <c:idx val="1"/>
          <c:order val="1"/>
          <c:tx>
            <c:strRef>
              <c:f>Error!$D$2</c:f>
              <c:strCache>
                <c:ptCount val="1"/>
                <c:pt idx="0">
                  <c:v>Predicted dY</c:v>
                </c:pt>
              </c:strCache>
            </c:strRef>
          </c:tx>
          <c:marker>
            <c:symbol val="none"/>
          </c:marker>
          <c:val>
            <c:numRef>
              <c:f>Error!$D$3:$D$118</c:f>
              <c:numCache>
                <c:formatCode>General</c:formatCode>
                <c:ptCount val="116"/>
                <c:pt idx="1">
                  <c:v>9.8213376349741421E-3</c:v>
                </c:pt>
                <c:pt idx="2">
                  <c:v>0.21085537577164182</c:v>
                </c:pt>
                <c:pt idx="3">
                  <c:v>3.5522013790242654E-2</c:v>
                </c:pt>
                <c:pt idx="4">
                  <c:v>-9.316085855547912E-2</c:v>
                </c:pt>
                <c:pt idx="5">
                  <c:v>0.12471165057929928</c:v>
                </c:pt>
                <c:pt idx="6">
                  <c:v>-1.3460705743496407E-2</c:v>
                </c:pt>
                <c:pt idx="7">
                  <c:v>2.7459427080944177E-2</c:v>
                </c:pt>
                <c:pt idx="8">
                  <c:v>4.3292007437196162E-2</c:v>
                </c:pt>
                <c:pt idx="9">
                  <c:v>0.11741927762177012</c:v>
                </c:pt>
                <c:pt idx="10">
                  <c:v>-1.9137130890810872E-2</c:v>
                </c:pt>
                <c:pt idx="11">
                  <c:v>8.0820473712036878E-2</c:v>
                </c:pt>
                <c:pt idx="12">
                  <c:v>0.31569843882262583</c:v>
                </c:pt>
                <c:pt idx="13">
                  <c:v>1.0166914000575886E-2</c:v>
                </c:pt>
                <c:pt idx="14">
                  <c:v>0.14262067924222266</c:v>
                </c:pt>
                <c:pt idx="15">
                  <c:v>0.13345568435327007</c:v>
                </c:pt>
                <c:pt idx="16">
                  <c:v>0.1510514253462216</c:v>
                </c:pt>
                <c:pt idx="17">
                  <c:v>0.20383779853215811</c:v>
                </c:pt>
                <c:pt idx="18">
                  <c:v>6.368944750352834E-2</c:v>
                </c:pt>
                <c:pt idx="19">
                  <c:v>0.14944494777998407</c:v>
                </c:pt>
                <c:pt idx="20">
                  <c:v>0.11800810402934912</c:v>
                </c:pt>
                <c:pt idx="21">
                  <c:v>0.24662164413220261</c:v>
                </c:pt>
                <c:pt idx="22">
                  <c:v>0.14211416774581875</c:v>
                </c:pt>
                <c:pt idx="23">
                  <c:v>0.10049256754286903</c:v>
                </c:pt>
                <c:pt idx="24">
                  <c:v>2.0805721849938702E-3</c:v>
                </c:pt>
                <c:pt idx="25">
                  <c:v>0.27803360722599191</c:v>
                </c:pt>
                <c:pt idx="26">
                  <c:v>2.7537437355156652E-2</c:v>
                </c:pt>
                <c:pt idx="27">
                  <c:v>0.23763165527407612</c:v>
                </c:pt>
                <c:pt idx="28">
                  <c:v>-4.1244490596809152E-2</c:v>
                </c:pt>
                <c:pt idx="29">
                  <c:v>0.14274391262684447</c:v>
                </c:pt>
                <c:pt idx="30">
                  <c:v>1.7518293114871492E-2</c:v>
                </c:pt>
                <c:pt idx="31">
                  <c:v>0.12521416776367028</c:v>
                </c:pt>
                <c:pt idx="32">
                  <c:v>0.1586521199714207</c:v>
                </c:pt>
                <c:pt idx="33">
                  <c:v>-1.4936196956469361E-2</c:v>
                </c:pt>
                <c:pt idx="34">
                  <c:v>-1.0520325924579715E-2</c:v>
                </c:pt>
                <c:pt idx="35">
                  <c:v>8.1283836657158423E-2</c:v>
                </c:pt>
                <c:pt idx="36">
                  <c:v>-8.8757924373699948E-3</c:v>
                </c:pt>
                <c:pt idx="37">
                  <c:v>1.1630001614666388E-2</c:v>
                </c:pt>
                <c:pt idx="38">
                  <c:v>-5.5017080779912048E-2</c:v>
                </c:pt>
                <c:pt idx="39">
                  <c:v>0.18360626411857173</c:v>
                </c:pt>
                <c:pt idx="40">
                  <c:v>7.8862801448939673E-2</c:v>
                </c:pt>
                <c:pt idx="41">
                  <c:v>-0.14868267947832636</c:v>
                </c:pt>
                <c:pt idx="42">
                  <c:v>0.14243634069815764</c:v>
                </c:pt>
                <c:pt idx="43">
                  <c:v>-6.4914826265171088E-2</c:v>
                </c:pt>
                <c:pt idx="44">
                  <c:v>0.1000636030201837</c:v>
                </c:pt>
                <c:pt idx="45">
                  <c:v>0.15393563299159874</c:v>
                </c:pt>
                <c:pt idx="46">
                  <c:v>2.9370978389749808E-2</c:v>
                </c:pt>
                <c:pt idx="47">
                  <c:v>3.0414717726401891E-2</c:v>
                </c:pt>
                <c:pt idx="48">
                  <c:v>-0.12322910044358648</c:v>
                </c:pt>
                <c:pt idx="49">
                  <c:v>7.1964563731138687E-2</c:v>
                </c:pt>
                <c:pt idx="50">
                  <c:v>0.12670320208072547</c:v>
                </c:pt>
                <c:pt idx="51">
                  <c:v>0.19437032329208381</c:v>
                </c:pt>
                <c:pt idx="52">
                  <c:v>0.10861896823772293</c:v>
                </c:pt>
                <c:pt idx="53">
                  <c:v>0.1857565166711716</c:v>
                </c:pt>
                <c:pt idx="54">
                  <c:v>1.7394970136103374E-2</c:v>
                </c:pt>
                <c:pt idx="55">
                  <c:v>0.10522293941998787</c:v>
                </c:pt>
                <c:pt idx="56">
                  <c:v>0.21923830560701313</c:v>
                </c:pt>
                <c:pt idx="57">
                  <c:v>0.16026051101033181</c:v>
                </c:pt>
                <c:pt idx="58">
                  <c:v>0.19699405781722051</c:v>
                </c:pt>
                <c:pt idx="59">
                  <c:v>2.7682734863179168E-2</c:v>
                </c:pt>
                <c:pt idx="60">
                  <c:v>0.12169928031552202</c:v>
                </c:pt>
                <c:pt idx="61">
                  <c:v>0.17525065578715499</c:v>
                </c:pt>
                <c:pt idx="62">
                  <c:v>2.4910871965588305E-2</c:v>
                </c:pt>
                <c:pt idx="63">
                  <c:v>0.23957243199087477</c:v>
                </c:pt>
                <c:pt idx="64">
                  <c:v>0.22180587124289003</c:v>
                </c:pt>
                <c:pt idx="65">
                  <c:v>8.8998907531642316E-2</c:v>
                </c:pt>
                <c:pt idx="66">
                  <c:v>4.924092683032414E-2</c:v>
                </c:pt>
                <c:pt idx="67">
                  <c:v>0.17736966346116345</c:v>
                </c:pt>
                <c:pt idx="68">
                  <c:v>8.9088413611247391E-2</c:v>
                </c:pt>
                <c:pt idx="69">
                  <c:v>0.28098920141196293</c:v>
                </c:pt>
                <c:pt idx="70">
                  <c:v>-0.14303100076837227</c:v>
                </c:pt>
                <c:pt idx="71">
                  <c:v>3.1957075459265016E-2</c:v>
                </c:pt>
                <c:pt idx="72">
                  <c:v>2.9939763288441834E-2</c:v>
                </c:pt>
                <c:pt idx="73">
                  <c:v>0.18794183546971599</c:v>
                </c:pt>
                <c:pt idx="74">
                  <c:v>-0.13136784262167603</c:v>
                </c:pt>
                <c:pt idx="75">
                  <c:v>0.26367882472399728</c:v>
                </c:pt>
                <c:pt idx="76">
                  <c:v>-0.11740197766472926</c:v>
                </c:pt>
                <c:pt idx="77">
                  <c:v>2.9078122733513526E-2</c:v>
                </c:pt>
                <c:pt idx="78">
                  <c:v>9.0501595796457321E-2</c:v>
                </c:pt>
                <c:pt idx="79">
                  <c:v>-9.0674535026905173E-2</c:v>
                </c:pt>
                <c:pt idx="80">
                  <c:v>0.25008813848329947</c:v>
                </c:pt>
                <c:pt idx="81">
                  <c:v>-5.5941954366837188E-2</c:v>
                </c:pt>
                <c:pt idx="82">
                  <c:v>-9.0552005860726592E-2</c:v>
                </c:pt>
                <c:pt idx="83">
                  <c:v>0.14292750031616877</c:v>
                </c:pt>
                <c:pt idx="84">
                  <c:v>0.14011416120571746</c:v>
                </c:pt>
                <c:pt idx="85">
                  <c:v>-2.1725944290645616E-2</c:v>
                </c:pt>
                <c:pt idx="86">
                  <c:v>8.2188610493527631E-2</c:v>
                </c:pt>
                <c:pt idx="87">
                  <c:v>2.7806311431537167E-3</c:v>
                </c:pt>
                <c:pt idx="88">
                  <c:v>8.2031851492373298E-2</c:v>
                </c:pt>
                <c:pt idx="89">
                  <c:v>-7.1495169098882649E-2</c:v>
                </c:pt>
                <c:pt idx="90">
                  <c:v>0.2603331673565159</c:v>
                </c:pt>
                <c:pt idx="91">
                  <c:v>-9.2103767783946938E-2</c:v>
                </c:pt>
                <c:pt idx="92">
                  <c:v>0.16250651384884862</c:v>
                </c:pt>
                <c:pt idx="93">
                  <c:v>0.18525979205680032</c:v>
                </c:pt>
                <c:pt idx="94">
                  <c:v>6.5155911188740062E-2</c:v>
                </c:pt>
                <c:pt idx="95">
                  <c:v>0.30624954141758232</c:v>
                </c:pt>
                <c:pt idx="96">
                  <c:v>0.14096467037311955</c:v>
                </c:pt>
                <c:pt idx="97">
                  <c:v>-6.1496354006530612E-2</c:v>
                </c:pt>
                <c:pt idx="98">
                  <c:v>0.16996907781515391</c:v>
                </c:pt>
                <c:pt idx="99">
                  <c:v>0.24573947433105947</c:v>
                </c:pt>
                <c:pt idx="100">
                  <c:v>9.5214927971504784E-2</c:v>
                </c:pt>
                <c:pt idx="101">
                  <c:v>7.9048734237833207E-2</c:v>
                </c:pt>
                <c:pt idx="102">
                  <c:v>0.13483597970947203</c:v>
                </c:pt>
                <c:pt idx="103">
                  <c:v>8.6541158863318229E-2</c:v>
                </c:pt>
                <c:pt idx="104">
                  <c:v>0.28371816984490461</c:v>
                </c:pt>
                <c:pt idx="105">
                  <c:v>0.11791464211096603</c:v>
                </c:pt>
                <c:pt idx="106">
                  <c:v>6.4804215551586913E-2</c:v>
                </c:pt>
                <c:pt idx="107">
                  <c:v>0.10063674177627376</c:v>
                </c:pt>
                <c:pt idx="108">
                  <c:v>0.29017522515000177</c:v>
                </c:pt>
                <c:pt idx="109">
                  <c:v>-1.6277669605849837E-2</c:v>
                </c:pt>
                <c:pt idx="110">
                  <c:v>0.12951535630580419</c:v>
                </c:pt>
                <c:pt idx="111">
                  <c:v>-0.10042299536966473</c:v>
                </c:pt>
                <c:pt idx="112">
                  <c:v>0.1650722657891322</c:v>
                </c:pt>
                <c:pt idx="113">
                  <c:v>-5.3023008455063553E-2</c:v>
                </c:pt>
                <c:pt idx="114">
                  <c:v>4.912364719417199E-2</c:v>
                </c:pt>
                <c:pt idx="115">
                  <c:v>1.5241759499829699E-2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6-45C5-A78C-4BB1331A0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81728"/>
        <c:axId val="275425536"/>
      </c:lineChart>
      <c:catAx>
        <c:axId val="184281728"/>
        <c:scaling>
          <c:orientation val="minMax"/>
        </c:scaling>
        <c:delete val="0"/>
        <c:axPos val="b"/>
        <c:majorTickMark val="none"/>
        <c:minorTickMark val="none"/>
        <c:tickLblPos val="nextTo"/>
        <c:crossAx val="275425536"/>
        <c:crosses val="autoZero"/>
        <c:auto val="1"/>
        <c:lblAlgn val="ctr"/>
        <c:lblOffset val="100"/>
        <c:noMultiLvlLbl val="0"/>
      </c:catAx>
      <c:valAx>
        <c:axId val="27542553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crossAx val="18428172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168275</xdr:colOff>
      <xdr:row>0</xdr:row>
      <xdr:rowOff>174625</xdr:rowOff>
    </xdr:from>
    <xdr:to>
      <xdr:col>10</xdr:col>
      <xdr:colOff>473075</xdr:colOff>
      <xdr:row>15</xdr:row>
      <xdr:rowOff>155575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41275</xdr:colOff>
      <xdr:row>0</xdr:row>
      <xdr:rowOff>111125</xdr:rowOff>
    </xdr:from>
    <xdr:to>
      <xdr:col>16</xdr:col>
      <xdr:colOff>520700</xdr:colOff>
      <xdr:row>14</xdr:row>
      <xdr:rowOff>69850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50800</xdr:colOff>
      <xdr:row>14</xdr:row>
      <xdr:rowOff>74084</xdr:rowOff>
    </xdr:from>
    <xdr:to>
      <xdr:col>16</xdr:col>
      <xdr:colOff>520700</xdr:colOff>
      <xdr:row>25</xdr:row>
      <xdr:rowOff>166159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508000</xdr:colOff>
      <xdr:row>2</xdr:row>
      <xdr:rowOff>147320</xdr:rowOff>
    </xdr:from>
    <xdr:to>
      <xdr:col>15</xdr:col>
      <xdr:colOff>167640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cuments\Python%20Scripts\Time%20Series%20Analysis\Trend,%20Seasonality%20and%20Noi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Price"/>
      <sheetName val="First-order Differencing"/>
      <sheetName val="Auto Regression"/>
      <sheetName val="Regression"/>
      <sheetName val="Error"/>
      <sheetName val="Sheet3"/>
      <sheetName val="Sheet4"/>
      <sheetName val="Moving Average"/>
    </sheetNames>
    <sheetDataSet>
      <sheetData sheetId="0"/>
      <sheetData sheetId="1"/>
      <sheetData sheetId="2">
        <row r="2">
          <cell r="A2">
            <v>44136</v>
          </cell>
          <cell r="B2">
            <v>1</v>
          </cell>
          <cell r="C2">
            <v>6.0097795023026315</v>
          </cell>
        </row>
        <row r="3">
          <cell r="A3">
            <v>44137</v>
          </cell>
          <cell r="B3">
            <v>2</v>
          </cell>
          <cell r="C3">
            <v>6.4188849175702094</v>
          </cell>
        </row>
        <row r="4">
          <cell r="A4">
            <v>44138</v>
          </cell>
          <cell r="B4">
            <v>3</v>
          </cell>
          <cell r="C4">
            <v>5.9970634109961249</v>
          </cell>
        </row>
        <row r="5">
          <cell r="A5">
            <v>44139</v>
          </cell>
          <cell r="B5">
            <v>4</v>
          </cell>
          <cell r="C5">
            <v>6.2999411250998394</v>
          </cell>
        </row>
        <row r="6">
          <cell r="A6">
            <v>44140</v>
          </cell>
          <cell r="B6">
            <v>5</v>
          </cell>
          <cell r="C6">
            <v>7.1346992312159916</v>
          </cell>
        </row>
        <row r="7">
          <cell r="A7">
            <v>44141</v>
          </cell>
          <cell r="B7">
            <v>6</v>
          </cell>
          <cell r="C7">
            <v>7.0689325553237943</v>
          </cell>
        </row>
        <row r="8">
          <cell r="A8">
            <v>44142</v>
          </cell>
          <cell r="B8">
            <v>7</v>
          </cell>
          <cell r="C8">
            <v>7.5742688219335959</v>
          </cell>
        </row>
        <row r="9">
          <cell r="A9">
            <v>44143</v>
          </cell>
          <cell r="B9">
            <v>8</v>
          </cell>
          <cell r="C9">
            <v>7.91047134221707</v>
          </cell>
        </row>
        <row r="10">
          <cell r="A10">
            <v>44144</v>
          </cell>
          <cell r="B10">
            <v>9</v>
          </cell>
          <cell r="C10">
            <v>8.1812336147585789</v>
          </cell>
        </row>
        <row r="11">
          <cell r="A11">
            <v>44145</v>
          </cell>
          <cell r="B11">
            <v>10</v>
          </cell>
          <cell r="C11">
            <v>8.1456082476252583</v>
          </cell>
        </row>
        <row r="12">
          <cell r="A12">
            <v>44146</v>
          </cell>
          <cell r="B12">
            <v>11</v>
          </cell>
          <cell r="C12">
            <v>8.6744066827237418</v>
          </cell>
        </row>
        <row r="13">
          <cell r="A13">
            <v>44147</v>
          </cell>
          <cell r="B13">
            <v>12</v>
          </cell>
          <cell r="C13">
            <v>8.7900538650435998</v>
          </cell>
        </row>
        <row r="14">
          <cell r="A14">
            <v>44148</v>
          </cell>
          <cell r="B14">
            <v>13</v>
          </cell>
          <cell r="C14">
            <v>7.9348882120509803</v>
          </cell>
        </row>
        <row r="15">
          <cell r="A15">
            <v>44149</v>
          </cell>
          <cell r="B15">
            <v>14</v>
          </cell>
          <cell r="C15">
            <v>8.3425652686764487</v>
          </cell>
        </row>
        <row r="16">
          <cell r="A16">
            <v>44150</v>
          </cell>
          <cell r="B16">
            <v>15</v>
          </cell>
          <cell r="C16">
            <v>8.2027758342604411</v>
          </cell>
        </row>
        <row r="17">
          <cell r="A17">
            <v>44151</v>
          </cell>
          <cell r="B17">
            <v>16</v>
          </cell>
          <cell r="C17">
            <v>8.1008677509945048</v>
          </cell>
        </row>
        <row r="18">
          <cell r="A18">
            <v>44152</v>
          </cell>
          <cell r="B18">
            <v>17</v>
          </cell>
          <cell r="C18">
            <v>7.9262318101164322</v>
          </cell>
        </row>
        <row r="19">
          <cell r="A19">
            <v>44153</v>
          </cell>
          <cell r="B19">
            <v>18</v>
          </cell>
          <cell r="C19">
            <v>7.5334158088211414</v>
          </cell>
        </row>
        <row r="20">
          <cell r="A20">
            <v>44154</v>
          </cell>
          <cell r="B20">
            <v>19</v>
          </cell>
          <cell r="C20">
            <v>7.7198700594731182</v>
          </cell>
        </row>
        <row r="21">
          <cell r="A21">
            <v>44155</v>
          </cell>
          <cell r="B21">
            <v>20</v>
          </cell>
          <cell r="C21">
            <v>7.5518741158387659</v>
          </cell>
        </row>
        <row r="22">
          <cell r="A22">
            <v>44156</v>
          </cell>
          <cell r="B22">
            <v>21</v>
          </cell>
          <cell r="C22">
            <v>7.5138149732170572</v>
          </cell>
        </row>
        <row r="23">
          <cell r="A23">
            <v>44157</v>
          </cell>
          <cell r="B23">
            <v>22</v>
          </cell>
          <cell r="C23">
            <v>6.9441620071047634</v>
          </cell>
        </row>
        <row r="24">
          <cell r="A24">
            <v>44158</v>
          </cell>
          <cell r="B24">
            <v>23</v>
          </cell>
          <cell r="C24">
            <v>6.8064661188488254</v>
          </cell>
        </row>
        <row r="25">
          <cell r="A25">
            <v>44159</v>
          </cell>
          <cell r="B25">
            <v>24</v>
          </cell>
          <cell r="C25">
            <v>6.8408033273724982</v>
          </cell>
        </row>
        <row r="26">
          <cell r="A26">
            <v>44160</v>
          </cell>
          <cell r="B26">
            <v>25</v>
          </cell>
          <cell r="C26">
            <v>7.2819033763233421</v>
          </cell>
        </row>
        <row r="27">
          <cell r="A27">
            <v>44161</v>
          </cell>
          <cell r="B27">
            <v>26</v>
          </cell>
          <cell r="C27">
            <v>6.5824164475425864</v>
          </cell>
        </row>
        <row r="28">
          <cell r="A28">
            <v>44162</v>
          </cell>
          <cell r="B28">
            <v>27</v>
          </cell>
          <cell r="C28">
            <v>6.9182965307023565</v>
          </cell>
        </row>
        <row r="29">
          <cell r="A29">
            <v>44163</v>
          </cell>
          <cell r="B29">
            <v>28</v>
          </cell>
          <cell r="C29">
            <v>6.3858015694658121</v>
          </cell>
        </row>
        <row r="30">
          <cell r="A30">
            <v>44164</v>
          </cell>
          <cell r="B30">
            <v>29</v>
          </cell>
          <cell r="C30">
            <v>7.0059755771828165</v>
          </cell>
        </row>
        <row r="31">
          <cell r="A31">
            <v>44165</v>
          </cell>
          <cell r="B31">
            <v>30</v>
          </cell>
          <cell r="C31">
            <v>6.8656767865508117</v>
          </cell>
        </row>
        <row r="32">
          <cell r="A32">
            <v>44166</v>
          </cell>
          <cell r="B32">
            <v>31</v>
          </cell>
          <cell r="C32">
            <v>7.2429686463441891</v>
          </cell>
        </row>
        <row r="33">
          <cell r="A33">
            <v>44167</v>
          </cell>
          <cell r="B33">
            <v>32</v>
          </cell>
          <cell r="C33">
            <v>7.1751249338414151</v>
          </cell>
        </row>
        <row r="34">
          <cell r="A34">
            <v>44168</v>
          </cell>
          <cell r="B34">
            <v>33</v>
          </cell>
          <cell r="C34">
            <v>6.9690733090955108</v>
          </cell>
        </row>
        <row r="35">
          <cell r="A35">
            <v>44169</v>
          </cell>
          <cell r="B35">
            <v>34</v>
          </cell>
          <cell r="C35">
            <v>7.4805081716603246</v>
          </cell>
        </row>
        <row r="36">
          <cell r="A36">
            <v>44170</v>
          </cell>
          <cell r="B36">
            <v>35</v>
          </cell>
          <cell r="C36">
            <v>7.9736910697429675</v>
          </cell>
        </row>
        <row r="37">
          <cell r="A37">
            <v>44171</v>
          </cell>
          <cell r="B37">
            <v>36</v>
          </cell>
          <cell r="C37">
            <v>8.0874230502927471</v>
          </cell>
        </row>
        <row r="38">
          <cell r="A38">
            <v>44172</v>
          </cell>
          <cell r="B38">
            <v>37</v>
          </cell>
          <cell r="C38">
            <v>8.5738086559314919</v>
          </cell>
        </row>
        <row r="39">
          <cell r="A39">
            <v>44173</v>
          </cell>
          <cell r="B39">
            <v>38</v>
          </cell>
          <cell r="C39">
            <v>8.9754383839611211</v>
          </cell>
        </row>
        <row r="40">
          <cell r="A40">
            <v>44174</v>
          </cell>
          <cell r="B40">
            <v>39</v>
          </cell>
          <cell r="C40">
            <v>9.6525381544628956</v>
          </cell>
        </row>
        <row r="41">
          <cell r="A41">
            <v>44175</v>
          </cell>
          <cell r="B41">
            <v>40</v>
          </cell>
          <cell r="C41">
            <v>9.3433444430555816</v>
          </cell>
        </row>
        <row r="42">
          <cell r="A42">
            <v>44176</v>
          </cell>
          <cell r="B42">
            <v>41</v>
          </cell>
          <cell r="C42">
            <v>9.4670832033123276</v>
          </cell>
        </row>
        <row r="43">
          <cell r="A43">
            <v>44177</v>
          </cell>
          <cell r="B43">
            <v>42</v>
          </cell>
          <cell r="C43">
            <v>10.531327699803338</v>
          </cell>
        </row>
        <row r="44">
          <cell r="A44">
            <v>44178</v>
          </cell>
          <cell r="B44">
            <v>43</v>
          </cell>
          <cell r="C44">
            <v>10.392300185410509</v>
          </cell>
        </row>
        <row r="45">
          <cell r="A45">
            <v>44179</v>
          </cell>
          <cell r="B45">
            <v>44</v>
          </cell>
          <cell r="C45">
            <v>11.110309959339899</v>
          </cell>
        </row>
        <row r="46">
          <cell r="A46">
            <v>44180</v>
          </cell>
          <cell r="B46">
            <v>45</v>
          </cell>
          <cell r="C46">
            <v>11.14642019184358</v>
          </cell>
        </row>
        <row r="47">
          <cell r="A47">
            <v>44181</v>
          </cell>
          <cell r="B47">
            <v>46</v>
          </cell>
          <cell r="C47">
            <v>10.959863056908329</v>
          </cell>
        </row>
        <row r="48">
          <cell r="A48">
            <v>44182</v>
          </cell>
          <cell r="B48">
            <v>47</v>
          </cell>
          <cell r="C48">
            <v>11.28816462937376</v>
          </cell>
        </row>
        <row r="49">
          <cell r="A49">
            <v>44183</v>
          </cell>
          <cell r="B49">
            <v>48</v>
          </cell>
          <cell r="C49">
            <v>11.612152150734971</v>
          </cell>
        </row>
        <row r="50">
          <cell r="A50">
            <v>44184</v>
          </cell>
          <cell r="B50">
            <v>49</v>
          </cell>
          <cell r="C50">
            <v>12.571190263902917</v>
          </cell>
        </row>
        <row r="51">
          <cell r="A51">
            <v>44185</v>
          </cell>
          <cell r="B51">
            <v>50</v>
          </cell>
          <cell r="C51">
            <v>12.723441267589244</v>
          </cell>
        </row>
        <row r="52">
          <cell r="A52">
            <v>44186</v>
          </cell>
          <cell r="B52">
            <v>51</v>
          </cell>
          <cell r="C52">
            <v>12.649442981895506</v>
          </cell>
        </row>
        <row r="53">
          <cell r="A53">
            <v>44187</v>
          </cell>
          <cell r="B53">
            <v>52</v>
          </cell>
          <cell r="C53">
            <v>12.295758563150923</v>
          </cell>
        </row>
        <row r="54">
          <cell r="A54">
            <v>44188</v>
          </cell>
          <cell r="B54">
            <v>53</v>
          </cell>
          <cell r="C54">
            <v>12.296507205391922</v>
          </cell>
        </row>
        <row r="55">
          <cell r="A55">
            <v>44189</v>
          </cell>
          <cell r="B55">
            <v>54</v>
          </cell>
          <cell r="C55">
            <v>11.978425930707889</v>
          </cell>
        </row>
        <row r="56">
          <cell r="A56">
            <v>44190</v>
          </cell>
          <cell r="B56">
            <v>55</v>
          </cell>
          <cell r="C56">
            <v>12.356227517033599</v>
          </cell>
        </row>
        <row r="57">
          <cell r="A57">
            <v>44191</v>
          </cell>
          <cell r="B57">
            <v>56</v>
          </cell>
          <cell r="C57">
            <v>12.371012845788789</v>
          </cell>
        </row>
        <row r="58">
          <cell r="A58">
            <v>44192</v>
          </cell>
          <cell r="B58">
            <v>57</v>
          </cell>
          <cell r="C58">
            <v>11.914542470054625</v>
          </cell>
        </row>
        <row r="59">
          <cell r="A59">
            <v>44193</v>
          </cell>
          <cell r="B59">
            <v>58</v>
          </cell>
          <cell r="C59">
            <v>11.701842939175673</v>
          </cell>
        </row>
        <row r="60">
          <cell r="A60">
            <v>44194</v>
          </cell>
          <cell r="B60">
            <v>59</v>
          </cell>
          <cell r="C60">
            <v>11.337313930764044</v>
          </cell>
        </row>
        <row r="61">
          <cell r="A61">
            <v>44195</v>
          </cell>
          <cell r="B61">
            <v>60</v>
          </cell>
          <cell r="C61">
            <v>11.672593460842299</v>
          </cell>
        </row>
        <row r="62">
          <cell r="A62">
            <v>44196</v>
          </cell>
          <cell r="B62">
            <v>61</v>
          </cell>
          <cell r="C62">
            <v>11.61927770905195</v>
          </cell>
        </row>
        <row r="63">
          <cell r="A63">
            <v>44197</v>
          </cell>
          <cell r="B63">
            <v>62</v>
          </cell>
          <cell r="C63">
            <v>11.344619939792993</v>
          </cell>
        </row>
        <row r="64">
          <cell r="A64">
            <v>44198</v>
          </cell>
          <cell r="B64">
            <v>63</v>
          </cell>
          <cell r="C64">
            <v>11.691356313332237</v>
          </cell>
        </row>
        <row r="65">
          <cell r="A65">
            <v>44199</v>
          </cell>
          <cell r="B65">
            <v>64</v>
          </cell>
          <cell r="C65">
            <v>11.150839607926304</v>
          </cell>
        </row>
        <row r="66">
          <cell r="A66">
            <v>44200</v>
          </cell>
          <cell r="B66">
            <v>65</v>
          </cell>
          <cell r="C66">
            <v>10.683756803420277</v>
          </cell>
        </row>
        <row r="67">
          <cell r="A67">
            <v>44201</v>
          </cell>
          <cell r="B67">
            <v>66</v>
          </cell>
          <cell r="C67">
            <v>10.765600352772315</v>
          </cell>
        </row>
        <row r="68">
          <cell r="A68">
            <v>44202</v>
          </cell>
          <cell r="B68">
            <v>67</v>
          </cell>
          <cell r="C68">
            <v>11.01177416593932</v>
          </cell>
        </row>
        <row r="69">
          <cell r="A69">
            <v>44203</v>
          </cell>
          <cell r="B69">
            <v>68</v>
          </cell>
          <cell r="C69">
            <v>10.728357976761814</v>
          </cell>
        </row>
        <row r="70">
          <cell r="A70">
            <v>44204</v>
          </cell>
          <cell r="B70">
            <v>69</v>
          </cell>
          <cell r="C70">
            <v>10.80983157378189</v>
          </cell>
        </row>
        <row r="71">
          <cell r="A71">
            <v>44205</v>
          </cell>
          <cell r="B71">
            <v>70</v>
          </cell>
          <cell r="C71">
            <v>10.09812839146554</v>
          </cell>
        </row>
        <row r="72">
          <cell r="A72">
            <v>44206</v>
          </cell>
          <cell r="B72">
            <v>71</v>
          </cell>
          <cell r="C72">
            <v>11.139013003047371</v>
          </cell>
        </row>
        <row r="73">
          <cell r="A73">
            <v>44207</v>
          </cell>
          <cell r="B73">
            <v>72</v>
          </cell>
          <cell r="C73">
            <v>11.456625551417812</v>
          </cell>
        </row>
        <row r="74">
          <cell r="A74">
            <v>44208</v>
          </cell>
          <cell r="B74">
            <v>73</v>
          </cell>
          <cell r="C74">
            <v>11.782576185258915</v>
          </cell>
        </row>
        <row r="75">
          <cell r="A75">
            <v>44209</v>
          </cell>
          <cell r="B75">
            <v>74</v>
          </cell>
          <cell r="C75">
            <v>11.455462409216665</v>
          </cell>
        </row>
        <row r="76">
          <cell r="A76">
            <v>44210</v>
          </cell>
          <cell r="B76">
            <v>75</v>
          </cell>
          <cell r="C76">
            <v>12.448140099286038</v>
          </cell>
        </row>
        <row r="77">
          <cell r="A77">
            <v>44211</v>
          </cell>
          <cell r="B77">
            <v>76</v>
          </cell>
          <cell r="C77">
            <v>11.807985288332912</v>
          </cell>
        </row>
        <row r="78">
          <cell r="A78">
            <v>44212</v>
          </cell>
          <cell r="B78">
            <v>77</v>
          </cell>
          <cell r="C78">
            <v>12.742938359789973</v>
          </cell>
        </row>
        <row r="79">
          <cell r="A79">
            <v>44213</v>
          </cell>
          <cell r="B79">
            <v>78</v>
          </cell>
          <cell r="C79">
            <v>13.072450382243057</v>
          </cell>
        </row>
        <row r="80">
          <cell r="A80">
            <v>44214</v>
          </cell>
          <cell r="B80">
            <v>79</v>
          </cell>
          <cell r="C80">
            <v>13.148082923021903</v>
          </cell>
        </row>
        <row r="81">
          <cell r="A81">
            <v>44215</v>
          </cell>
          <cell r="B81">
            <v>80</v>
          </cell>
          <cell r="C81">
            <v>13.972564395511982</v>
          </cell>
        </row>
        <row r="82">
          <cell r="A82">
            <v>44216</v>
          </cell>
          <cell r="B82">
            <v>81</v>
          </cell>
          <cell r="C82">
            <v>13.388583490173893</v>
          </cell>
        </row>
        <row r="83">
          <cell r="A83">
            <v>44217</v>
          </cell>
          <cell r="B83">
            <v>82</v>
          </cell>
          <cell r="C83">
            <v>14.069506008155644</v>
          </cell>
        </row>
        <row r="84">
          <cell r="A84">
            <v>44218</v>
          </cell>
          <cell r="B84">
            <v>83</v>
          </cell>
          <cell r="C84">
            <v>14.893481035151058</v>
          </cell>
        </row>
        <row r="85">
          <cell r="A85">
            <v>44219</v>
          </cell>
          <cell r="B85">
            <v>84</v>
          </cell>
          <cell r="C85">
            <v>14.752423427977376</v>
          </cell>
        </row>
        <row r="86">
          <cell r="A86">
            <v>44220</v>
          </cell>
          <cell r="B86">
            <v>85</v>
          </cell>
          <cell r="C86">
            <v>14.622994096437072</v>
          </cell>
        </row>
        <row r="87">
          <cell r="A87">
            <v>44221</v>
          </cell>
          <cell r="B87">
            <v>86</v>
          </cell>
          <cell r="C87">
            <v>15.162492782943154</v>
          </cell>
        </row>
        <row r="88">
          <cell r="A88">
            <v>44222</v>
          </cell>
          <cell r="B88">
            <v>87</v>
          </cell>
          <cell r="C88">
            <v>15.27248509360526</v>
          </cell>
        </row>
        <row r="89">
          <cell r="A89">
            <v>44223</v>
          </cell>
          <cell r="B89">
            <v>88</v>
          </cell>
          <cell r="C89">
            <v>15.710691613477133</v>
          </cell>
        </row>
        <row r="90">
          <cell r="A90">
            <v>44224</v>
          </cell>
          <cell r="B90">
            <v>89</v>
          </cell>
          <cell r="C90">
            <v>15.821331850607351</v>
          </cell>
        </row>
        <row r="91">
          <cell r="A91">
            <v>44225</v>
          </cell>
          <cell r="B91">
            <v>90</v>
          </cell>
          <cell r="C91">
            <v>16.566539924218517</v>
          </cell>
        </row>
        <row r="92">
          <cell r="A92">
            <v>44226</v>
          </cell>
          <cell r="B92">
            <v>91</v>
          </cell>
          <cell r="C92">
            <v>15.940213601235216</v>
          </cell>
        </row>
        <row r="93">
          <cell r="A93">
            <v>44227</v>
          </cell>
          <cell r="B93">
            <v>92</v>
          </cell>
          <cell r="C93">
            <v>16.77060247123077</v>
          </cell>
        </row>
        <row r="94">
          <cell r="A94">
            <v>44228</v>
          </cell>
          <cell r="B94">
            <v>93</v>
          </cell>
          <cell r="C94">
            <v>16.548619615784723</v>
          </cell>
        </row>
        <row r="95">
          <cell r="A95">
            <v>44229</v>
          </cell>
          <cell r="B95">
            <v>94</v>
          </cell>
          <cell r="C95">
            <v>16.232591435485343</v>
          </cell>
        </row>
        <row r="96">
          <cell r="A96">
            <v>44230</v>
          </cell>
          <cell r="B96">
            <v>95</v>
          </cell>
          <cell r="C96">
            <v>16.412984403345412</v>
          </cell>
        </row>
        <row r="97">
          <cell r="A97">
            <v>44231</v>
          </cell>
          <cell r="B97">
            <v>96</v>
          </cell>
          <cell r="C97">
            <v>15.59687354579113</v>
          </cell>
        </row>
        <row r="98">
          <cell r="A98">
            <v>44232</v>
          </cell>
          <cell r="B98">
            <v>97</v>
          </cell>
          <cell r="C98">
            <v>15.463928834611547</v>
          </cell>
        </row>
        <row r="99">
          <cell r="A99">
            <v>44233</v>
          </cell>
          <cell r="B99">
            <v>98</v>
          </cell>
          <cell r="C99">
            <v>16.167809157341523</v>
          </cell>
        </row>
        <row r="100">
          <cell r="A100">
            <v>44234</v>
          </cell>
          <cell r="B100">
            <v>99</v>
          </cell>
          <cell r="C100">
            <v>15.914981548623629</v>
          </cell>
        </row>
        <row r="101">
          <cell r="A101">
            <v>44235</v>
          </cell>
          <cell r="B101">
            <v>100</v>
          </cell>
          <cell r="C101">
            <v>15.348974823934926</v>
          </cell>
        </row>
        <row r="102">
          <cell r="A102">
            <v>44236</v>
          </cell>
          <cell r="B102">
            <v>101</v>
          </cell>
          <cell r="C102">
            <v>15.405125914546776</v>
          </cell>
        </row>
        <row r="103">
          <cell r="A103">
            <v>44237</v>
          </cell>
          <cell r="B103">
            <v>102</v>
          </cell>
          <cell r="C103">
            <v>15.528096165344245</v>
          </cell>
        </row>
        <row r="104">
          <cell r="A104">
            <v>44238</v>
          </cell>
          <cell r="B104">
            <v>103</v>
          </cell>
          <cell r="C104">
            <v>15.420482955811176</v>
          </cell>
        </row>
        <row r="105">
          <cell r="A105">
            <v>44239</v>
          </cell>
          <cell r="B105">
            <v>104</v>
          </cell>
          <cell r="C105">
            <v>15.512485031324056</v>
          </cell>
        </row>
        <row r="106">
          <cell r="A106">
            <v>44240</v>
          </cell>
          <cell r="B106">
            <v>105</v>
          </cell>
          <cell r="C106">
            <v>14.78950229972936</v>
          </cell>
        </row>
        <row r="107">
          <cell r="A107">
            <v>44241</v>
          </cell>
          <cell r="B107">
            <v>106</v>
          </cell>
          <cell r="C107">
            <v>14.751829459968954</v>
          </cell>
        </row>
        <row r="108">
          <cell r="A108">
            <v>44242</v>
          </cell>
          <cell r="B108">
            <v>107</v>
          </cell>
          <cell r="C108">
            <v>14.933676079041094</v>
          </cell>
        </row>
        <row r="109">
          <cell r="A109">
            <v>44243</v>
          </cell>
          <cell r="B109">
            <v>108</v>
          </cell>
          <cell r="C109">
            <v>14.967417377274737</v>
          </cell>
        </row>
        <row r="110">
          <cell r="A110">
            <v>44244</v>
          </cell>
          <cell r="B110">
            <v>109</v>
          </cell>
          <cell r="C110">
            <v>14.217745926005723</v>
          </cell>
        </row>
        <row r="111">
          <cell r="A111">
            <v>44245</v>
          </cell>
          <cell r="B111">
            <v>110</v>
          </cell>
          <cell r="C111">
            <v>14.734725450308499</v>
          </cell>
        </row>
        <row r="112">
          <cell r="A112">
            <v>44246</v>
          </cell>
          <cell r="B112">
            <v>111</v>
          </cell>
          <cell r="C112">
            <v>14.649103786426435</v>
          </cell>
        </row>
        <row r="113">
          <cell r="A113">
            <v>44247</v>
          </cell>
          <cell r="B113">
            <v>112</v>
          </cell>
          <cell r="C113">
            <v>15.51387822731323</v>
          </cell>
        </row>
        <row r="114">
          <cell r="A114">
            <v>44248</v>
          </cell>
          <cell r="B114">
            <v>113</v>
          </cell>
          <cell r="C114">
            <v>15.281290439579548</v>
          </cell>
        </row>
        <row r="115">
          <cell r="A115">
            <v>44249</v>
          </cell>
          <cell r="B115">
            <v>114</v>
          </cell>
          <cell r="C115">
            <v>15.950148181048958</v>
          </cell>
        </row>
        <row r="116">
          <cell r="A116">
            <v>44250</v>
          </cell>
          <cell r="B116">
            <v>115</v>
          </cell>
          <cell r="C116">
            <v>16.196806742012733</v>
          </cell>
        </row>
        <row r="117">
          <cell r="A117">
            <v>44251</v>
          </cell>
          <cell r="B117">
            <v>116</v>
          </cell>
          <cell r="C117">
            <v>16.583508118158409</v>
          </cell>
        </row>
        <row r="118">
          <cell r="A118">
            <v>44252</v>
          </cell>
          <cell r="B118">
            <v>117</v>
          </cell>
          <cell r="C118">
            <v>16.372693229433054</v>
          </cell>
        </row>
      </sheetData>
      <sheetData sheetId="3">
        <row r="3">
          <cell r="D3">
            <v>0.40910541526757793</v>
          </cell>
        </row>
        <row r="4">
          <cell r="D4">
            <v>-0.42182150657408446</v>
          </cell>
        </row>
        <row r="5">
          <cell r="D5">
            <v>0.30287771410371445</v>
          </cell>
        </row>
        <row r="6">
          <cell r="D6">
            <v>0.8347581061161522</v>
          </cell>
        </row>
        <row r="7">
          <cell r="D7">
            <v>-6.5766675892197313E-2</v>
          </cell>
        </row>
        <row r="8">
          <cell r="D8">
            <v>0.50533626660980158</v>
          </cell>
        </row>
        <row r="9">
          <cell r="D9">
            <v>0.33620252028347419</v>
          </cell>
        </row>
        <row r="10">
          <cell r="D10">
            <v>0.27076227254150886</v>
          </cell>
        </row>
        <row r="11">
          <cell r="D11">
            <v>-3.5625367133320651E-2</v>
          </cell>
        </row>
        <row r="12">
          <cell r="D12">
            <v>0.52879843509848357</v>
          </cell>
        </row>
        <row r="13">
          <cell r="D13">
            <v>0.11564718231985793</v>
          </cell>
        </row>
        <row r="14">
          <cell r="D14">
            <v>-0.85516565299261948</v>
          </cell>
        </row>
        <row r="15">
          <cell r="D15">
            <v>0.40767705662546838</v>
          </cell>
        </row>
        <row r="16">
          <cell r="D16">
            <v>-0.13978943441600755</v>
          </cell>
        </row>
        <row r="17">
          <cell r="D17">
            <v>-0.10190808326593626</v>
          </cell>
        </row>
        <row r="18">
          <cell r="D18">
            <v>-0.17463594087807266</v>
          </cell>
        </row>
        <row r="19">
          <cell r="D19">
            <v>-0.39281600129529082</v>
          </cell>
        </row>
        <row r="20">
          <cell r="D20">
            <v>0.18645425065197685</v>
          </cell>
        </row>
        <row r="21">
          <cell r="D21">
            <v>-0.16799594363435233</v>
          </cell>
        </row>
        <row r="22">
          <cell r="D22">
            <v>-3.805914262170873E-2</v>
          </cell>
        </row>
        <row r="23">
          <cell r="D23">
            <v>-0.56965296611229377</v>
          </cell>
        </row>
        <row r="24">
          <cell r="D24">
            <v>-0.13769588825593804</v>
          </cell>
        </row>
        <row r="25">
          <cell r="D25">
            <v>3.4337208523672835E-2</v>
          </cell>
        </row>
        <row r="26">
          <cell r="D26">
            <v>0.44110004895084387</v>
          </cell>
        </row>
        <row r="27">
          <cell r="D27">
            <v>-0.69948692878075569</v>
          </cell>
        </row>
        <row r="28">
          <cell r="D28">
            <v>0.33588008315977014</v>
          </cell>
        </row>
        <row r="29">
          <cell r="D29">
            <v>-0.53249496123654438</v>
          </cell>
        </row>
        <row r="30">
          <cell r="D30">
            <v>0.62017400771700437</v>
          </cell>
        </row>
        <row r="31">
          <cell r="D31">
            <v>-0.14029879063200479</v>
          </cell>
        </row>
        <row r="32">
          <cell r="D32">
            <v>0.37729185979337743</v>
          </cell>
        </row>
        <row r="33">
          <cell r="D33">
            <v>-6.784371250277399E-2</v>
          </cell>
        </row>
        <row r="34">
          <cell r="D34">
            <v>-0.20605162474590433</v>
          </cell>
        </row>
        <row r="35">
          <cell r="D35">
            <v>0.51143486256481374</v>
          </cell>
        </row>
        <row r="36">
          <cell r="D36">
            <v>0.49318289808264293</v>
          </cell>
        </row>
        <row r="37">
          <cell r="D37">
            <v>0.11373198054977962</v>
          </cell>
        </row>
        <row r="38">
          <cell r="D38">
            <v>0.48638560563874478</v>
          </cell>
        </row>
        <row r="39">
          <cell r="D39">
            <v>0.40162972802962926</v>
          </cell>
        </row>
        <row r="40">
          <cell r="D40">
            <v>0.6770997705017745</v>
          </cell>
        </row>
        <row r="41">
          <cell r="D41">
            <v>-0.309193711407314</v>
          </cell>
        </row>
        <row r="42">
          <cell r="D42">
            <v>0.12373876025674591</v>
          </cell>
        </row>
        <row r="43">
          <cell r="D43">
            <v>1.0642444964910105</v>
          </cell>
        </row>
        <row r="44">
          <cell r="D44">
            <v>-0.13902751439282923</v>
          </cell>
        </row>
        <row r="45">
          <cell r="D45">
            <v>0.71800977392939025</v>
          </cell>
        </row>
        <row r="46">
          <cell r="D46">
            <v>3.6110232503681061E-2</v>
          </cell>
        </row>
        <row r="47">
          <cell r="D47">
            <v>-0.18655713493525106</v>
          </cell>
        </row>
        <row r="48">
          <cell r="D48">
            <v>0.32830157246543124</v>
          </cell>
        </row>
        <row r="49">
          <cell r="D49">
            <v>0.3239875213612109</v>
          </cell>
        </row>
        <row r="50">
          <cell r="D50">
            <v>0.95903811316794574</v>
          </cell>
        </row>
        <row r="51">
          <cell r="D51">
            <v>0.15225100368632738</v>
          </cell>
        </row>
        <row r="52">
          <cell r="D52">
            <v>-7.3998285693738453E-2</v>
          </cell>
        </row>
        <row r="53">
          <cell r="D53">
            <v>-0.35368441874458334</v>
          </cell>
        </row>
        <row r="54">
          <cell r="D54">
            <v>7.4864224099968624E-4</v>
          </cell>
        </row>
        <row r="55">
          <cell r="D55">
            <v>-0.31808127468403313</v>
          </cell>
        </row>
        <row r="56">
          <cell r="D56">
            <v>0.37780158632570959</v>
          </cell>
        </row>
        <row r="57">
          <cell r="D57">
            <v>1.4785328755190008E-2</v>
          </cell>
        </row>
        <row r="58">
          <cell r="D58">
            <v>-0.45647037573416327</v>
          </cell>
        </row>
        <row r="59">
          <cell r="D59">
            <v>-0.2126995308789521</v>
          </cell>
        </row>
        <row r="60">
          <cell r="D60">
            <v>-0.36452900841162972</v>
          </cell>
        </row>
        <row r="61">
          <cell r="D61">
            <v>0.33527953007825495</v>
          </cell>
        </row>
        <row r="62">
          <cell r="D62">
            <v>-5.3315751790348642E-2</v>
          </cell>
        </row>
        <row r="63">
          <cell r="D63">
            <v>-0.27465776925895646</v>
          </cell>
        </row>
        <row r="64">
          <cell r="D64">
            <v>0.34673637353924391</v>
          </cell>
        </row>
        <row r="65">
          <cell r="D65">
            <v>-0.540516705405933</v>
          </cell>
        </row>
        <row r="66">
          <cell r="D66">
            <v>-0.46708280450602757</v>
          </cell>
        </row>
        <row r="67">
          <cell r="D67">
            <v>8.1843549352038636E-2</v>
          </cell>
        </row>
        <row r="68">
          <cell r="D68">
            <v>0.2461738131670046</v>
          </cell>
        </row>
        <row r="69">
          <cell r="D69">
            <v>-0.28341618917750644</v>
          </cell>
        </row>
        <row r="70">
          <cell r="D70">
            <v>8.1473597020076838E-2</v>
          </cell>
        </row>
        <row r="71">
          <cell r="D71">
            <v>-0.71170318231635044</v>
          </cell>
        </row>
        <row r="72">
          <cell r="D72">
            <v>1.0408846115818307</v>
          </cell>
        </row>
        <row r="73">
          <cell r="D73">
            <v>0.31761254837044106</v>
          </cell>
        </row>
        <row r="74">
          <cell r="D74">
            <v>0.3259506338411029</v>
          </cell>
        </row>
        <row r="75">
          <cell r="D75">
            <v>-0.32711377604224978</v>
          </cell>
        </row>
        <row r="76">
          <cell r="D76">
            <v>0.99267769006937279</v>
          </cell>
        </row>
        <row r="77">
          <cell r="D77">
            <v>-0.64015481095312587</v>
          </cell>
        </row>
        <row r="78">
          <cell r="D78">
            <v>0.93495307145706086</v>
          </cell>
        </row>
        <row r="79">
          <cell r="D79">
            <v>0.32951202245308409</v>
          </cell>
        </row>
        <row r="80">
          <cell r="D80">
            <v>7.5632540778846291E-2</v>
          </cell>
        </row>
        <row r="81">
          <cell r="D81">
            <v>0.82448147249007953</v>
          </cell>
        </row>
        <row r="82">
          <cell r="D82">
            <v>-0.58398090533808933</v>
          </cell>
        </row>
        <row r="83">
          <cell r="D83">
            <v>0.68092251798175063</v>
          </cell>
        </row>
        <row r="84">
          <cell r="D84">
            <v>0.82397502699541469</v>
          </cell>
        </row>
        <row r="85">
          <cell r="D85">
            <v>-0.14105760717368199</v>
          </cell>
        </row>
        <row r="86">
          <cell r="D86">
            <v>-0.12942933154030456</v>
          </cell>
        </row>
        <row r="87">
          <cell r="D87">
            <v>0.53949868650608224</v>
          </cell>
        </row>
        <row r="88">
          <cell r="D88">
            <v>0.10999231066210591</v>
          </cell>
        </row>
        <row r="89">
          <cell r="D89">
            <v>0.43820651987187276</v>
          </cell>
        </row>
        <row r="90">
          <cell r="D90">
            <v>0.11064023713021776</v>
          </cell>
        </row>
        <row r="91">
          <cell r="D91">
            <v>0.74520807361116681</v>
          </cell>
        </row>
        <row r="92">
          <cell r="D92">
            <v>-0.62632632298330115</v>
          </cell>
        </row>
        <row r="93">
          <cell r="D93">
            <v>0.83038886999555395</v>
          </cell>
        </row>
        <row r="94">
          <cell r="D94">
            <v>-0.22198285544604701</v>
          </cell>
        </row>
        <row r="95">
          <cell r="D95">
            <v>-0.31602818029938007</v>
          </cell>
        </row>
        <row r="96">
          <cell r="D96">
            <v>0.18039296786006886</v>
          </cell>
        </row>
        <row r="97">
          <cell r="D97">
            <v>-0.81611085755428192</v>
          </cell>
        </row>
        <row r="98">
          <cell r="D98">
            <v>-0.13294471117958295</v>
          </cell>
        </row>
        <row r="99">
          <cell r="D99">
            <v>0.70388032272997592</v>
          </cell>
        </row>
        <row r="100">
          <cell r="D100">
            <v>-0.25282760871789378</v>
          </cell>
        </row>
        <row r="101">
          <cell r="D101">
            <v>-0.5660067246887035</v>
          </cell>
        </row>
        <row r="102">
          <cell r="D102">
            <v>5.6151090611850307E-2</v>
          </cell>
        </row>
        <row r="103">
          <cell r="D103">
            <v>0.12297025079746859</v>
          </cell>
        </row>
        <row r="104">
          <cell r="D104">
            <v>-0.10761320953306885</v>
          </cell>
        </row>
        <row r="105">
          <cell r="D105">
            <v>9.200207551288031E-2</v>
          </cell>
        </row>
        <row r="106">
          <cell r="D106">
            <v>-0.72298273159469595</v>
          </cell>
        </row>
        <row r="107">
          <cell r="D107">
            <v>-3.7672839760405807E-2</v>
          </cell>
        </row>
        <row r="108">
          <cell r="D108">
            <v>0.1818466190721395</v>
          </cell>
        </row>
        <row r="109">
          <cell r="D109">
            <v>3.3741298233643136E-2</v>
          </cell>
        </row>
        <row r="110">
          <cell r="D110">
            <v>-0.74967145126901436</v>
          </cell>
        </row>
        <row r="111">
          <cell r="D111">
            <v>0.51697952430277638</v>
          </cell>
        </row>
        <row r="112">
          <cell r="D112">
            <v>-8.5621663882063714E-2</v>
          </cell>
        </row>
        <row r="113">
          <cell r="D113">
            <v>0.86477444088679434</v>
          </cell>
        </row>
        <row r="114">
          <cell r="D114">
            <v>-0.23258778773368149</v>
          </cell>
        </row>
        <row r="115">
          <cell r="D115">
            <v>0.66885774146940946</v>
          </cell>
        </row>
        <row r="116">
          <cell r="D116">
            <v>0.24665856096377503</v>
          </cell>
        </row>
        <row r="117">
          <cell r="D117">
            <v>0.38670137614567679</v>
          </cell>
        </row>
        <row r="118">
          <cell r="D118">
            <v>-0.21081488872535559</v>
          </cell>
        </row>
      </sheetData>
      <sheetData sheetId="4">
        <row r="2">
          <cell r="C2" t="str">
            <v>Time</v>
          </cell>
        </row>
        <row r="4">
          <cell r="C4">
            <v>2</v>
          </cell>
          <cell r="D4">
            <v>0.40910541526757793</v>
          </cell>
        </row>
        <row r="5">
          <cell r="C5">
            <v>3</v>
          </cell>
          <cell r="D5">
            <v>-0.42182150657408446</v>
          </cell>
        </row>
        <row r="6">
          <cell r="C6">
            <v>4</v>
          </cell>
          <cell r="D6">
            <v>0.30287771410371445</v>
          </cell>
        </row>
        <row r="7">
          <cell r="C7">
            <v>5</v>
          </cell>
          <cell r="D7">
            <v>0.8347581061161522</v>
          </cell>
        </row>
        <row r="8">
          <cell r="C8">
            <v>6</v>
          </cell>
          <cell r="D8">
            <v>-6.5766675892197313E-2</v>
          </cell>
        </row>
        <row r="9">
          <cell r="C9">
            <v>7</v>
          </cell>
          <cell r="D9">
            <v>0.50533626660980158</v>
          </cell>
        </row>
        <row r="10">
          <cell r="C10">
            <v>8</v>
          </cell>
          <cell r="D10">
            <v>0.33620252028347419</v>
          </cell>
        </row>
        <row r="11">
          <cell r="C11">
            <v>9</v>
          </cell>
          <cell r="D11">
            <v>0.27076227254150886</v>
          </cell>
        </row>
        <row r="12">
          <cell r="C12">
            <v>10</v>
          </cell>
          <cell r="D12">
            <v>-3.5625367133320651E-2</v>
          </cell>
        </row>
        <row r="13">
          <cell r="C13">
            <v>11</v>
          </cell>
          <cell r="D13">
            <v>0.52879843509848357</v>
          </cell>
        </row>
        <row r="14">
          <cell r="C14">
            <v>12</v>
          </cell>
          <cell r="D14">
            <v>0.11564718231985793</v>
          </cell>
        </row>
        <row r="15">
          <cell r="C15">
            <v>13</v>
          </cell>
          <cell r="D15">
            <v>-0.85516565299261948</v>
          </cell>
        </row>
        <row r="16">
          <cell r="C16">
            <v>14</v>
          </cell>
          <cell r="D16">
            <v>0.40767705662546838</v>
          </cell>
        </row>
        <row r="17">
          <cell r="C17">
            <v>15</v>
          </cell>
          <cell r="D17">
            <v>-0.13978943441600755</v>
          </cell>
        </row>
        <row r="18">
          <cell r="C18">
            <v>16</v>
          </cell>
          <cell r="D18">
            <v>-0.10190808326593626</v>
          </cell>
        </row>
        <row r="19">
          <cell r="C19">
            <v>17</v>
          </cell>
          <cell r="D19">
            <v>-0.17463594087807266</v>
          </cell>
        </row>
        <row r="20">
          <cell r="C20">
            <v>18</v>
          </cell>
          <cell r="D20">
            <v>-0.39281600129529082</v>
          </cell>
        </row>
        <row r="21">
          <cell r="C21">
            <v>19</v>
          </cell>
          <cell r="D21">
            <v>0.18645425065197685</v>
          </cell>
        </row>
        <row r="22">
          <cell r="C22">
            <v>20</v>
          </cell>
          <cell r="D22">
            <v>-0.16799594363435233</v>
          </cell>
        </row>
        <row r="23">
          <cell r="C23">
            <v>21</v>
          </cell>
          <cell r="D23">
            <v>-3.805914262170873E-2</v>
          </cell>
        </row>
        <row r="24">
          <cell r="C24">
            <v>22</v>
          </cell>
          <cell r="D24">
            <v>-0.56965296611229377</v>
          </cell>
        </row>
        <row r="25">
          <cell r="C25">
            <v>23</v>
          </cell>
          <cell r="D25">
            <v>-0.13769588825593804</v>
          </cell>
        </row>
        <row r="26">
          <cell r="C26">
            <v>24</v>
          </cell>
          <cell r="D26">
            <v>3.4337208523672835E-2</v>
          </cell>
        </row>
        <row r="27">
          <cell r="C27">
            <v>25</v>
          </cell>
          <cell r="D27">
            <v>0.44110004895084387</v>
          </cell>
        </row>
        <row r="28">
          <cell r="C28">
            <v>26</v>
          </cell>
          <cell r="D28">
            <v>-0.69948692878075569</v>
          </cell>
        </row>
        <row r="29">
          <cell r="C29">
            <v>27</v>
          </cell>
          <cell r="D29">
            <v>0.33588008315977014</v>
          </cell>
        </row>
        <row r="30">
          <cell r="C30">
            <v>28</v>
          </cell>
          <cell r="D30">
            <v>-0.53249496123654438</v>
          </cell>
        </row>
        <row r="31">
          <cell r="C31">
            <v>29</v>
          </cell>
          <cell r="D31">
            <v>0.62017400771700437</v>
          </cell>
        </row>
        <row r="32">
          <cell r="C32">
            <v>30</v>
          </cell>
          <cell r="D32">
            <v>-0.14029879063200479</v>
          </cell>
        </row>
        <row r="33">
          <cell r="C33">
            <v>31</v>
          </cell>
          <cell r="D33">
            <v>0.37729185979337743</v>
          </cell>
        </row>
        <row r="34">
          <cell r="C34">
            <v>32</v>
          </cell>
          <cell r="D34">
            <v>-6.784371250277399E-2</v>
          </cell>
        </row>
        <row r="35">
          <cell r="C35">
            <v>33</v>
          </cell>
          <cell r="D35">
            <v>-0.20605162474590433</v>
          </cell>
        </row>
        <row r="36">
          <cell r="C36">
            <v>34</v>
          </cell>
          <cell r="D36">
            <v>0.51143486256481374</v>
          </cell>
        </row>
        <row r="37">
          <cell r="C37">
            <v>35</v>
          </cell>
          <cell r="D37">
            <v>0.49318289808264293</v>
          </cell>
        </row>
        <row r="38">
          <cell r="C38">
            <v>36</v>
          </cell>
          <cell r="D38">
            <v>0.11373198054977962</v>
          </cell>
        </row>
        <row r="39">
          <cell r="C39">
            <v>37</v>
          </cell>
          <cell r="D39">
            <v>0.48638560563874478</v>
          </cell>
        </row>
        <row r="40">
          <cell r="C40">
            <v>38</v>
          </cell>
          <cell r="D40">
            <v>0.40162972802962926</v>
          </cell>
        </row>
        <row r="41">
          <cell r="C41">
            <v>39</v>
          </cell>
          <cell r="D41">
            <v>0.6770997705017745</v>
          </cell>
        </row>
        <row r="42">
          <cell r="C42">
            <v>40</v>
          </cell>
          <cell r="D42">
            <v>-0.309193711407314</v>
          </cell>
        </row>
        <row r="43">
          <cell r="C43">
            <v>41</v>
          </cell>
          <cell r="D43">
            <v>0.12373876025674591</v>
          </cell>
        </row>
        <row r="44">
          <cell r="C44">
            <v>42</v>
          </cell>
          <cell r="D44">
            <v>1.0642444964910105</v>
          </cell>
        </row>
        <row r="45">
          <cell r="C45">
            <v>43</v>
          </cell>
          <cell r="D45">
            <v>-0.13902751439282923</v>
          </cell>
        </row>
        <row r="46">
          <cell r="C46">
            <v>44</v>
          </cell>
          <cell r="D46">
            <v>0.71800977392939025</v>
          </cell>
        </row>
        <row r="47">
          <cell r="C47">
            <v>45</v>
          </cell>
          <cell r="D47">
            <v>3.6110232503681061E-2</v>
          </cell>
        </row>
        <row r="48">
          <cell r="C48">
            <v>46</v>
          </cell>
          <cell r="D48">
            <v>-0.18655713493525106</v>
          </cell>
        </row>
        <row r="49">
          <cell r="C49">
            <v>47</v>
          </cell>
          <cell r="D49">
            <v>0.32830157246543124</v>
          </cell>
        </row>
        <row r="50">
          <cell r="C50">
            <v>48</v>
          </cell>
          <cell r="D50">
            <v>0.3239875213612109</v>
          </cell>
        </row>
        <row r="51">
          <cell r="C51">
            <v>49</v>
          </cell>
          <cell r="D51">
            <v>0.95903811316794574</v>
          </cell>
        </row>
        <row r="52">
          <cell r="C52">
            <v>50</v>
          </cell>
          <cell r="D52">
            <v>0.15225100368632738</v>
          </cell>
        </row>
        <row r="53">
          <cell r="C53">
            <v>51</v>
          </cell>
          <cell r="D53">
            <v>-7.3998285693738453E-2</v>
          </cell>
        </row>
        <row r="54">
          <cell r="C54">
            <v>52</v>
          </cell>
          <cell r="D54">
            <v>-0.35368441874458334</v>
          </cell>
        </row>
        <row r="55">
          <cell r="C55">
            <v>53</v>
          </cell>
          <cell r="D55">
            <v>7.4864224099968624E-4</v>
          </cell>
        </row>
        <row r="56">
          <cell r="C56">
            <v>54</v>
          </cell>
          <cell r="D56">
            <v>-0.31808127468403313</v>
          </cell>
        </row>
        <row r="57">
          <cell r="C57">
            <v>55</v>
          </cell>
          <cell r="D57">
            <v>0.37780158632570959</v>
          </cell>
        </row>
        <row r="58">
          <cell r="C58">
            <v>56</v>
          </cell>
          <cell r="D58">
            <v>1.4785328755190008E-2</v>
          </cell>
        </row>
        <row r="59">
          <cell r="C59">
            <v>57</v>
          </cell>
          <cell r="D59">
            <v>-0.45647037573416327</v>
          </cell>
        </row>
        <row r="60">
          <cell r="C60">
            <v>58</v>
          </cell>
          <cell r="D60">
            <v>-0.2126995308789521</v>
          </cell>
        </row>
        <row r="61">
          <cell r="C61">
            <v>59</v>
          </cell>
          <cell r="D61">
            <v>-0.36452900841162972</v>
          </cell>
        </row>
        <row r="62">
          <cell r="C62">
            <v>60</v>
          </cell>
          <cell r="D62">
            <v>0.33527953007825495</v>
          </cell>
        </row>
        <row r="63">
          <cell r="C63">
            <v>61</v>
          </cell>
          <cell r="D63">
            <v>-5.3315751790348642E-2</v>
          </cell>
        </row>
        <row r="64">
          <cell r="C64">
            <v>62</v>
          </cell>
          <cell r="D64">
            <v>-0.27465776925895646</v>
          </cell>
        </row>
        <row r="65">
          <cell r="C65">
            <v>63</v>
          </cell>
          <cell r="D65">
            <v>0.34673637353924391</v>
          </cell>
        </row>
        <row r="66">
          <cell r="C66">
            <v>64</v>
          </cell>
          <cell r="D66">
            <v>-0.540516705405933</v>
          </cell>
        </row>
        <row r="67">
          <cell r="C67">
            <v>65</v>
          </cell>
          <cell r="D67">
            <v>-0.46708280450602757</v>
          </cell>
        </row>
        <row r="68">
          <cell r="C68">
            <v>66</v>
          </cell>
          <cell r="D68">
            <v>8.1843549352038636E-2</v>
          </cell>
        </row>
        <row r="69">
          <cell r="C69">
            <v>67</v>
          </cell>
          <cell r="D69">
            <v>0.2461738131670046</v>
          </cell>
        </row>
        <row r="70">
          <cell r="C70">
            <v>68</v>
          </cell>
          <cell r="D70">
            <v>-0.28341618917750644</v>
          </cell>
        </row>
        <row r="71">
          <cell r="C71">
            <v>69</v>
          </cell>
          <cell r="D71">
            <v>8.1473597020076838E-2</v>
          </cell>
        </row>
        <row r="72">
          <cell r="C72">
            <v>70</v>
          </cell>
          <cell r="D72">
            <v>-0.71170318231635044</v>
          </cell>
        </row>
        <row r="73">
          <cell r="C73">
            <v>71</v>
          </cell>
          <cell r="D73">
            <v>1.0408846115818307</v>
          </cell>
        </row>
        <row r="74">
          <cell r="C74">
            <v>72</v>
          </cell>
          <cell r="D74">
            <v>0.31761254837044106</v>
          </cell>
        </row>
        <row r="75">
          <cell r="C75">
            <v>73</v>
          </cell>
          <cell r="D75">
            <v>0.3259506338411029</v>
          </cell>
        </row>
        <row r="76">
          <cell r="C76">
            <v>74</v>
          </cell>
          <cell r="D76">
            <v>-0.32711377604224978</v>
          </cell>
        </row>
        <row r="77">
          <cell r="C77">
            <v>75</v>
          </cell>
          <cell r="D77">
            <v>0.99267769006937279</v>
          </cell>
        </row>
        <row r="78">
          <cell r="C78">
            <v>76</v>
          </cell>
          <cell r="D78">
            <v>-0.64015481095312587</v>
          </cell>
        </row>
        <row r="79">
          <cell r="C79">
            <v>77</v>
          </cell>
          <cell r="D79">
            <v>0.93495307145706086</v>
          </cell>
        </row>
        <row r="80">
          <cell r="C80">
            <v>78</v>
          </cell>
          <cell r="D80">
            <v>0.32951202245308409</v>
          </cell>
        </row>
        <row r="81">
          <cell r="C81">
            <v>79</v>
          </cell>
          <cell r="D81">
            <v>7.5632540778846291E-2</v>
          </cell>
        </row>
        <row r="82">
          <cell r="C82">
            <v>80</v>
          </cell>
          <cell r="D82">
            <v>0.82448147249007953</v>
          </cell>
        </row>
        <row r="83">
          <cell r="C83">
            <v>81</v>
          </cell>
          <cell r="D83">
            <v>-0.58398090533808933</v>
          </cell>
        </row>
        <row r="84">
          <cell r="C84">
            <v>82</v>
          </cell>
          <cell r="D84">
            <v>0.68092251798175063</v>
          </cell>
        </row>
        <row r="85">
          <cell r="C85">
            <v>83</v>
          </cell>
          <cell r="D85">
            <v>0.82397502699541469</v>
          </cell>
        </row>
        <row r="86">
          <cell r="C86">
            <v>84</v>
          </cell>
          <cell r="D86">
            <v>-0.14105760717368199</v>
          </cell>
        </row>
        <row r="87">
          <cell r="C87">
            <v>85</v>
          </cell>
          <cell r="D87">
            <v>-0.12942933154030456</v>
          </cell>
        </row>
        <row r="88">
          <cell r="C88">
            <v>86</v>
          </cell>
          <cell r="D88">
            <v>0.53949868650608224</v>
          </cell>
        </row>
        <row r="89">
          <cell r="C89">
            <v>87</v>
          </cell>
          <cell r="D89">
            <v>0.10999231066210591</v>
          </cell>
        </row>
        <row r="90">
          <cell r="C90">
            <v>88</v>
          </cell>
          <cell r="D90">
            <v>0.43820651987187276</v>
          </cell>
        </row>
        <row r="91">
          <cell r="C91">
            <v>89</v>
          </cell>
          <cell r="D91">
            <v>0.11064023713021776</v>
          </cell>
        </row>
        <row r="92">
          <cell r="C92">
            <v>90</v>
          </cell>
          <cell r="D92">
            <v>0.74520807361116681</v>
          </cell>
        </row>
        <row r="93">
          <cell r="C93">
            <v>91</v>
          </cell>
          <cell r="D93">
            <v>-0.62632632298330115</v>
          </cell>
        </row>
        <row r="94">
          <cell r="C94">
            <v>92</v>
          </cell>
          <cell r="D94">
            <v>0.83038886999555395</v>
          </cell>
        </row>
        <row r="95">
          <cell r="C95">
            <v>93</v>
          </cell>
          <cell r="D95">
            <v>-0.22198285544604701</v>
          </cell>
        </row>
        <row r="96">
          <cell r="C96">
            <v>94</v>
          </cell>
          <cell r="D96">
            <v>-0.31602818029938007</v>
          </cell>
        </row>
        <row r="97">
          <cell r="C97">
            <v>95</v>
          </cell>
          <cell r="D97">
            <v>0.18039296786006886</v>
          </cell>
        </row>
        <row r="98">
          <cell r="C98">
            <v>96</v>
          </cell>
          <cell r="D98">
            <v>-0.81611085755428192</v>
          </cell>
        </row>
        <row r="99">
          <cell r="C99">
            <v>97</v>
          </cell>
          <cell r="D99">
            <v>-0.13294471117958295</v>
          </cell>
        </row>
        <row r="100">
          <cell r="C100">
            <v>98</v>
          </cell>
          <cell r="D100">
            <v>0.70388032272997592</v>
          </cell>
        </row>
        <row r="101">
          <cell r="C101">
            <v>99</v>
          </cell>
          <cell r="D101">
            <v>-0.25282760871789378</v>
          </cell>
        </row>
        <row r="102">
          <cell r="C102">
            <v>100</v>
          </cell>
          <cell r="D102">
            <v>-0.5660067246887035</v>
          </cell>
        </row>
        <row r="103">
          <cell r="C103">
            <v>101</v>
          </cell>
          <cell r="D103">
            <v>5.6151090611850307E-2</v>
          </cell>
        </row>
        <row r="104">
          <cell r="C104">
            <v>102</v>
          </cell>
          <cell r="D104">
            <v>0.12297025079746859</v>
          </cell>
        </row>
        <row r="105">
          <cell r="C105">
            <v>103</v>
          </cell>
          <cell r="D105">
            <v>-0.10761320953306885</v>
          </cell>
        </row>
        <row r="106">
          <cell r="C106">
            <v>104</v>
          </cell>
          <cell r="D106">
            <v>9.200207551288031E-2</v>
          </cell>
        </row>
        <row r="107">
          <cell r="C107">
            <v>105</v>
          </cell>
          <cell r="D107">
            <v>-0.72298273159469595</v>
          </cell>
        </row>
        <row r="108">
          <cell r="C108">
            <v>106</v>
          </cell>
          <cell r="D108">
            <v>-3.7672839760405807E-2</v>
          </cell>
        </row>
        <row r="109">
          <cell r="C109">
            <v>107</v>
          </cell>
          <cell r="D109">
            <v>0.1818466190721395</v>
          </cell>
        </row>
        <row r="110">
          <cell r="C110">
            <v>108</v>
          </cell>
          <cell r="D110">
            <v>3.3741298233643136E-2</v>
          </cell>
        </row>
        <row r="111">
          <cell r="C111">
            <v>109</v>
          </cell>
          <cell r="D111">
            <v>-0.74967145126901436</v>
          </cell>
        </row>
        <row r="112">
          <cell r="C112">
            <v>110</v>
          </cell>
          <cell r="D112">
            <v>0.51697952430277638</v>
          </cell>
        </row>
        <row r="113">
          <cell r="C113">
            <v>111</v>
          </cell>
          <cell r="D113">
            <v>-8.5621663882063714E-2</v>
          </cell>
        </row>
        <row r="114">
          <cell r="C114">
            <v>112</v>
          </cell>
          <cell r="D114">
            <v>0.86477444088679434</v>
          </cell>
        </row>
        <row r="115">
          <cell r="C115">
            <v>113</v>
          </cell>
          <cell r="D115">
            <v>-0.23258778773368149</v>
          </cell>
        </row>
        <row r="116">
          <cell r="C116">
            <v>114</v>
          </cell>
          <cell r="D116">
            <v>0.66885774146940946</v>
          </cell>
        </row>
        <row r="117">
          <cell r="C117">
            <v>115</v>
          </cell>
          <cell r="D117">
            <v>0.24665856096377503</v>
          </cell>
        </row>
        <row r="118">
          <cell r="C118">
            <v>116</v>
          </cell>
          <cell r="D118">
            <v>0.38670137614567679</v>
          </cell>
        </row>
        <row r="119">
          <cell r="C119">
            <v>117</v>
          </cell>
          <cell r="D119">
            <v>-0.21081488872535559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workbookViewId="0">
      <selection activeCell="G24" sqref="G24"/>
    </sheetView>
  </sheetViews>
  <sheetFormatPr defaultRowHeight="14.4" x14ac:dyDescent="0.3"/>
  <cols>
    <col min="1" max="1" width="10.5546875" bestFit="1" customWidth="1"/>
    <col min="2" max="2" width="5.109375" bestFit="1" customWidth="1"/>
    <col min="3" max="3" width="5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44136</v>
      </c>
      <c r="B2" s="3">
        <v>1</v>
      </c>
      <c r="C2" s="4">
        <v>6.0097795023026315</v>
      </c>
    </row>
    <row r="3" spans="1:3" x14ac:dyDescent="0.3">
      <c r="A3" s="2">
        <v>44137</v>
      </c>
      <c r="B3" s="3">
        <v>2</v>
      </c>
      <c r="C3" s="4">
        <v>6.4188849175702094</v>
      </c>
    </row>
    <row r="4" spans="1:3" x14ac:dyDescent="0.3">
      <c r="A4" s="2">
        <v>44138</v>
      </c>
      <c r="B4" s="3">
        <v>3</v>
      </c>
      <c r="C4" s="4">
        <v>5.9970634109961249</v>
      </c>
    </row>
    <row r="5" spans="1:3" x14ac:dyDescent="0.3">
      <c r="A5" s="2">
        <v>44139</v>
      </c>
      <c r="B5" s="3">
        <v>4</v>
      </c>
      <c r="C5" s="4">
        <v>6.2999411250998394</v>
      </c>
    </row>
    <row r="6" spans="1:3" x14ac:dyDescent="0.3">
      <c r="A6" s="2">
        <v>44140</v>
      </c>
      <c r="B6" s="3">
        <v>5</v>
      </c>
      <c r="C6" s="4">
        <v>7.1346992312159916</v>
      </c>
    </row>
    <row r="7" spans="1:3" x14ac:dyDescent="0.3">
      <c r="A7" s="2">
        <v>44141</v>
      </c>
      <c r="B7" s="3">
        <v>6</v>
      </c>
      <c r="C7" s="4">
        <v>7.0689325553237943</v>
      </c>
    </row>
    <row r="8" spans="1:3" x14ac:dyDescent="0.3">
      <c r="A8" s="2">
        <v>44142</v>
      </c>
      <c r="B8" s="3">
        <v>7</v>
      </c>
      <c r="C8" s="4">
        <v>7.5742688219335959</v>
      </c>
    </row>
    <row r="9" spans="1:3" x14ac:dyDescent="0.3">
      <c r="A9" s="2">
        <v>44143</v>
      </c>
      <c r="B9" s="3">
        <v>8</v>
      </c>
      <c r="C9" s="4">
        <v>7.91047134221707</v>
      </c>
    </row>
    <row r="10" spans="1:3" x14ac:dyDescent="0.3">
      <c r="A10" s="2">
        <v>44144</v>
      </c>
      <c r="B10" s="3">
        <v>9</v>
      </c>
      <c r="C10" s="4">
        <v>8.1812336147585789</v>
      </c>
    </row>
    <row r="11" spans="1:3" x14ac:dyDescent="0.3">
      <c r="A11" s="2">
        <v>44145</v>
      </c>
      <c r="B11" s="3">
        <v>10</v>
      </c>
      <c r="C11" s="4">
        <v>8.1456082476252583</v>
      </c>
    </row>
    <row r="12" spans="1:3" x14ac:dyDescent="0.3">
      <c r="A12" s="2">
        <v>44146</v>
      </c>
      <c r="B12" s="3">
        <v>11</v>
      </c>
      <c r="C12" s="4">
        <v>8.6744066827237418</v>
      </c>
    </row>
    <row r="13" spans="1:3" x14ac:dyDescent="0.3">
      <c r="A13" s="2">
        <v>44147</v>
      </c>
      <c r="B13" s="3">
        <v>12</v>
      </c>
      <c r="C13" s="4">
        <v>8.7900538650435998</v>
      </c>
    </row>
    <row r="14" spans="1:3" x14ac:dyDescent="0.3">
      <c r="A14" s="2">
        <v>44148</v>
      </c>
      <c r="B14" s="3">
        <v>13</v>
      </c>
      <c r="C14" s="4">
        <v>7.9348882120509803</v>
      </c>
    </row>
    <row r="15" spans="1:3" x14ac:dyDescent="0.3">
      <c r="A15" s="2">
        <v>44149</v>
      </c>
      <c r="B15" s="3">
        <v>14</v>
      </c>
      <c r="C15" s="4">
        <v>8.3425652686764487</v>
      </c>
    </row>
    <row r="16" spans="1:3" x14ac:dyDescent="0.3">
      <c r="A16" s="2">
        <v>44150</v>
      </c>
      <c r="B16" s="3">
        <v>15</v>
      </c>
      <c r="C16" s="4">
        <v>8.2027758342604411</v>
      </c>
    </row>
    <row r="17" spans="1:3" x14ac:dyDescent="0.3">
      <c r="A17" s="2">
        <v>44151</v>
      </c>
      <c r="B17" s="3">
        <v>16</v>
      </c>
      <c r="C17" s="4">
        <v>8.1008677509945048</v>
      </c>
    </row>
    <row r="18" spans="1:3" x14ac:dyDescent="0.3">
      <c r="A18" s="2">
        <v>44152</v>
      </c>
      <c r="B18" s="3">
        <v>17</v>
      </c>
      <c r="C18" s="4">
        <v>7.9262318101164322</v>
      </c>
    </row>
    <row r="19" spans="1:3" x14ac:dyDescent="0.3">
      <c r="A19" s="2">
        <v>44153</v>
      </c>
      <c r="B19" s="3">
        <v>18</v>
      </c>
      <c r="C19" s="4">
        <v>7.5334158088211414</v>
      </c>
    </row>
    <row r="20" spans="1:3" x14ac:dyDescent="0.3">
      <c r="A20" s="2">
        <v>44154</v>
      </c>
      <c r="B20" s="3">
        <v>19</v>
      </c>
      <c r="C20" s="4">
        <v>7.7198700594731182</v>
      </c>
    </row>
    <row r="21" spans="1:3" x14ac:dyDescent="0.3">
      <c r="A21" s="2">
        <v>44155</v>
      </c>
      <c r="B21" s="3">
        <v>20</v>
      </c>
      <c r="C21" s="4">
        <v>7.5518741158387659</v>
      </c>
    </row>
    <row r="22" spans="1:3" x14ac:dyDescent="0.3">
      <c r="A22" s="2">
        <v>44156</v>
      </c>
      <c r="B22" s="3">
        <v>21</v>
      </c>
      <c r="C22" s="4">
        <v>7.5138149732170572</v>
      </c>
    </row>
    <row r="23" spans="1:3" x14ac:dyDescent="0.3">
      <c r="A23" s="2">
        <v>44157</v>
      </c>
      <c r="B23" s="3">
        <v>22</v>
      </c>
      <c r="C23" s="4">
        <v>6.9441620071047634</v>
      </c>
    </row>
    <row r="24" spans="1:3" x14ac:dyDescent="0.3">
      <c r="A24" s="2">
        <v>44158</v>
      </c>
      <c r="B24" s="3">
        <v>23</v>
      </c>
      <c r="C24" s="4">
        <v>6.8064661188488254</v>
      </c>
    </row>
    <row r="25" spans="1:3" x14ac:dyDescent="0.3">
      <c r="A25" s="2">
        <v>44159</v>
      </c>
      <c r="B25" s="3">
        <v>24</v>
      </c>
      <c r="C25" s="4">
        <v>6.8408033273724982</v>
      </c>
    </row>
    <row r="26" spans="1:3" x14ac:dyDescent="0.3">
      <c r="A26" s="2">
        <v>44160</v>
      </c>
      <c r="B26" s="3">
        <v>25</v>
      </c>
      <c r="C26" s="4">
        <v>7.2819033763233421</v>
      </c>
    </row>
    <row r="27" spans="1:3" x14ac:dyDescent="0.3">
      <c r="A27" s="2">
        <v>44161</v>
      </c>
      <c r="B27" s="3">
        <v>26</v>
      </c>
      <c r="C27" s="4">
        <v>6.5824164475425864</v>
      </c>
    </row>
    <row r="28" spans="1:3" x14ac:dyDescent="0.3">
      <c r="A28" s="2">
        <v>44162</v>
      </c>
      <c r="B28" s="3">
        <v>27</v>
      </c>
      <c r="C28" s="4">
        <v>6.9182965307023565</v>
      </c>
    </row>
    <row r="29" spans="1:3" x14ac:dyDescent="0.3">
      <c r="A29" s="2">
        <v>44163</v>
      </c>
      <c r="B29" s="3">
        <v>28</v>
      </c>
      <c r="C29" s="4">
        <v>6.3858015694658121</v>
      </c>
    </row>
    <row r="30" spans="1:3" x14ac:dyDescent="0.3">
      <c r="A30" s="2">
        <v>44164</v>
      </c>
      <c r="B30" s="3">
        <v>29</v>
      </c>
      <c r="C30" s="4">
        <v>7.0059755771828165</v>
      </c>
    </row>
    <row r="31" spans="1:3" x14ac:dyDescent="0.3">
      <c r="A31" s="2">
        <v>44165</v>
      </c>
      <c r="B31" s="3">
        <v>30</v>
      </c>
      <c r="C31" s="4">
        <v>6.8656767865508117</v>
      </c>
    </row>
    <row r="32" spans="1:3" x14ac:dyDescent="0.3">
      <c r="A32" s="2">
        <v>44166</v>
      </c>
      <c r="B32" s="3">
        <v>31</v>
      </c>
      <c r="C32" s="4">
        <v>7.2429686463441891</v>
      </c>
    </row>
    <row r="33" spans="1:3" x14ac:dyDescent="0.3">
      <c r="A33" s="2">
        <v>44167</v>
      </c>
      <c r="B33" s="3">
        <v>32</v>
      </c>
      <c r="C33" s="4">
        <v>7.1751249338414151</v>
      </c>
    </row>
    <row r="34" spans="1:3" x14ac:dyDescent="0.3">
      <c r="A34" s="2">
        <v>44168</v>
      </c>
      <c r="B34" s="3">
        <v>33</v>
      </c>
      <c r="C34" s="4">
        <v>6.9690733090955108</v>
      </c>
    </row>
    <row r="35" spans="1:3" x14ac:dyDescent="0.3">
      <c r="A35" s="2">
        <v>44169</v>
      </c>
      <c r="B35" s="3">
        <v>34</v>
      </c>
      <c r="C35" s="4">
        <v>7.4805081716603246</v>
      </c>
    </row>
    <row r="36" spans="1:3" x14ac:dyDescent="0.3">
      <c r="A36" s="2">
        <v>44170</v>
      </c>
      <c r="B36" s="3">
        <v>35</v>
      </c>
      <c r="C36" s="4">
        <v>7.9736910697429675</v>
      </c>
    </row>
    <row r="37" spans="1:3" x14ac:dyDescent="0.3">
      <c r="A37" s="2">
        <v>44171</v>
      </c>
      <c r="B37" s="3">
        <v>36</v>
      </c>
      <c r="C37" s="4">
        <v>8.0874230502927471</v>
      </c>
    </row>
    <row r="38" spans="1:3" x14ac:dyDescent="0.3">
      <c r="A38" s="2">
        <v>44172</v>
      </c>
      <c r="B38" s="3">
        <v>37</v>
      </c>
      <c r="C38" s="4">
        <v>8.5738086559314919</v>
      </c>
    </row>
    <row r="39" spans="1:3" x14ac:dyDescent="0.3">
      <c r="A39" s="2">
        <v>44173</v>
      </c>
      <c r="B39" s="3">
        <v>38</v>
      </c>
      <c r="C39" s="4">
        <v>8.9754383839611211</v>
      </c>
    </row>
    <row r="40" spans="1:3" x14ac:dyDescent="0.3">
      <c r="A40" s="2">
        <v>44174</v>
      </c>
      <c r="B40" s="3">
        <v>39</v>
      </c>
      <c r="C40" s="4">
        <v>9.6525381544628956</v>
      </c>
    </row>
    <row r="41" spans="1:3" x14ac:dyDescent="0.3">
      <c r="A41" s="2">
        <v>44175</v>
      </c>
      <c r="B41" s="3">
        <v>40</v>
      </c>
      <c r="C41" s="4">
        <v>9.3433444430555816</v>
      </c>
    </row>
    <row r="42" spans="1:3" x14ac:dyDescent="0.3">
      <c r="A42" s="2">
        <v>44176</v>
      </c>
      <c r="B42" s="3">
        <v>41</v>
      </c>
      <c r="C42" s="4">
        <v>9.4670832033123276</v>
      </c>
    </row>
    <row r="43" spans="1:3" x14ac:dyDescent="0.3">
      <c r="A43" s="2">
        <v>44177</v>
      </c>
      <c r="B43" s="3">
        <v>42</v>
      </c>
      <c r="C43" s="4">
        <v>10.531327699803338</v>
      </c>
    </row>
    <row r="44" spans="1:3" x14ac:dyDescent="0.3">
      <c r="A44" s="2">
        <v>44178</v>
      </c>
      <c r="B44" s="3">
        <v>43</v>
      </c>
      <c r="C44" s="4">
        <v>10.392300185410509</v>
      </c>
    </row>
    <row r="45" spans="1:3" x14ac:dyDescent="0.3">
      <c r="A45" s="2">
        <v>44179</v>
      </c>
      <c r="B45" s="3">
        <v>44</v>
      </c>
      <c r="C45" s="4">
        <v>11.110309959339899</v>
      </c>
    </row>
    <row r="46" spans="1:3" x14ac:dyDescent="0.3">
      <c r="A46" s="2">
        <v>44180</v>
      </c>
      <c r="B46" s="3">
        <v>45</v>
      </c>
      <c r="C46" s="4">
        <v>11.14642019184358</v>
      </c>
    </row>
    <row r="47" spans="1:3" x14ac:dyDescent="0.3">
      <c r="A47" s="2">
        <v>44181</v>
      </c>
      <c r="B47" s="3">
        <v>46</v>
      </c>
      <c r="C47" s="4">
        <v>10.959863056908329</v>
      </c>
    </row>
    <row r="48" spans="1:3" x14ac:dyDescent="0.3">
      <c r="A48" s="2">
        <v>44182</v>
      </c>
      <c r="B48" s="3">
        <v>47</v>
      </c>
      <c r="C48" s="4">
        <v>11.28816462937376</v>
      </c>
    </row>
    <row r="49" spans="1:3" x14ac:dyDescent="0.3">
      <c r="A49" s="2">
        <v>44183</v>
      </c>
      <c r="B49" s="3">
        <v>48</v>
      </c>
      <c r="C49" s="4">
        <v>11.612152150734971</v>
      </c>
    </row>
    <row r="50" spans="1:3" x14ac:dyDescent="0.3">
      <c r="A50" s="2">
        <v>44184</v>
      </c>
      <c r="B50" s="3">
        <v>49</v>
      </c>
      <c r="C50" s="4">
        <v>12.571190263902917</v>
      </c>
    </row>
    <row r="51" spans="1:3" x14ac:dyDescent="0.3">
      <c r="A51" s="2">
        <v>44185</v>
      </c>
      <c r="B51" s="3">
        <v>50</v>
      </c>
      <c r="C51" s="4">
        <v>12.723441267589244</v>
      </c>
    </row>
    <row r="52" spans="1:3" x14ac:dyDescent="0.3">
      <c r="A52" s="2">
        <v>44186</v>
      </c>
      <c r="B52" s="3">
        <v>51</v>
      </c>
      <c r="C52" s="4">
        <v>12.649442981895506</v>
      </c>
    </row>
    <row r="53" spans="1:3" x14ac:dyDescent="0.3">
      <c r="A53" s="2">
        <v>44187</v>
      </c>
      <c r="B53" s="3">
        <v>52</v>
      </c>
      <c r="C53" s="4">
        <v>12.295758563150923</v>
      </c>
    </row>
    <row r="54" spans="1:3" x14ac:dyDescent="0.3">
      <c r="A54" s="2">
        <v>44188</v>
      </c>
      <c r="B54" s="3">
        <v>53</v>
      </c>
      <c r="C54" s="4">
        <v>12.296507205391922</v>
      </c>
    </row>
    <row r="55" spans="1:3" x14ac:dyDescent="0.3">
      <c r="A55" s="2">
        <v>44189</v>
      </c>
      <c r="B55" s="3">
        <v>54</v>
      </c>
      <c r="C55" s="4">
        <v>11.978425930707889</v>
      </c>
    </row>
    <row r="56" spans="1:3" x14ac:dyDescent="0.3">
      <c r="A56" s="2">
        <v>44190</v>
      </c>
      <c r="B56" s="3">
        <v>55</v>
      </c>
      <c r="C56" s="4">
        <v>12.356227517033599</v>
      </c>
    </row>
    <row r="57" spans="1:3" x14ac:dyDescent="0.3">
      <c r="A57" s="2">
        <v>44191</v>
      </c>
      <c r="B57" s="3">
        <v>56</v>
      </c>
      <c r="C57" s="4">
        <v>12.371012845788789</v>
      </c>
    </row>
    <row r="58" spans="1:3" x14ac:dyDescent="0.3">
      <c r="A58" s="2">
        <v>44192</v>
      </c>
      <c r="B58" s="3">
        <v>57</v>
      </c>
      <c r="C58" s="4">
        <v>11.914542470054625</v>
      </c>
    </row>
    <row r="59" spans="1:3" x14ac:dyDescent="0.3">
      <c r="A59" s="2">
        <v>44193</v>
      </c>
      <c r="B59" s="3">
        <v>58</v>
      </c>
      <c r="C59" s="4">
        <v>11.701842939175673</v>
      </c>
    </row>
    <row r="60" spans="1:3" x14ac:dyDescent="0.3">
      <c r="A60" s="2">
        <v>44194</v>
      </c>
      <c r="B60" s="3">
        <v>59</v>
      </c>
      <c r="C60" s="4">
        <v>11.337313930764044</v>
      </c>
    </row>
    <row r="61" spans="1:3" x14ac:dyDescent="0.3">
      <c r="A61" s="2">
        <v>44195</v>
      </c>
      <c r="B61" s="3">
        <v>60</v>
      </c>
      <c r="C61" s="4">
        <v>11.672593460842299</v>
      </c>
    </row>
    <row r="62" spans="1:3" x14ac:dyDescent="0.3">
      <c r="A62" s="2">
        <v>44196</v>
      </c>
      <c r="B62" s="3">
        <v>61</v>
      </c>
      <c r="C62" s="4">
        <v>11.61927770905195</v>
      </c>
    </row>
    <row r="63" spans="1:3" x14ac:dyDescent="0.3">
      <c r="A63" s="2">
        <v>44197</v>
      </c>
      <c r="B63" s="3">
        <v>62</v>
      </c>
      <c r="C63" s="4">
        <v>11.344619939792993</v>
      </c>
    </row>
    <row r="64" spans="1:3" x14ac:dyDescent="0.3">
      <c r="A64" s="2">
        <v>44198</v>
      </c>
      <c r="B64" s="3">
        <v>63</v>
      </c>
      <c r="C64" s="4">
        <v>11.691356313332237</v>
      </c>
    </row>
    <row r="65" spans="1:3" x14ac:dyDescent="0.3">
      <c r="A65" s="2">
        <v>44199</v>
      </c>
      <c r="B65" s="3">
        <v>64</v>
      </c>
      <c r="C65" s="4">
        <v>11.150839607926304</v>
      </c>
    </row>
    <row r="66" spans="1:3" x14ac:dyDescent="0.3">
      <c r="A66" s="2">
        <v>44200</v>
      </c>
      <c r="B66" s="3">
        <v>65</v>
      </c>
      <c r="C66" s="4">
        <v>10.683756803420277</v>
      </c>
    </row>
    <row r="67" spans="1:3" x14ac:dyDescent="0.3">
      <c r="A67" s="2">
        <v>44201</v>
      </c>
      <c r="B67" s="3">
        <v>66</v>
      </c>
      <c r="C67" s="4">
        <v>10.765600352772315</v>
      </c>
    </row>
    <row r="68" spans="1:3" x14ac:dyDescent="0.3">
      <c r="A68" s="2">
        <v>44202</v>
      </c>
      <c r="B68" s="3">
        <v>67</v>
      </c>
      <c r="C68" s="4">
        <v>11.01177416593932</v>
      </c>
    </row>
    <row r="69" spans="1:3" x14ac:dyDescent="0.3">
      <c r="A69" s="2">
        <v>44203</v>
      </c>
      <c r="B69" s="3">
        <v>68</v>
      </c>
      <c r="C69" s="4">
        <v>10.728357976761814</v>
      </c>
    </row>
    <row r="70" spans="1:3" x14ac:dyDescent="0.3">
      <c r="A70" s="2">
        <v>44204</v>
      </c>
      <c r="B70" s="3">
        <v>69</v>
      </c>
      <c r="C70" s="4">
        <v>10.80983157378189</v>
      </c>
    </row>
    <row r="71" spans="1:3" x14ac:dyDescent="0.3">
      <c r="A71" s="2">
        <v>44205</v>
      </c>
      <c r="B71" s="3">
        <v>70</v>
      </c>
      <c r="C71" s="4">
        <v>10.09812839146554</v>
      </c>
    </row>
    <row r="72" spans="1:3" x14ac:dyDescent="0.3">
      <c r="A72" s="2">
        <v>44206</v>
      </c>
      <c r="B72" s="3">
        <v>71</v>
      </c>
      <c r="C72" s="4">
        <v>11.139013003047371</v>
      </c>
    </row>
    <row r="73" spans="1:3" x14ac:dyDescent="0.3">
      <c r="A73" s="2">
        <v>44207</v>
      </c>
      <c r="B73" s="3">
        <v>72</v>
      </c>
      <c r="C73" s="4">
        <v>11.456625551417812</v>
      </c>
    </row>
    <row r="74" spans="1:3" x14ac:dyDescent="0.3">
      <c r="A74" s="2">
        <v>44208</v>
      </c>
      <c r="B74" s="3">
        <v>73</v>
      </c>
      <c r="C74" s="4">
        <v>11.782576185258915</v>
      </c>
    </row>
    <row r="75" spans="1:3" x14ac:dyDescent="0.3">
      <c r="A75" s="2">
        <v>44209</v>
      </c>
      <c r="B75" s="3">
        <v>74</v>
      </c>
      <c r="C75" s="4">
        <v>11.455462409216665</v>
      </c>
    </row>
    <row r="76" spans="1:3" x14ac:dyDescent="0.3">
      <c r="A76" s="2">
        <v>44210</v>
      </c>
      <c r="B76" s="3">
        <v>75</v>
      </c>
      <c r="C76" s="4">
        <v>12.448140099286038</v>
      </c>
    </row>
    <row r="77" spans="1:3" x14ac:dyDescent="0.3">
      <c r="A77" s="2">
        <v>44211</v>
      </c>
      <c r="B77" s="3">
        <v>76</v>
      </c>
      <c r="C77" s="4">
        <v>11.807985288332912</v>
      </c>
    </row>
    <row r="78" spans="1:3" x14ac:dyDescent="0.3">
      <c r="A78" s="2">
        <v>44212</v>
      </c>
      <c r="B78" s="3">
        <v>77</v>
      </c>
      <c r="C78" s="4">
        <v>12.742938359789973</v>
      </c>
    </row>
    <row r="79" spans="1:3" x14ac:dyDescent="0.3">
      <c r="A79" s="2">
        <v>44213</v>
      </c>
      <c r="B79" s="3">
        <v>78</v>
      </c>
      <c r="C79" s="4">
        <v>13.072450382243057</v>
      </c>
    </row>
    <row r="80" spans="1:3" x14ac:dyDescent="0.3">
      <c r="A80" s="2">
        <v>44214</v>
      </c>
      <c r="B80" s="3">
        <v>79</v>
      </c>
      <c r="C80" s="4">
        <v>13.148082923021903</v>
      </c>
    </row>
    <row r="81" spans="1:3" x14ac:dyDescent="0.3">
      <c r="A81" s="2">
        <v>44215</v>
      </c>
      <c r="B81" s="3">
        <v>80</v>
      </c>
      <c r="C81" s="4">
        <v>13.972564395511982</v>
      </c>
    </row>
    <row r="82" spans="1:3" x14ac:dyDescent="0.3">
      <c r="A82" s="2">
        <v>44216</v>
      </c>
      <c r="B82" s="3">
        <v>81</v>
      </c>
      <c r="C82" s="4">
        <v>13.388583490173893</v>
      </c>
    </row>
    <row r="83" spans="1:3" x14ac:dyDescent="0.3">
      <c r="A83" s="2">
        <v>44217</v>
      </c>
      <c r="B83" s="3">
        <v>82</v>
      </c>
      <c r="C83" s="4">
        <v>14.069506008155644</v>
      </c>
    </row>
    <row r="84" spans="1:3" x14ac:dyDescent="0.3">
      <c r="A84" s="2">
        <v>44218</v>
      </c>
      <c r="B84" s="3">
        <v>83</v>
      </c>
      <c r="C84" s="4">
        <v>14.893481035151058</v>
      </c>
    </row>
    <row r="85" spans="1:3" x14ac:dyDescent="0.3">
      <c r="A85" s="2">
        <v>44219</v>
      </c>
      <c r="B85" s="3">
        <v>84</v>
      </c>
      <c r="C85" s="4">
        <v>14.752423427977376</v>
      </c>
    </row>
    <row r="86" spans="1:3" x14ac:dyDescent="0.3">
      <c r="A86" s="2">
        <v>44220</v>
      </c>
      <c r="B86" s="3">
        <v>85</v>
      </c>
      <c r="C86" s="4">
        <v>14.622994096437072</v>
      </c>
    </row>
    <row r="87" spans="1:3" x14ac:dyDescent="0.3">
      <c r="A87" s="2">
        <v>44221</v>
      </c>
      <c r="B87" s="3">
        <v>86</v>
      </c>
      <c r="C87" s="4">
        <v>15.162492782943154</v>
      </c>
    </row>
    <row r="88" spans="1:3" x14ac:dyDescent="0.3">
      <c r="A88" s="2">
        <v>44222</v>
      </c>
      <c r="B88" s="3">
        <v>87</v>
      </c>
      <c r="C88" s="4">
        <v>15.27248509360526</v>
      </c>
    </row>
    <row r="89" spans="1:3" x14ac:dyDescent="0.3">
      <c r="A89" s="2">
        <v>44223</v>
      </c>
      <c r="B89" s="3">
        <v>88</v>
      </c>
      <c r="C89" s="4">
        <v>15.710691613477133</v>
      </c>
    </row>
    <row r="90" spans="1:3" x14ac:dyDescent="0.3">
      <c r="A90" s="2">
        <v>44224</v>
      </c>
      <c r="B90" s="3">
        <v>89</v>
      </c>
      <c r="C90" s="4">
        <v>15.821331850607351</v>
      </c>
    </row>
    <row r="91" spans="1:3" x14ac:dyDescent="0.3">
      <c r="A91" s="2">
        <v>44225</v>
      </c>
      <c r="B91" s="3">
        <v>90</v>
      </c>
      <c r="C91" s="4">
        <v>16.566539924218517</v>
      </c>
    </row>
    <row r="92" spans="1:3" x14ac:dyDescent="0.3">
      <c r="A92" s="2">
        <v>44226</v>
      </c>
      <c r="B92" s="3">
        <v>91</v>
      </c>
      <c r="C92" s="4">
        <v>15.940213601235216</v>
      </c>
    </row>
    <row r="93" spans="1:3" x14ac:dyDescent="0.3">
      <c r="A93" s="2">
        <v>44227</v>
      </c>
      <c r="B93" s="3">
        <v>92</v>
      </c>
      <c r="C93" s="4">
        <v>16.77060247123077</v>
      </c>
    </row>
    <row r="94" spans="1:3" x14ac:dyDescent="0.3">
      <c r="A94" s="2">
        <v>44228</v>
      </c>
      <c r="B94" s="3">
        <v>93</v>
      </c>
      <c r="C94" s="4">
        <v>16.548619615784723</v>
      </c>
    </row>
    <row r="95" spans="1:3" x14ac:dyDescent="0.3">
      <c r="A95" s="2">
        <v>44229</v>
      </c>
      <c r="B95" s="3">
        <v>94</v>
      </c>
      <c r="C95" s="4">
        <v>16.232591435485343</v>
      </c>
    </row>
    <row r="96" spans="1:3" x14ac:dyDescent="0.3">
      <c r="A96" s="2">
        <v>44230</v>
      </c>
      <c r="B96" s="3">
        <v>95</v>
      </c>
      <c r="C96" s="4">
        <v>16.412984403345412</v>
      </c>
    </row>
    <row r="97" spans="1:3" x14ac:dyDescent="0.3">
      <c r="A97" s="2">
        <v>44231</v>
      </c>
      <c r="B97" s="3">
        <v>96</v>
      </c>
      <c r="C97" s="4">
        <v>15.59687354579113</v>
      </c>
    </row>
    <row r="98" spans="1:3" x14ac:dyDescent="0.3">
      <c r="A98" s="2">
        <v>44232</v>
      </c>
      <c r="B98" s="3">
        <v>97</v>
      </c>
      <c r="C98" s="4">
        <v>15.463928834611547</v>
      </c>
    </row>
    <row r="99" spans="1:3" x14ac:dyDescent="0.3">
      <c r="A99" s="2">
        <v>44233</v>
      </c>
      <c r="B99" s="3">
        <v>98</v>
      </c>
      <c r="C99" s="4">
        <v>16.167809157341523</v>
      </c>
    </row>
    <row r="100" spans="1:3" x14ac:dyDescent="0.3">
      <c r="A100" s="2">
        <v>44234</v>
      </c>
      <c r="B100" s="3">
        <v>99</v>
      </c>
      <c r="C100" s="4">
        <v>15.914981548623629</v>
      </c>
    </row>
    <row r="101" spans="1:3" x14ac:dyDescent="0.3">
      <c r="A101" s="2">
        <v>44235</v>
      </c>
      <c r="B101" s="3">
        <v>100</v>
      </c>
      <c r="C101" s="4">
        <v>15.348974823934926</v>
      </c>
    </row>
    <row r="102" spans="1:3" x14ac:dyDescent="0.3">
      <c r="A102" s="2">
        <v>44236</v>
      </c>
      <c r="B102" s="3">
        <v>101</v>
      </c>
      <c r="C102" s="4">
        <v>15.405125914546776</v>
      </c>
    </row>
    <row r="103" spans="1:3" x14ac:dyDescent="0.3">
      <c r="A103" s="2">
        <v>44237</v>
      </c>
      <c r="B103" s="3">
        <v>102</v>
      </c>
      <c r="C103" s="4">
        <v>15.528096165344245</v>
      </c>
    </row>
    <row r="104" spans="1:3" x14ac:dyDescent="0.3">
      <c r="A104" s="2">
        <v>44238</v>
      </c>
      <c r="B104" s="3">
        <v>103</v>
      </c>
      <c r="C104" s="4">
        <v>15.420482955811176</v>
      </c>
    </row>
    <row r="105" spans="1:3" x14ac:dyDescent="0.3">
      <c r="A105" s="2">
        <v>44239</v>
      </c>
      <c r="B105" s="3">
        <v>104</v>
      </c>
      <c r="C105" s="4">
        <v>15.512485031324056</v>
      </c>
    </row>
    <row r="106" spans="1:3" x14ac:dyDescent="0.3">
      <c r="A106" s="2">
        <v>44240</v>
      </c>
      <c r="B106" s="3">
        <v>105</v>
      </c>
      <c r="C106" s="4">
        <v>14.78950229972936</v>
      </c>
    </row>
    <row r="107" spans="1:3" x14ac:dyDescent="0.3">
      <c r="A107" s="2">
        <v>44241</v>
      </c>
      <c r="B107" s="3">
        <v>106</v>
      </c>
      <c r="C107" s="4">
        <v>14.751829459968954</v>
      </c>
    </row>
    <row r="108" spans="1:3" x14ac:dyDescent="0.3">
      <c r="A108" s="2">
        <v>44242</v>
      </c>
      <c r="B108" s="3">
        <v>107</v>
      </c>
      <c r="C108" s="4">
        <v>14.933676079041094</v>
      </c>
    </row>
    <row r="109" spans="1:3" x14ac:dyDescent="0.3">
      <c r="A109" s="2">
        <v>44243</v>
      </c>
      <c r="B109" s="3">
        <v>108</v>
      </c>
      <c r="C109" s="4">
        <v>14.967417377274737</v>
      </c>
    </row>
    <row r="110" spans="1:3" x14ac:dyDescent="0.3">
      <c r="A110" s="2">
        <v>44244</v>
      </c>
      <c r="B110" s="3">
        <v>109</v>
      </c>
      <c r="C110" s="4">
        <v>14.217745926005723</v>
      </c>
    </row>
    <row r="111" spans="1:3" x14ac:dyDescent="0.3">
      <c r="A111" s="2">
        <v>44245</v>
      </c>
      <c r="B111" s="3">
        <v>110</v>
      </c>
      <c r="C111" s="4">
        <v>14.734725450308499</v>
      </c>
    </row>
    <row r="112" spans="1:3" x14ac:dyDescent="0.3">
      <c r="A112" s="2">
        <v>44246</v>
      </c>
      <c r="B112" s="3">
        <v>111</v>
      </c>
      <c r="C112" s="4">
        <v>14.649103786426435</v>
      </c>
    </row>
    <row r="113" spans="1:3" x14ac:dyDescent="0.3">
      <c r="A113" s="2">
        <v>44247</v>
      </c>
      <c r="B113" s="3">
        <v>112</v>
      </c>
      <c r="C113" s="4">
        <v>15.51387822731323</v>
      </c>
    </row>
    <row r="114" spans="1:3" x14ac:dyDescent="0.3">
      <c r="A114" s="2">
        <v>44248</v>
      </c>
      <c r="B114" s="3">
        <v>113</v>
      </c>
      <c r="C114" s="4">
        <v>15.281290439579548</v>
      </c>
    </row>
    <row r="115" spans="1:3" x14ac:dyDescent="0.3">
      <c r="A115" s="2">
        <v>44249</v>
      </c>
      <c r="B115" s="3">
        <v>114</v>
      </c>
      <c r="C115" s="4">
        <v>15.950148181048958</v>
      </c>
    </row>
    <row r="116" spans="1:3" x14ac:dyDescent="0.3">
      <c r="A116" s="2">
        <v>44250</v>
      </c>
      <c r="B116" s="3">
        <v>115</v>
      </c>
      <c r="C116" s="4">
        <v>16.196806742012733</v>
      </c>
    </row>
    <row r="117" spans="1:3" x14ac:dyDescent="0.3">
      <c r="A117" s="2">
        <v>44251</v>
      </c>
      <c r="B117" s="3">
        <v>116</v>
      </c>
      <c r="C117" s="4">
        <v>16.583508118158409</v>
      </c>
    </row>
    <row r="118" spans="1:3" x14ac:dyDescent="0.3">
      <c r="A118" s="2">
        <v>44252</v>
      </c>
      <c r="B118" s="3">
        <v>117</v>
      </c>
      <c r="C118" s="4">
        <v>16.372693229433054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Views>
    <sheetView zoomScale="90" zoomScaleNormal="90" workbookViewId="0">
      <selection activeCell="G31" sqref="G31"/>
    </sheetView>
  </sheetViews>
  <sheetFormatPr defaultRowHeight="14.4" x14ac:dyDescent="0.3"/>
  <cols>
    <col min="1" max="1" width="10.109375" style="8" bestFit="1" customWidth="1"/>
    <col min="2" max="2" width="5" style="8" bestFit="1" customWidth="1"/>
    <col min="3" max="3" width="5.33203125" style="8" bestFit="1" customWidth="1"/>
    <col min="4" max="4" width="5.5546875" style="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5">
        <f>[1]Price!A2</f>
        <v>44136</v>
      </c>
      <c r="B2" s="6">
        <f>[1]Price!B2</f>
        <v>1</v>
      </c>
      <c r="C2" s="7">
        <f>[1]Price!C2</f>
        <v>6.0097795023026315</v>
      </c>
    </row>
    <row r="3" spans="1:4" x14ac:dyDescent="0.3">
      <c r="A3" s="5">
        <f>[1]Price!A3</f>
        <v>44137</v>
      </c>
      <c r="B3" s="6">
        <f>[1]Price!B3</f>
        <v>2</v>
      </c>
      <c r="C3" s="7">
        <f>[1]Price!C3</f>
        <v>6.4188849175702094</v>
      </c>
      <c r="D3" s="7">
        <f>C3-C2</f>
        <v>0.40910541526757793</v>
      </c>
    </row>
    <row r="4" spans="1:4" x14ac:dyDescent="0.3">
      <c r="A4" s="5">
        <f>[1]Price!A4</f>
        <v>44138</v>
      </c>
      <c r="B4" s="6">
        <f>[1]Price!B4</f>
        <v>3</v>
      </c>
      <c r="C4" s="7">
        <f>[1]Price!C4</f>
        <v>5.9970634109961249</v>
      </c>
      <c r="D4" s="7">
        <f t="shared" ref="D4:D67" si="0">C4-C3</f>
        <v>-0.42182150657408446</v>
      </c>
    </row>
    <row r="5" spans="1:4" x14ac:dyDescent="0.3">
      <c r="A5" s="5">
        <f>[1]Price!A5</f>
        <v>44139</v>
      </c>
      <c r="B5" s="6">
        <f>[1]Price!B5</f>
        <v>4</v>
      </c>
      <c r="C5" s="7">
        <f>[1]Price!C5</f>
        <v>6.2999411250998394</v>
      </c>
      <c r="D5" s="7">
        <f t="shared" si="0"/>
        <v>0.30287771410371445</v>
      </c>
    </row>
    <row r="6" spans="1:4" x14ac:dyDescent="0.3">
      <c r="A6" s="5">
        <f>[1]Price!A6</f>
        <v>44140</v>
      </c>
      <c r="B6" s="6">
        <f>[1]Price!B6</f>
        <v>5</v>
      </c>
      <c r="C6" s="7">
        <f>[1]Price!C6</f>
        <v>7.1346992312159916</v>
      </c>
      <c r="D6" s="7">
        <f t="shared" si="0"/>
        <v>0.8347581061161522</v>
      </c>
    </row>
    <row r="7" spans="1:4" x14ac:dyDescent="0.3">
      <c r="A7" s="5">
        <f>[1]Price!A7</f>
        <v>44141</v>
      </c>
      <c r="B7" s="6">
        <f>[1]Price!B7</f>
        <v>6</v>
      </c>
      <c r="C7" s="7">
        <f>[1]Price!C7</f>
        <v>7.0689325553237943</v>
      </c>
      <c r="D7" s="7">
        <f t="shared" si="0"/>
        <v>-6.5766675892197313E-2</v>
      </c>
    </row>
    <row r="8" spans="1:4" x14ac:dyDescent="0.3">
      <c r="A8" s="5">
        <f>[1]Price!A8</f>
        <v>44142</v>
      </c>
      <c r="B8" s="6">
        <f>[1]Price!B8</f>
        <v>7</v>
      </c>
      <c r="C8" s="7">
        <f>[1]Price!C8</f>
        <v>7.5742688219335959</v>
      </c>
      <c r="D8" s="7">
        <f t="shared" si="0"/>
        <v>0.50533626660980158</v>
      </c>
    </row>
    <row r="9" spans="1:4" x14ac:dyDescent="0.3">
      <c r="A9" s="5">
        <f>[1]Price!A9</f>
        <v>44143</v>
      </c>
      <c r="B9" s="6">
        <f>[1]Price!B9</f>
        <v>8</v>
      </c>
      <c r="C9" s="7">
        <f>[1]Price!C9</f>
        <v>7.91047134221707</v>
      </c>
      <c r="D9" s="7">
        <f t="shared" si="0"/>
        <v>0.33620252028347419</v>
      </c>
    </row>
    <row r="10" spans="1:4" x14ac:dyDescent="0.3">
      <c r="A10" s="5">
        <f>[1]Price!A10</f>
        <v>44144</v>
      </c>
      <c r="B10" s="6">
        <f>[1]Price!B10</f>
        <v>9</v>
      </c>
      <c r="C10" s="7">
        <f>[1]Price!C10</f>
        <v>8.1812336147585789</v>
      </c>
      <c r="D10" s="7">
        <f t="shared" si="0"/>
        <v>0.27076227254150886</v>
      </c>
    </row>
    <row r="11" spans="1:4" x14ac:dyDescent="0.3">
      <c r="A11" s="5">
        <f>[1]Price!A11</f>
        <v>44145</v>
      </c>
      <c r="B11" s="6">
        <f>[1]Price!B11</f>
        <v>10</v>
      </c>
      <c r="C11" s="7">
        <f>[1]Price!C11</f>
        <v>8.1456082476252583</v>
      </c>
      <c r="D11" s="7">
        <f t="shared" si="0"/>
        <v>-3.5625367133320651E-2</v>
      </c>
    </row>
    <row r="12" spans="1:4" x14ac:dyDescent="0.3">
      <c r="A12" s="5">
        <f>[1]Price!A12</f>
        <v>44146</v>
      </c>
      <c r="B12" s="6">
        <f>[1]Price!B12</f>
        <v>11</v>
      </c>
      <c r="C12" s="7">
        <f>[1]Price!C12</f>
        <v>8.6744066827237418</v>
      </c>
      <c r="D12" s="7">
        <f t="shared" si="0"/>
        <v>0.52879843509848357</v>
      </c>
    </row>
    <row r="13" spans="1:4" x14ac:dyDescent="0.3">
      <c r="A13" s="5">
        <f>[1]Price!A13</f>
        <v>44147</v>
      </c>
      <c r="B13" s="6">
        <f>[1]Price!B13</f>
        <v>12</v>
      </c>
      <c r="C13" s="7">
        <f>[1]Price!C13</f>
        <v>8.7900538650435998</v>
      </c>
      <c r="D13" s="7">
        <f t="shared" si="0"/>
        <v>0.11564718231985793</v>
      </c>
    </row>
    <row r="14" spans="1:4" x14ac:dyDescent="0.3">
      <c r="A14" s="5">
        <f>[1]Price!A14</f>
        <v>44148</v>
      </c>
      <c r="B14" s="6">
        <f>[1]Price!B14</f>
        <v>13</v>
      </c>
      <c r="C14" s="7">
        <f>[1]Price!C14</f>
        <v>7.9348882120509803</v>
      </c>
      <c r="D14" s="7">
        <f t="shared" si="0"/>
        <v>-0.85516565299261948</v>
      </c>
    </row>
    <row r="15" spans="1:4" x14ac:dyDescent="0.3">
      <c r="A15" s="5">
        <f>[1]Price!A15</f>
        <v>44149</v>
      </c>
      <c r="B15" s="6">
        <f>[1]Price!B15</f>
        <v>14</v>
      </c>
      <c r="C15" s="7">
        <f>[1]Price!C15</f>
        <v>8.3425652686764487</v>
      </c>
      <c r="D15" s="7">
        <f t="shared" si="0"/>
        <v>0.40767705662546838</v>
      </c>
    </row>
    <row r="16" spans="1:4" x14ac:dyDescent="0.3">
      <c r="A16" s="5">
        <f>[1]Price!A16</f>
        <v>44150</v>
      </c>
      <c r="B16" s="6">
        <f>[1]Price!B16</f>
        <v>15</v>
      </c>
      <c r="C16" s="7">
        <f>[1]Price!C16</f>
        <v>8.2027758342604411</v>
      </c>
      <c r="D16" s="7">
        <f t="shared" si="0"/>
        <v>-0.13978943441600755</v>
      </c>
    </row>
    <row r="17" spans="1:4" x14ac:dyDescent="0.3">
      <c r="A17" s="5">
        <f>[1]Price!A17</f>
        <v>44151</v>
      </c>
      <c r="B17" s="6">
        <f>[1]Price!B17</f>
        <v>16</v>
      </c>
      <c r="C17" s="7">
        <f>[1]Price!C17</f>
        <v>8.1008677509945048</v>
      </c>
      <c r="D17" s="7">
        <f t="shared" si="0"/>
        <v>-0.10190808326593626</v>
      </c>
    </row>
    <row r="18" spans="1:4" x14ac:dyDescent="0.3">
      <c r="A18" s="5">
        <f>[1]Price!A18</f>
        <v>44152</v>
      </c>
      <c r="B18" s="6">
        <f>[1]Price!B18</f>
        <v>17</v>
      </c>
      <c r="C18" s="7">
        <f>[1]Price!C18</f>
        <v>7.9262318101164322</v>
      </c>
      <c r="D18" s="7">
        <f t="shared" si="0"/>
        <v>-0.17463594087807266</v>
      </c>
    </row>
    <row r="19" spans="1:4" x14ac:dyDescent="0.3">
      <c r="A19" s="5">
        <f>[1]Price!A19</f>
        <v>44153</v>
      </c>
      <c r="B19" s="6">
        <f>[1]Price!B19</f>
        <v>18</v>
      </c>
      <c r="C19" s="7">
        <f>[1]Price!C19</f>
        <v>7.5334158088211414</v>
      </c>
      <c r="D19" s="7">
        <f t="shared" si="0"/>
        <v>-0.39281600129529082</v>
      </c>
    </row>
    <row r="20" spans="1:4" x14ac:dyDescent="0.3">
      <c r="A20" s="5">
        <f>[1]Price!A20</f>
        <v>44154</v>
      </c>
      <c r="B20" s="6">
        <f>[1]Price!B20</f>
        <v>19</v>
      </c>
      <c r="C20" s="7">
        <f>[1]Price!C20</f>
        <v>7.7198700594731182</v>
      </c>
      <c r="D20" s="7">
        <f t="shared" si="0"/>
        <v>0.18645425065197685</v>
      </c>
    </row>
    <row r="21" spans="1:4" x14ac:dyDescent="0.3">
      <c r="A21" s="5">
        <f>[1]Price!A21</f>
        <v>44155</v>
      </c>
      <c r="B21" s="6">
        <f>[1]Price!B21</f>
        <v>20</v>
      </c>
      <c r="C21" s="7">
        <f>[1]Price!C21</f>
        <v>7.5518741158387659</v>
      </c>
      <c r="D21" s="7">
        <f t="shared" si="0"/>
        <v>-0.16799594363435233</v>
      </c>
    </row>
    <row r="22" spans="1:4" x14ac:dyDescent="0.3">
      <c r="A22" s="5">
        <f>[1]Price!A22</f>
        <v>44156</v>
      </c>
      <c r="B22" s="6">
        <f>[1]Price!B22</f>
        <v>21</v>
      </c>
      <c r="C22" s="7">
        <f>[1]Price!C22</f>
        <v>7.5138149732170572</v>
      </c>
      <c r="D22" s="7">
        <f t="shared" si="0"/>
        <v>-3.805914262170873E-2</v>
      </c>
    </row>
    <row r="23" spans="1:4" x14ac:dyDescent="0.3">
      <c r="A23" s="5">
        <f>[1]Price!A23</f>
        <v>44157</v>
      </c>
      <c r="B23" s="6">
        <f>[1]Price!B23</f>
        <v>22</v>
      </c>
      <c r="C23" s="7">
        <f>[1]Price!C23</f>
        <v>6.9441620071047634</v>
      </c>
      <c r="D23" s="7">
        <f t="shared" si="0"/>
        <v>-0.56965296611229377</v>
      </c>
    </row>
    <row r="24" spans="1:4" x14ac:dyDescent="0.3">
      <c r="A24" s="5">
        <f>[1]Price!A24</f>
        <v>44158</v>
      </c>
      <c r="B24" s="6">
        <f>[1]Price!B24</f>
        <v>23</v>
      </c>
      <c r="C24" s="7">
        <f>[1]Price!C24</f>
        <v>6.8064661188488254</v>
      </c>
      <c r="D24" s="7">
        <f t="shared" si="0"/>
        <v>-0.13769588825593804</v>
      </c>
    </row>
    <row r="25" spans="1:4" x14ac:dyDescent="0.3">
      <c r="A25" s="5">
        <f>[1]Price!A25</f>
        <v>44159</v>
      </c>
      <c r="B25" s="6">
        <f>[1]Price!B25</f>
        <v>24</v>
      </c>
      <c r="C25" s="7">
        <f>[1]Price!C25</f>
        <v>6.8408033273724982</v>
      </c>
      <c r="D25" s="7">
        <f t="shared" si="0"/>
        <v>3.4337208523672835E-2</v>
      </c>
    </row>
    <row r="26" spans="1:4" x14ac:dyDescent="0.3">
      <c r="A26" s="5">
        <f>[1]Price!A26</f>
        <v>44160</v>
      </c>
      <c r="B26" s="6">
        <f>[1]Price!B26</f>
        <v>25</v>
      </c>
      <c r="C26" s="7">
        <f>[1]Price!C26</f>
        <v>7.2819033763233421</v>
      </c>
      <c r="D26" s="7">
        <f t="shared" si="0"/>
        <v>0.44110004895084387</v>
      </c>
    </row>
    <row r="27" spans="1:4" x14ac:dyDescent="0.3">
      <c r="A27" s="5">
        <f>[1]Price!A27</f>
        <v>44161</v>
      </c>
      <c r="B27" s="6">
        <f>[1]Price!B27</f>
        <v>26</v>
      </c>
      <c r="C27" s="7">
        <f>[1]Price!C27</f>
        <v>6.5824164475425864</v>
      </c>
      <c r="D27" s="7">
        <f t="shared" si="0"/>
        <v>-0.69948692878075569</v>
      </c>
    </row>
    <row r="28" spans="1:4" x14ac:dyDescent="0.3">
      <c r="A28" s="5">
        <f>[1]Price!A28</f>
        <v>44162</v>
      </c>
      <c r="B28" s="6">
        <f>[1]Price!B28</f>
        <v>27</v>
      </c>
      <c r="C28" s="7">
        <f>[1]Price!C28</f>
        <v>6.9182965307023565</v>
      </c>
      <c r="D28" s="7">
        <f t="shared" si="0"/>
        <v>0.33588008315977014</v>
      </c>
    </row>
    <row r="29" spans="1:4" x14ac:dyDescent="0.3">
      <c r="A29" s="5">
        <f>[1]Price!A29</f>
        <v>44163</v>
      </c>
      <c r="B29" s="6">
        <f>[1]Price!B29</f>
        <v>28</v>
      </c>
      <c r="C29" s="7">
        <f>[1]Price!C29</f>
        <v>6.3858015694658121</v>
      </c>
      <c r="D29" s="7">
        <f t="shared" si="0"/>
        <v>-0.53249496123654438</v>
      </c>
    </row>
    <row r="30" spans="1:4" x14ac:dyDescent="0.3">
      <c r="A30" s="5">
        <f>[1]Price!A30</f>
        <v>44164</v>
      </c>
      <c r="B30" s="6">
        <f>[1]Price!B30</f>
        <v>29</v>
      </c>
      <c r="C30" s="7">
        <f>[1]Price!C30</f>
        <v>7.0059755771828165</v>
      </c>
      <c r="D30" s="7">
        <f t="shared" si="0"/>
        <v>0.62017400771700437</v>
      </c>
    </row>
    <row r="31" spans="1:4" x14ac:dyDescent="0.3">
      <c r="A31" s="5">
        <f>[1]Price!A31</f>
        <v>44165</v>
      </c>
      <c r="B31" s="6">
        <f>[1]Price!B31</f>
        <v>30</v>
      </c>
      <c r="C31" s="7">
        <f>[1]Price!C31</f>
        <v>6.8656767865508117</v>
      </c>
      <c r="D31" s="7">
        <f t="shared" si="0"/>
        <v>-0.14029879063200479</v>
      </c>
    </row>
    <row r="32" spans="1:4" x14ac:dyDescent="0.3">
      <c r="A32" s="5">
        <f>[1]Price!A32</f>
        <v>44166</v>
      </c>
      <c r="B32" s="6">
        <f>[1]Price!B32</f>
        <v>31</v>
      </c>
      <c r="C32" s="7">
        <f>[1]Price!C32</f>
        <v>7.2429686463441891</v>
      </c>
      <c r="D32" s="7">
        <f t="shared" si="0"/>
        <v>0.37729185979337743</v>
      </c>
    </row>
    <row r="33" spans="1:4" x14ac:dyDescent="0.3">
      <c r="A33" s="5">
        <f>[1]Price!A33</f>
        <v>44167</v>
      </c>
      <c r="B33" s="6">
        <f>[1]Price!B33</f>
        <v>32</v>
      </c>
      <c r="C33" s="7">
        <f>[1]Price!C33</f>
        <v>7.1751249338414151</v>
      </c>
      <c r="D33" s="7">
        <f t="shared" si="0"/>
        <v>-6.784371250277399E-2</v>
      </c>
    </row>
    <row r="34" spans="1:4" x14ac:dyDescent="0.3">
      <c r="A34" s="5">
        <f>[1]Price!A34</f>
        <v>44168</v>
      </c>
      <c r="B34" s="6">
        <f>[1]Price!B34</f>
        <v>33</v>
      </c>
      <c r="C34" s="7">
        <f>[1]Price!C34</f>
        <v>6.9690733090955108</v>
      </c>
      <c r="D34" s="7">
        <f t="shared" si="0"/>
        <v>-0.20605162474590433</v>
      </c>
    </row>
    <row r="35" spans="1:4" x14ac:dyDescent="0.3">
      <c r="A35" s="5">
        <f>[1]Price!A35</f>
        <v>44169</v>
      </c>
      <c r="B35" s="6">
        <f>[1]Price!B35</f>
        <v>34</v>
      </c>
      <c r="C35" s="7">
        <f>[1]Price!C35</f>
        <v>7.4805081716603246</v>
      </c>
      <c r="D35" s="7">
        <f t="shared" si="0"/>
        <v>0.51143486256481374</v>
      </c>
    </row>
    <row r="36" spans="1:4" x14ac:dyDescent="0.3">
      <c r="A36" s="5">
        <f>[1]Price!A36</f>
        <v>44170</v>
      </c>
      <c r="B36" s="6">
        <f>[1]Price!B36</f>
        <v>35</v>
      </c>
      <c r="C36" s="7">
        <f>[1]Price!C36</f>
        <v>7.9736910697429675</v>
      </c>
      <c r="D36" s="7">
        <f t="shared" si="0"/>
        <v>0.49318289808264293</v>
      </c>
    </row>
    <row r="37" spans="1:4" x14ac:dyDescent="0.3">
      <c r="A37" s="5">
        <f>[1]Price!A37</f>
        <v>44171</v>
      </c>
      <c r="B37" s="6">
        <f>[1]Price!B37</f>
        <v>36</v>
      </c>
      <c r="C37" s="7">
        <f>[1]Price!C37</f>
        <v>8.0874230502927471</v>
      </c>
      <c r="D37" s="7">
        <f t="shared" si="0"/>
        <v>0.11373198054977962</v>
      </c>
    </row>
    <row r="38" spans="1:4" x14ac:dyDescent="0.3">
      <c r="A38" s="5">
        <f>[1]Price!A38</f>
        <v>44172</v>
      </c>
      <c r="B38" s="6">
        <f>[1]Price!B38</f>
        <v>37</v>
      </c>
      <c r="C38" s="7">
        <f>[1]Price!C38</f>
        <v>8.5738086559314919</v>
      </c>
      <c r="D38" s="7">
        <f t="shared" si="0"/>
        <v>0.48638560563874478</v>
      </c>
    </row>
    <row r="39" spans="1:4" x14ac:dyDescent="0.3">
      <c r="A39" s="5">
        <f>[1]Price!A39</f>
        <v>44173</v>
      </c>
      <c r="B39" s="6">
        <f>[1]Price!B39</f>
        <v>38</v>
      </c>
      <c r="C39" s="7">
        <f>[1]Price!C39</f>
        <v>8.9754383839611211</v>
      </c>
      <c r="D39" s="7">
        <f t="shared" si="0"/>
        <v>0.40162972802962926</v>
      </c>
    </row>
    <row r="40" spans="1:4" x14ac:dyDescent="0.3">
      <c r="A40" s="5">
        <f>[1]Price!A40</f>
        <v>44174</v>
      </c>
      <c r="B40" s="6">
        <f>[1]Price!B40</f>
        <v>39</v>
      </c>
      <c r="C40" s="7">
        <f>[1]Price!C40</f>
        <v>9.6525381544628956</v>
      </c>
      <c r="D40" s="7">
        <f t="shared" si="0"/>
        <v>0.6770997705017745</v>
      </c>
    </row>
    <row r="41" spans="1:4" x14ac:dyDescent="0.3">
      <c r="A41" s="5">
        <f>[1]Price!A41</f>
        <v>44175</v>
      </c>
      <c r="B41" s="6">
        <f>[1]Price!B41</f>
        <v>40</v>
      </c>
      <c r="C41" s="7">
        <f>[1]Price!C41</f>
        <v>9.3433444430555816</v>
      </c>
      <c r="D41" s="7">
        <f t="shared" si="0"/>
        <v>-0.309193711407314</v>
      </c>
    </row>
    <row r="42" spans="1:4" x14ac:dyDescent="0.3">
      <c r="A42" s="5">
        <f>[1]Price!A42</f>
        <v>44176</v>
      </c>
      <c r="B42" s="6">
        <f>[1]Price!B42</f>
        <v>41</v>
      </c>
      <c r="C42" s="7">
        <f>[1]Price!C42</f>
        <v>9.4670832033123276</v>
      </c>
      <c r="D42" s="7">
        <f t="shared" si="0"/>
        <v>0.12373876025674591</v>
      </c>
    </row>
    <row r="43" spans="1:4" x14ac:dyDescent="0.3">
      <c r="A43" s="5">
        <f>[1]Price!A43</f>
        <v>44177</v>
      </c>
      <c r="B43" s="6">
        <f>[1]Price!B43</f>
        <v>42</v>
      </c>
      <c r="C43" s="7">
        <f>[1]Price!C43</f>
        <v>10.531327699803338</v>
      </c>
      <c r="D43" s="7">
        <f t="shared" si="0"/>
        <v>1.0642444964910105</v>
      </c>
    </row>
    <row r="44" spans="1:4" x14ac:dyDescent="0.3">
      <c r="A44" s="5">
        <f>[1]Price!A44</f>
        <v>44178</v>
      </c>
      <c r="B44" s="6">
        <f>[1]Price!B44</f>
        <v>43</v>
      </c>
      <c r="C44" s="7">
        <f>[1]Price!C44</f>
        <v>10.392300185410509</v>
      </c>
      <c r="D44" s="7">
        <f t="shared" si="0"/>
        <v>-0.13902751439282923</v>
      </c>
    </row>
    <row r="45" spans="1:4" x14ac:dyDescent="0.3">
      <c r="A45" s="5">
        <f>[1]Price!A45</f>
        <v>44179</v>
      </c>
      <c r="B45" s="6">
        <f>[1]Price!B45</f>
        <v>44</v>
      </c>
      <c r="C45" s="7">
        <f>[1]Price!C45</f>
        <v>11.110309959339899</v>
      </c>
      <c r="D45" s="7">
        <f t="shared" si="0"/>
        <v>0.71800977392939025</v>
      </c>
    </row>
    <row r="46" spans="1:4" x14ac:dyDescent="0.3">
      <c r="A46" s="5">
        <f>[1]Price!A46</f>
        <v>44180</v>
      </c>
      <c r="B46" s="6">
        <f>[1]Price!B46</f>
        <v>45</v>
      </c>
      <c r="C46" s="7">
        <f>[1]Price!C46</f>
        <v>11.14642019184358</v>
      </c>
      <c r="D46" s="7">
        <f t="shared" si="0"/>
        <v>3.6110232503681061E-2</v>
      </c>
    </row>
    <row r="47" spans="1:4" x14ac:dyDescent="0.3">
      <c r="A47" s="5">
        <f>[1]Price!A47</f>
        <v>44181</v>
      </c>
      <c r="B47" s="6">
        <f>[1]Price!B47</f>
        <v>46</v>
      </c>
      <c r="C47" s="7">
        <f>[1]Price!C47</f>
        <v>10.959863056908329</v>
      </c>
      <c r="D47" s="7">
        <f t="shared" si="0"/>
        <v>-0.18655713493525106</v>
      </c>
    </row>
    <row r="48" spans="1:4" x14ac:dyDescent="0.3">
      <c r="A48" s="5">
        <f>[1]Price!A48</f>
        <v>44182</v>
      </c>
      <c r="B48" s="6">
        <f>[1]Price!B48</f>
        <v>47</v>
      </c>
      <c r="C48" s="7">
        <f>[1]Price!C48</f>
        <v>11.28816462937376</v>
      </c>
      <c r="D48" s="7">
        <f t="shared" si="0"/>
        <v>0.32830157246543124</v>
      </c>
    </row>
    <row r="49" spans="1:4" x14ac:dyDescent="0.3">
      <c r="A49" s="5">
        <f>[1]Price!A49</f>
        <v>44183</v>
      </c>
      <c r="B49" s="6">
        <f>[1]Price!B49</f>
        <v>48</v>
      </c>
      <c r="C49" s="7">
        <f>[1]Price!C49</f>
        <v>11.612152150734971</v>
      </c>
      <c r="D49" s="7">
        <f t="shared" si="0"/>
        <v>0.3239875213612109</v>
      </c>
    </row>
    <row r="50" spans="1:4" x14ac:dyDescent="0.3">
      <c r="A50" s="5">
        <f>[1]Price!A50</f>
        <v>44184</v>
      </c>
      <c r="B50" s="6">
        <f>[1]Price!B50</f>
        <v>49</v>
      </c>
      <c r="C50" s="7">
        <f>[1]Price!C50</f>
        <v>12.571190263902917</v>
      </c>
      <c r="D50" s="7">
        <f t="shared" si="0"/>
        <v>0.95903811316794574</v>
      </c>
    </row>
    <row r="51" spans="1:4" x14ac:dyDescent="0.3">
      <c r="A51" s="5">
        <f>[1]Price!A51</f>
        <v>44185</v>
      </c>
      <c r="B51" s="6">
        <f>[1]Price!B51</f>
        <v>50</v>
      </c>
      <c r="C51" s="7">
        <f>[1]Price!C51</f>
        <v>12.723441267589244</v>
      </c>
      <c r="D51" s="7">
        <f t="shared" si="0"/>
        <v>0.15225100368632738</v>
      </c>
    </row>
    <row r="52" spans="1:4" x14ac:dyDescent="0.3">
      <c r="A52" s="5">
        <f>[1]Price!A52</f>
        <v>44186</v>
      </c>
      <c r="B52" s="6">
        <f>[1]Price!B52</f>
        <v>51</v>
      </c>
      <c r="C52" s="7">
        <f>[1]Price!C52</f>
        <v>12.649442981895506</v>
      </c>
      <c r="D52" s="7">
        <f t="shared" si="0"/>
        <v>-7.3998285693738453E-2</v>
      </c>
    </row>
    <row r="53" spans="1:4" x14ac:dyDescent="0.3">
      <c r="A53" s="5">
        <f>[1]Price!A53</f>
        <v>44187</v>
      </c>
      <c r="B53" s="6">
        <f>[1]Price!B53</f>
        <v>52</v>
      </c>
      <c r="C53" s="7">
        <f>[1]Price!C53</f>
        <v>12.295758563150923</v>
      </c>
      <c r="D53" s="7">
        <f t="shared" si="0"/>
        <v>-0.35368441874458334</v>
      </c>
    </row>
    <row r="54" spans="1:4" x14ac:dyDescent="0.3">
      <c r="A54" s="5">
        <f>[1]Price!A54</f>
        <v>44188</v>
      </c>
      <c r="B54" s="6">
        <f>[1]Price!B54</f>
        <v>53</v>
      </c>
      <c r="C54" s="7">
        <f>[1]Price!C54</f>
        <v>12.296507205391922</v>
      </c>
      <c r="D54" s="7">
        <f t="shared" si="0"/>
        <v>7.4864224099968624E-4</v>
      </c>
    </row>
    <row r="55" spans="1:4" x14ac:dyDescent="0.3">
      <c r="A55" s="5">
        <f>[1]Price!A55</f>
        <v>44189</v>
      </c>
      <c r="B55" s="6">
        <f>[1]Price!B55</f>
        <v>54</v>
      </c>
      <c r="C55" s="7">
        <f>[1]Price!C55</f>
        <v>11.978425930707889</v>
      </c>
      <c r="D55" s="7">
        <f t="shared" si="0"/>
        <v>-0.31808127468403313</v>
      </c>
    </row>
    <row r="56" spans="1:4" x14ac:dyDescent="0.3">
      <c r="A56" s="5">
        <f>[1]Price!A56</f>
        <v>44190</v>
      </c>
      <c r="B56" s="6">
        <f>[1]Price!B56</f>
        <v>55</v>
      </c>
      <c r="C56" s="7">
        <f>[1]Price!C56</f>
        <v>12.356227517033599</v>
      </c>
      <c r="D56" s="7">
        <f t="shared" si="0"/>
        <v>0.37780158632570959</v>
      </c>
    </row>
    <row r="57" spans="1:4" x14ac:dyDescent="0.3">
      <c r="A57" s="5">
        <f>[1]Price!A57</f>
        <v>44191</v>
      </c>
      <c r="B57" s="6">
        <f>[1]Price!B57</f>
        <v>56</v>
      </c>
      <c r="C57" s="7">
        <f>[1]Price!C57</f>
        <v>12.371012845788789</v>
      </c>
      <c r="D57" s="7">
        <f t="shared" si="0"/>
        <v>1.4785328755190008E-2</v>
      </c>
    </row>
    <row r="58" spans="1:4" x14ac:dyDescent="0.3">
      <c r="A58" s="5">
        <f>[1]Price!A58</f>
        <v>44192</v>
      </c>
      <c r="B58" s="6">
        <f>[1]Price!B58</f>
        <v>57</v>
      </c>
      <c r="C58" s="7">
        <f>[1]Price!C58</f>
        <v>11.914542470054625</v>
      </c>
      <c r="D58" s="7">
        <f t="shared" si="0"/>
        <v>-0.45647037573416327</v>
      </c>
    </row>
    <row r="59" spans="1:4" x14ac:dyDescent="0.3">
      <c r="A59" s="5">
        <f>[1]Price!A59</f>
        <v>44193</v>
      </c>
      <c r="B59" s="6">
        <f>[1]Price!B59</f>
        <v>58</v>
      </c>
      <c r="C59" s="7">
        <f>[1]Price!C59</f>
        <v>11.701842939175673</v>
      </c>
      <c r="D59" s="7">
        <f t="shared" si="0"/>
        <v>-0.2126995308789521</v>
      </c>
    </row>
    <row r="60" spans="1:4" x14ac:dyDescent="0.3">
      <c r="A60" s="5">
        <f>[1]Price!A60</f>
        <v>44194</v>
      </c>
      <c r="B60" s="6">
        <f>[1]Price!B60</f>
        <v>59</v>
      </c>
      <c r="C60" s="7">
        <f>[1]Price!C60</f>
        <v>11.337313930764044</v>
      </c>
      <c r="D60" s="7">
        <f t="shared" si="0"/>
        <v>-0.36452900841162972</v>
      </c>
    </row>
    <row r="61" spans="1:4" x14ac:dyDescent="0.3">
      <c r="A61" s="5">
        <f>[1]Price!A61</f>
        <v>44195</v>
      </c>
      <c r="B61" s="6">
        <f>[1]Price!B61</f>
        <v>60</v>
      </c>
      <c r="C61" s="7">
        <f>[1]Price!C61</f>
        <v>11.672593460842299</v>
      </c>
      <c r="D61" s="7">
        <f t="shared" si="0"/>
        <v>0.33527953007825495</v>
      </c>
    </row>
    <row r="62" spans="1:4" x14ac:dyDescent="0.3">
      <c r="A62" s="5">
        <f>[1]Price!A62</f>
        <v>44196</v>
      </c>
      <c r="B62" s="6">
        <f>[1]Price!B62</f>
        <v>61</v>
      </c>
      <c r="C62" s="7">
        <f>[1]Price!C62</f>
        <v>11.61927770905195</v>
      </c>
      <c r="D62" s="7">
        <f t="shared" si="0"/>
        <v>-5.3315751790348642E-2</v>
      </c>
    </row>
    <row r="63" spans="1:4" x14ac:dyDescent="0.3">
      <c r="A63" s="5">
        <f>[1]Price!A63</f>
        <v>44197</v>
      </c>
      <c r="B63" s="6">
        <f>[1]Price!B63</f>
        <v>62</v>
      </c>
      <c r="C63" s="7">
        <f>[1]Price!C63</f>
        <v>11.344619939792993</v>
      </c>
      <c r="D63" s="7">
        <f t="shared" si="0"/>
        <v>-0.27465776925895646</v>
      </c>
    </row>
    <row r="64" spans="1:4" x14ac:dyDescent="0.3">
      <c r="A64" s="5">
        <f>[1]Price!A64</f>
        <v>44198</v>
      </c>
      <c r="B64" s="6">
        <f>[1]Price!B64</f>
        <v>63</v>
      </c>
      <c r="C64" s="7">
        <f>[1]Price!C64</f>
        <v>11.691356313332237</v>
      </c>
      <c r="D64" s="7">
        <f t="shared" si="0"/>
        <v>0.34673637353924391</v>
      </c>
    </row>
    <row r="65" spans="1:4" x14ac:dyDescent="0.3">
      <c r="A65" s="5">
        <f>[1]Price!A65</f>
        <v>44199</v>
      </c>
      <c r="B65" s="6">
        <f>[1]Price!B65</f>
        <v>64</v>
      </c>
      <c r="C65" s="7">
        <f>[1]Price!C65</f>
        <v>11.150839607926304</v>
      </c>
      <c r="D65" s="7">
        <f t="shared" si="0"/>
        <v>-0.540516705405933</v>
      </c>
    </row>
    <row r="66" spans="1:4" x14ac:dyDescent="0.3">
      <c r="A66" s="5">
        <f>[1]Price!A66</f>
        <v>44200</v>
      </c>
      <c r="B66" s="6">
        <f>[1]Price!B66</f>
        <v>65</v>
      </c>
      <c r="C66" s="7">
        <f>[1]Price!C66</f>
        <v>10.683756803420277</v>
      </c>
      <c r="D66" s="7">
        <f t="shared" si="0"/>
        <v>-0.46708280450602757</v>
      </c>
    </row>
    <row r="67" spans="1:4" x14ac:dyDescent="0.3">
      <c r="A67" s="5">
        <f>[1]Price!A67</f>
        <v>44201</v>
      </c>
      <c r="B67" s="6">
        <f>[1]Price!B67</f>
        <v>66</v>
      </c>
      <c r="C67" s="7">
        <f>[1]Price!C67</f>
        <v>10.765600352772315</v>
      </c>
      <c r="D67" s="7">
        <f t="shared" si="0"/>
        <v>8.1843549352038636E-2</v>
      </c>
    </row>
    <row r="68" spans="1:4" x14ac:dyDescent="0.3">
      <c r="A68" s="5">
        <f>[1]Price!A68</f>
        <v>44202</v>
      </c>
      <c r="B68" s="6">
        <f>[1]Price!B68</f>
        <v>67</v>
      </c>
      <c r="C68" s="7">
        <f>[1]Price!C68</f>
        <v>11.01177416593932</v>
      </c>
      <c r="D68" s="7">
        <f t="shared" ref="D68:D118" si="1">C68-C67</f>
        <v>0.2461738131670046</v>
      </c>
    </row>
    <row r="69" spans="1:4" x14ac:dyDescent="0.3">
      <c r="A69" s="5">
        <f>[1]Price!A69</f>
        <v>44203</v>
      </c>
      <c r="B69" s="6">
        <f>[1]Price!B69</f>
        <v>68</v>
      </c>
      <c r="C69" s="7">
        <f>[1]Price!C69</f>
        <v>10.728357976761814</v>
      </c>
      <c r="D69" s="7">
        <f t="shared" si="1"/>
        <v>-0.28341618917750644</v>
      </c>
    </row>
    <row r="70" spans="1:4" x14ac:dyDescent="0.3">
      <c r="A70" s="5">
        <f>[1]Price!A70</f>
        <v>44204</v>
      </c>
      <c r="B70" s="6">
        <f>[1]Price!B70</f>
        <v>69</v>
      </c>
      <c r="C70" s="7">
        <f>[1]Price!C70</f>
        <v>10.80983157378189</v>
      </c>
      <c r="D70" s="7">
        <f t="shared" si="1"/>
        <v>8.1473597020076838E-2</v>
      </c>
    </row>
    <row r="71" spans="1:4" x14ac:dyDescent="0.3">
      <c r="A71" s="5">
        <f>[1]Price!A71</f>
        <v>44205</v>
      </c>
      <c r="B71" s="6">
        <f>[1]Price!B71</f>
        <v>70</v>
      </c>
      <c r="C71" s="7">
        <f>[1]Price!C71</f>
        <v>10.09812839146554</v>
      </c>
      <c r="D71" s="7">
        <f t="shared" si="1"/>
        <v>-0.71170318231635044</v>
      </c>
    </row>
    <row r="72" spans="1:4" x14ac:dyDescent="0.3">
      <c r="A72" s="5">
        <f>[1]Price!A72</f>
        <v>44206</v>
      </c>
      <c r="B72" s="6">
        <f>[1]Price!B72</f>
        <v>71</v>
      </c>
      <c r="C72" s="7">
        <f>[1]Price!C72</f>
        <v>11.139013003047371</v>
      </c>
      <c r="D72" s="7">
        <f t="shared" si="1"/>
        <v>1.0408846115818307</v>
      </c>
    </row>
    <row r="73" spans="1:4" x14ac:dyDescent="0.3">
      <c r="A73" s="5">
        <f>[1]Price!A73</f>
        <v>44207</v>
      </c>
      <c r="B73" s="6">
        <f>[1]Price!B73</f>
        <v>72</v>
      </c>
      <c r="C73" s="7">
        <f>[1]Price!C73</f>
        <v>11.456625551417812</v>
      </c>
      <c r="D73" s="7">
        <f t="shared" si="1"/>
        <v>0.31761254837044106</v>
      </c>
    </row>
    <row r="74" spans="1:4" x14ac:dyDescent="0.3">
      <c r="A74" s="5">
        <f>[1]Price!A74</f>
        <v>44208</v>
      </c>
      <c r="B74" s="6">
        <f>[1]Price!B74</f>
        <v>73</v>
      </c>
      <c r="C74" s="7">
        <f>[1]Price!C74</f>
        <v>11.782576185258915</v>
      </c>
      <c r="D74" s="7">
        <f t="shared" si="1"/>
        <v>0.3259506338411029</v>
      </c>
    </row>
    <row r="75" spans="1:4" x14ac:dyDescent="0.3">
      <c r="A75" s="5">
        <f>[1]Price!A75</f>
        <v>44209</v>
      </c>
      <c r="B75" s="6">
        <f>[1]Price!B75</f>
        <v>74</v>
      </c>
      <c r="C75" s="7">
        <f>[1]Price!C75</f>
        <v>11.455462409216665</v>
      </c>
      <c r="D75" s="7">
        <f t="shared" si="1"/>
        <v>-0.32711377604224978</v>
      </c>
    </row>
    <row r="76" spans="1:4" x14ac:dyDescent="0.3">
      <c r="A76" s="5">
        <f>[1]Price!A76</f>
        <v>44210</v>
      </c>
      <c r="B76" s="6">
        <f>[1]Price!B76</f>
        <v>75</v>
      </c>
      <c r="C76" s="7">
        <f>[1]Price!C76</f>
        <v>12.448140099286038</v>
      </c>
      <c r="D76" s="7">
        <f t="shared" si="1"/>
        <v>0.99267769006937279</v>
      </c>
    </row>
    <row r="77" spans="1:4" x14ac:dyDescent="0.3">
      <c r="A77" s="5">
        <f>[1]Price!A77</f>
        <v>44211</v>
      </c>
      <c r="B77" s="6">
        <f>[1]Price!B77</f>
        <v>76</v>
      </c>
      <c r="C77" s="7">
        <f>[1]Price!C77</f>
        <v>11.807985288332912</v>
      </c>
      <c r="D77" s="7">
        <f t="shared" si="1"/>
        <v>-0.64015481095312587</v>
      </c>
    </row>
    <row r="78" spans="1:4" x14ac:dyDescent="0.3">
      <c r="A78" s="5">
        <f>[1]Price!A78</f>
        <v>44212</v>
      </c>
      <c r="B78" s="6">
        <f>[1]Price!B78</f>
        <v>77</v>
      </c>
      <c r="C78" s="7">
        <f>[1]Price!C78</f>
        <v>12.742938359789973</v>
      </c>
      <c r="D78" s="7">
        <f t="shared" si="1"/>
        <v>0.93495307145706086</v>
      </c>
    </row>
    <row r="79" spans="1:4" x14ac:dyDescent="0.3">
      <c r="A79" s="5">
        <f>[1]Price!A79</f>
        <v>44213</v>
      </c>
      <c r="B79" s="6">
        <f>[1]Price!B79</f>
        <v>78</v>
      </c>
      <c r="C79" s="7">
        <f>[1]Price!C79</f>
        <v>13.072450382243057</v>
      </c>
      <c r="D79" s="7">
        <f t="shared" si="1"/>
        <v>0.32951202245308409</v>
      </c>
    </row>
    <row r="80" spans="1:4" x14ac:dyDescent="0.3">
      <c r="A80" s="5">
        <f>[1]Price!A80</f>
        <v>44214</v>
      </c>
      <c r="B80" s="6">
        <f>[1]Price!B80</f>
        <v>79</v>
      </c>
      <c r="C80" s="7">
        <f>[1]Price!C80</f>
        <v>13.148082923021903</v>
      </c>
      <c r="D80" s="7">
        <f t="shared" si="1"/>
        <v>7.5632540778846291E-2</v>
      </c>
    </row>
    <row r="81" spans="1:4" x14ac:dyDescent="0.3">
      <c r="A81" s="5">
        <f>[1]Price!A81</f>
        <v>44215</v>
      </c>
      <c r="B81" s="6">
        <f>[1]Price!B81</f>
        <v>80</v>
      </c>
      <c r="C81" s="7">
        <f>[1]Price!C81</f>
        <v>13.972564395511982</v>
      </c>
      <c r="D81" s="7">
        <f t="shared" si="1"/>
        <v>0.82448147249007953</v>
      </c>
    </row>
    <row r="82" spans="1:4" x14ac:dyDescent="0.3">
      <c r="A82" s="5">
        <f>[1]Price!A82</f>
        <v>44216</v>
      </c>
      <c r="B82" s="6">
        <f>[1]Price!B82</f>
        <v>81</v>
      </c>
      <c r="C82" s="7">
        <f>[1]Price!C82</f>
        <v>13.388583490173893</v>
      </c>
      <c r="D82" s="7">
        <f t="shared" si="1"/>
        <v>-0.58398090533808933</v>
      </c>
    </row>
    <row r="83" spans="1:4" x14ac:dyDescent="0.3">
      <c r="A83" s="5">
        <f>[1]Price!A83</f>
        <v>44217</v>
      </c>
      <c r="B83" s="6">
        <f>[1]Price!B83</f>
        <v>82</v>
      </c>
      <c r="C83" s="7">
        <f>[1]Price!C83</f>
        <v>14.069506008155644</v>
      </c>
      <c r="D83" s="7">
        <f t="shared" si="1"/>
        <v>0.68092251798175063</v>
      </c>
    </row>
    <row r="84" spans="1:4" x14ac:dyDescent="0.3">
      <c r="A84" s="5">
        <f>[1]Price!A84</f>
        <v>44218</v>
      </c>
      <c r="B84" s="6">
        <f>[1]Price!B84</f>
        <v>83</v>
      </c>
      <c r="C84" s="7">
        <f>[1]Price!C84</f>
        <v>14.893481035151058</v>
      </c>
      <c r="D84" s="7">
        <f t="shared" si="1"/>
        <v>0.82397502699541469</v>
      </c>
    </row>
    <row r="85" spans="1:4" x14ac:dyDescent="0.3">
      <c r="A85" s="5">
        <f>[1]Price!A85</f>
        <v>44219</v>
      </c>
      <c r="B85" s="6">
        <f>[1]Price!B85</f>
        <v>84</v>
      </c>
      <c r="C85" s="7">
        <f>[1]Price!C85</f>
        <v>14.752423427977376</v>
      </c>
      <c r="D85" s="7">
        <f t="shared" si="1"/>
        <v>-0.14105760717368199</v>
      </c>
    </row>
    <row r="86" spans="1:4" x14ac:dyDescent="0.3">
      <c r="A86" s="5">
        <f>[1]Price!A86</f>
        <v>44220</v>
      </c>
      <c r="B86" s="6">
        <f>[1]Price!B86</f>
        <v>85</v>
      </c>
      <c r="C86" s="7">
        <f>[1]Price!C86</f>
        <v>14.622994096437072</v>
      </c>
      <c r="D86" s="7">
        <f t="shared" si="1"/>
        <v>-0.12942933154030456</v>
      </c>
    </row>
    <row r="87" spans="1:4" x14ac:dyDescent="0.3">
      <c r="A87" s="5">
        <f>[1]Price!A87</f>
        <v>44221</v>
      </c>
      <c r="B87" s="6">
        <f>[1]Price!B87</f>
        <v>86</v>
      </c>
      <c r="C87" s="7">
        <f>[1]Price!C87</f>
        <v>15.162492782943154</v>
      </c>
      <c r="D87" s="7">
        <f t="shared" si="1"/>
        <v>0.53949868650608224</v>
      </c>
    </row>
    <row r="88" spans="1:4" x14ac:dyDescent="0.3">
      <c r="A88" s="5">
        <f>[1]Price!A88</f>
        <v>44222</v>
      </c>
      <c r="B88" s="6">
        <f>[1]Price!B88</f>
        <v>87</v>
      </c>
      <c r="C88" s="7">
        <f>[1]Price!C88</f>
        <v>15.27248509360526</v>
      </c>
      <c r="D88" s="7">
        <f t="shared" si="1"/>
        <v>0.10999231066210591</v>
      </c>
    </row>
    <row r="89" spans="1:4" x14ac:dyDescent="0.3">
      <c r="A89" s="5">
        <f>[1]Price!A89</f>
        <v>44223</v>
      </c>
      <c r="B89" s="6">
        <f>[1]Price!B89</f>
        <v>88</v>
      </c>
      <c r="C89" s="7">
        <f>[1]Price!C89</f>
        <v>15.710691613477133</v>
      </c>
      <c r="D89" s="7">
        <f t="shared" si="1"/>
        <v>0.43820651987187276</v>
      </c>
    </row>
    <row r="90" spans="1:4" x14ac:dyDescent="0.3">
      <c r="A90" s="5">
        <f>[1]Price!A90</f>
        <v>44224</v>
      </c>
      <c r="B90" s="6">
        <f>[1]Price!B90</f>
        <v>89</v>
      </c>
      <c r="C90" s="7">
        <f>[1]Price!C90</f>
        <v>15.821331850607351</v>
      </c>
      <c r="D90" s="7">
        <f t="shared" si="1"/>
        <v>0.11064023713021776</v>
      </c>
    </row>
    <row r="91" spans="1:4" x14ac:dyDescent="0.3">
      <c r="A91" s="5">
        <f>[1]Price!A91</f>
        <v>44225</v>
      </c>
      <c r="B91" s="6">
        <f>[1]Price!B91</f>
        <v>90</v>
      </c>
      <c r="C91" s="7">
        <f>[1]Price!C91</f>
        <v>16.566539924218517</v>
      </c>
      <c r="D91" s="7">
        <f t="shared" si="1"/>
        <v>0.74520807361116681</v>
      </c>
    </row>
    <row r="92" spans="1:4" x14ac:dyDescent="0.3">
      <c r="A92" s="5">
        <f>[1]Price!A92</f>
        <v>44226</v>
      </c>
      <c r="B92" s="6">
        <f>[1]Price!B92</f>
        <v>91</v>
      </c>
      <c r="C92" s="7">
        <f>[1]Price!C92</f>
        <v>15.940213601235216</v>
      </c>
      <c r="D92" s="7">
        <f t="shared" si="1"/>
        <v>-0.62632632298330115</v>
      </c>
    </row>
    <row r="93" spans="1:4" x14ac:dyDescent="0.3">
      <c r="A93" s="5">
        <f>[1]Price!A93</f>
        <v>44227</v>
      </c>
      <c r="B93" s="6">
        <f>[1]Price!B93</f>
        <v>92</v>
      </c>
      <c r="C93" s="7">
        <f>[1]Price!C93</f>
        <v>16.77060247123077</v>
      </c>
      <c r="D93" s="7">
        <f t="shared" si="1"/>
        <v>0.83038886999555395</v>
      </c>
    </row>
    <row r="94" spans="1:4" x14ac:dyDescent="0.3">
      <c r="A94" s="5">
        <f>[1]Price!A94</f>
        <v>44228</v>
      </c>
      <c r="B94" s="6">
        <f>[1]Price!B94</f>
        <v>93</v>
      </c>
      <c r="C94" s="7">
        <f>[1]Price!C94</f>
        <v>16.548619615784723</v>
      </c>
      <c r="D94" s="7">
        <f t="shared" si="1"/>
        <v>-0.22198285544604701</v>
      </c>
    </row>
    <row r="95" spans="1:4" x14ac:dyDescent="0.3">
      <c r="A95" s="5">
        <f>[1]Price!A95</f>
        <v>44229</v>
      </c>
      <c r="B95" s="6">
        <f>[1]Price!B95</f>
        <v>94</v>
      </c>
      <c r="C95" s="7">
        <f>[1]Price!C95</f>
        <v>16.232591435485343</v>
      </c>
      <c r="D95" s="7">
        <f t="shared" si="1"/>
        <v>-0.31602818029938007</v>
      </c>
    </row>
    <row r="96" spans="1:4" x14ac:dyDescent="0.3">
      <c r="A96" s="5">
        <f>[1]Price!A96</f>
        <v>44230</v>
      </c>
      <c r="B96" s="6">
        <f>[1]Price!B96</f>
        <v>95</v>
      </c>
      <c r="C96" s="7">
        <f>[1]Price!C96</f>
        <v>16.412984403345412</v>
      </c>
      <c r="D96" s="7">
        <f t="shared" si="1"/>
        <v>0.18039296786006886</v>
      </c>
    </row>
    <row r="97" spans="1:4" x14ac:dyDescent="0.3">
      <c r="A97" s="5">
        <f>[1]Price!A97</f>
        <v>44231</v>
      </c>
      <c r="B97" s="6">
        <f>[1]Price!B97</f>
        <v>96</v>
      </c>
      <c r="C97" s="7">
        <f>[1]Price!C97</f>
        <v>15.59687354579113</v>
      </c>
      <c r="D97" s="7">
        <f t="shared" si="1"/>
        <v>-0.81611085755428192</v>
      </c>
    </row>
    <row r="98" spans="1:4" x14ac:dyDescent="0.3">
      <c r="A98" s="5">
        <f>[1]Price!A98</f>
        <v>44232</v>
      </c>
      <c r="B98" s="6">
        <f>[1]Price!B98</f>
        <v>97</v>
      </c>
      <c r="C98" s="7">
        <f>[1]Price!C98</f>
        <v>15.463928834611547</v>
      </c>
      <c r="D98" s="7">
        <f t="shared" si="1"/>
        <v>-0.13294471117958295</v>
      </c>
    </row>
    <row r="99" spans="1:4" x14ac:dyDescent="0.3">
      <c r="A99" s="5">
        <f>[1]Price!A99</f>
        <v>44233</v>
      </c>
      <c r="B99" s="6">
        <f>[1]Price!B99</f>
        <v>98</v>
      </c>
      <c r="C99" s="7">
        <f>[1]Price!C99</f>
        <v>16.167809157341523</v>
      </c>
      <c r="D99" s="7">
        <f t="shared" si="1"/>
        <v>0.70388032272997592</v>
      </c>
    </row>
    <row r="100" spans="1:4" x14ac:dyDescent="0.3">
      <c r="A100" s="5">
        <f>[1]Price!A100</f>
        <v>44234</v>
      </c>
      <c r="B100" s="6">
        <f>[1]Price!B100</f>
        <v>99</v>
      </c>
      <c r="C100" s="7">
        <f>[1]Price!C100</f>
        <v>15.914981548623629</v>
      </c>
      <c r="D100" s="7">
        <f t="shared" si="1"/>
        <v>-0.25282760871789378</v>
      </c>
    </row>
    <row r="101" spans="1:4" x14ac:dyDescent="0.3">
      <c r="A101" s="5">
        <f>[1]Price!A101</f>
        <v>44235</v>
      </c>
      <c r="B101" s="6">
        <f>[1]Price!B101</f>
        <v>100</v>
      </c>
      <c r="C101" s="7">
        <f>[1]Price!C101</f>
        <v>15.348974823934926</v>
      </c>
      <c r="D101" s="7">
        <f t="shared" si="1"/>
        <v>-0.5660067246887035</v>
      </c>
    </row>
    <row r="102" spans="1:4" x14ac:dyDescent="0.3">
      <c r="A102" s="5">
        <f>[1]Price!A102</f>
        <v>44236</v>
      </c>
      <c r="B102" s="6">
        <f>[1]Price!B102</f>
        <v>101</v>
      </c>
      <c r="C102" s="7">
        <f>[1]Price!C102</f>
        <v>15.405125914546776</v>
      </c>
      <c r="D102" s="7">
        <f t="shared" si="1"/>
        <v>5.6151090611850307E-2</v>
      </c>
    </row>
    <row r="103" spans="1:4" x14ac:dyDescent="0.3">
      <c r="A103" s="5">
        <f>[1]Price!A103</f>
        <v>44237</v>
      </c>
      <c r="B103" s="6">
        <f>[1]Price!B103</f>
        <v>102</v>
      </c>
      <c r="C103" s="7">
        <f>[1]Price!C103</f>
        <v>15.528096165344245</v>
      </c>
      <c r="D103" s="7">
        <f t="shared" si="1"/>
        <v>0.12297025079746859</v>
      </c>
    </row>
    <row r="104" spans="1:4" x14ac:dyDescent="0.3">
      <c r="A104" s="5">
        <f>[1]Price!A104</f>
        <v>44238</v>
      </c>
      <c r="B104" s="6">
        <f>[1]Price!B104</f>
        <v>103</v>
      </c>
      <c r="C104" s="7">
        <f>[1]Price!C104</f>
        <v>15.420482955811176</v>
      </c>
      <c r="D104" s="7">
        <f t="shared" si="1"/>
        <v>-0.10761320953306885</v>
      </c>
    </row>
    <row r="105" spans="1:4" x14ac:dyDescent="0.3">
      <c r="A105" s="5">
        <f>[1]Price!A105</f>
        <v>44239</v>
      </c>
      <c r="B105" s="6">
        <f>[1]Price!B105</f>
        <v>104</v>
      </c>
      <c r="C105" s="7">
        <f>[1]Price!C105</f>
        <v>15.512485031324056</v>
      </c>
      <c r="D105" s="7">
        <f t="shared" si="1"/>
        <v>9.200207551288031E-2</v>
      </c>
    </row>
    <row r="106" spans="1:4" x14ac:dyDescent="0.3">
      <c r="A106" s="5">
        <f>[1]Price!A106</f>
        <v>44240</v>
      </c>
      <c r="B106" s="6">
        <f>[1]Price!B106</f>
        <v>105</v>
      </c>
      <c r="C106" s="7">
        <f>[1]Price!C106</f>
        <v>14.78950229972936</v>
      </c>
      <c r="D106" s="7">
        <f t="shared" si="1"/>
        <v>-0.72298273159469595</v>
      </c>
    </row>
    <row r="107" spans="1:4" x14ac:dyDescent="0.3">
      <c r="A107" s="5">
        <f>[1]Price!A107</f>
        <v>44241</v>
      </c>
      <c r="B107" s="6">
        <f>[1]Price!B107</f>
        <v>106</v>
      </c>
      <c r="C107" s="7">
        <f>[1]Price!C107</f>
        <v>14.751829459968954</v>
      </c>
      <c r="D107" s="7">
        <f t="shared" si="1"/>
        <v>-3.7672839760405807E-2</v>
      </c>
    </row>
    <row r="108" spans="1:4" x14ac:dyDescent="0.3">
      <c r="A108" s="5">
        <f>[1]Price!A108</f>
        <v>44242</v>
      </c>
      <c r="B108" s="6">
        <f>[1]Price!B108</f>
        <v>107</v>
      </c>
      <c r="C108" s="7">
        <f>[1]Price!C108</f>
        <v>14.933676079041094</v>
      </c>
      <c r="D108" s="7">
        <f t="shared" si="1"/>
        <v>0.1818466190721395</v>
      </c>
    </row>
    <row r="109" spans="1:4" x14ac:dyDescent="0.3">
      <c r="A109" s="5">
        <f>[1]Price!A109</f>
        <v>44243</v>
      </c>
      <c r="B109" s="6">
        <f>[1]Price!B109</f>
        <v>108</v>
      </c>
      <c r="C109" s="7">
        <f>[1]Price!C109</f>
        <v>14.967417377274737</v>
      </c>
      <c r="D109" s="7">
        <f t="shared" si="1"/>
        <v>3.3741298233643136E-2</v>
      </c>
    </row>
    <row r="110" spans="1:4" x14ac:dyDescent="0.3">
      <c r="A110" s="5">
        <f>[1]Price!A110</f>
        <v>44244</v>
      </c>
      <c r="B110" s="6">
        <f>[1]Price!B110</f>
        <v>109</v>
      </c>
      <c r="C110" s="7">
        <f>[1]Price!C110</f>
        <v>14.217745926005723</v>
      </c>
      <c r="D110" s="7">
        <f t="shared" si="1"/>
        <v>-0.74967145126901436</v>
      </c>
    </row>
    <row r="111" spans="1:4" x14ac:dyDescent="0.3">
      <c r="A111" s="5">
        <f>[1]Price!A111</f>
        <v>44245</v>
      </c>
      <c r="B111" s="6">
        <f>[1]Price!B111</f>
        <v>110</v>
      </c>
      <c r="C111" s="7">
        <f>[1]Price!C111</f>
        <v>14.734725450308499</v>
      </c>
      <c r="D111" s="7">
        <f t="shared" si="1"/>
        <v>0.51697952430277638</v>
      </c>
    </row>
    <row r="112" spans="1:4" x14ac:dyDescent="0.3">
      <c r="A112" s="5">
        <f>[1]Price!A112</f>
        <v>44246</v>
      </c>
      <c r="B112" s="6">
        <f>[1]Price!B112</f>
        <v>111</v>
      </c>
      <c r="C112" s="7">
        <f>[1]Price!C112</f>
        <v>14.649103786426435</v>
      </c>
      <c r="D112" s="7">
        <f t="shared" si="1"/>
        <v>-8.5621663882063714E-2</v>
      </c>
    </row>
    <row r="113" spans="1:4" x14ac:dyDescent="0.3">
      <c r="A113" s="5">
        <f>[1]Price!A113</f>
        <v>44247</v>
      </c>
      <c r="B113" s="6">
        <f>[1]Price!B113</f>
        <v>112</v>
      </c>
      <c r="C113" s="7">
        <f>[1]Price!C113</f>
        <v>15.51387822731323</v>
      </c>
      <c r="D113" s="7">
        <f t="shared" si="1"/>
        <v>0.86477444088679434</v>
      </c>
    </row>
    <row r="114" spans="1:4" x14ac:dyDescent="0.3">
      <c r="A114" s="5">
        <f>[1]Price!A114</f>
        <v>44248</v>
      </c>
      <c r="B114" s="6">
        <f>[1]Price!B114</f>
        <v>113</v>
      </c>
      <c r="C114" s="7">
        <f>[1]Price!C114</f>
        <v>15.281290439579548</v>
      </c>
      <c r="D114" s="7">
        <f t="shared" si="1"/>
        <v>-0.23258778773368149</v>
      </c>
    </row>
    <row r="115" spans="1:4" x14ac:dyDescent="0.3">
      <c r="A115" s="5">
        <f>[1]Price!A115</f>
        <v>44249</v>
      </c>
      <c r="B115" s="6">
        <f>[1]Price!B115</f>
        <v>114</v>
      </c>
      <c r="C115" s="7">
        <f>[1]Price!C115</f>
        <v>15.950148181048958</v>
      </c>
      <c r="D115" s="7">
        <f t="shared" si="1"/>
        <v>0.66885774146940946</v>
      </c>
    </row>
    <row r="116" spans="1:4" x14ac:dyDescent="0.3">
      <c r="A116" s="5">
        <f>[1]Price!A116</f>
        <v>44250</v>
      </c>
      <c r="B116" s="6">
        <f>[1]Price!B116</f>
        <v>115</v>
      </c>
      <c r="C116" s="7">
        <f>[1]Price!C116</f>
        <v>16.196806742012733</v>
      </c>
      <c r="D116" s="7">
        <f t="shared" si="1"/>
        <v>0.24665856096377503</v>
      </c>
    </row>
    <row r="117" spans="1:4" x14ac:dyDescent="0.3">
      <c r="A117" s="5">
        <f>[1]Price!A117</f>
        <v>44251</v>
      </c>
      <c r="B117" s="6">
        <f>[1]Price!B117</f>
        <v>116</v>
      </c>
      <c r="C117" s="7">
        <f>[1]Price!C117</f>
        <v>16.583508118158409</v>
      </c>
      <c r="D117" s="7">
        <f t="shared" si="1"/>
        <v>0.38670137614567679</v>
      </c>
    </row>
    <row r="118" spans="1:4" x14ac:dyDescent="0.3">
      <c r="A118" s="5">
        <f>[1]Price!A118</f>
        <v>44252</v>
      </c>
      <c r="B118" s="6">
        <f>[1]Price!B118</f>
        <v>117</v>
      </c>
      <c r="C118" s="7">
        <f>[1]Price!C118</f>
        <v>16.372693229433054</v>
      </c>
      <c r="D118" s="7">
        <f t="shared" si="1"/>
        <v>-0.21081488872535559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9"/>
  <sheetViews>
    <sheetView workbookViewId="0">
      <selection activeCell="D29" sqref="D29"/>
    </sheetView>
  </sheetViews>
  <sheetFormatPr defaultRowHeight="14.4" x14ac:dyDescent="0.3"/>
  <cols>
    <col min="1" max="1" width="1.21875" customWidth="1"/>
    <col min="2" max="2" width="10.5546875" bestFit="1" customWidth="1"/>
    <col min="3" max="4" width="10.109375" bestFit="1" customWidth="1"/>
    <col min="5" max="5" width="10.109375" customWidth="1"/>
  </cols>
  <sheetData>
    <row r="1" spans="2:6" ht="4.8" customHeight="1" x14ac:dyDescent="0.3"/>
    <row r="2" spans="2:6" x14ac:dyDescent="0.3">
      <c r="B2" s="9" t="s">
        <v>0</v>
      </c>
      <c r="C2" s="9" t="s">
        <v>1</v>
      </c>
      <c r="D2" s="9" t="s">
        <v>3</v>
      </c>
      <c r="E2" s="9" t="s">
        <v>4</v>
      </c>
      <c r="F2" s="9"/>
    </row>
    <row r="3" spans="2:6" x14ac:dyDescent="0.3">
      <c r="B3" s="2">
        <f>[1]Price!A2</f>
        <v>44136</v>
      </c>
      <c r="C3" s="3">
        <f>[1]Price!B2</f>
        <v>1</v>
      </c>
    </row>
    <row r="4" spans="2:6" x14ac:dyDescent="0.3">
      <c r="B4" s="2">
        <f>[1]Price!A3</f>
        <v>44137</v>
      </c>
      <c r="C4" s="3">
        <f>[1]Price!B3</f>
        <v>2</v>
      </c>
      <c r="D4" s="4">
        <f>'[1]First-order Differencing'!D3</f>
        <v>0.40910541526757793</v>
      </c>
    </row>
    <row r="5" spans="2:6" x14ac:dyDescent="0.3">
      <c r="B5" s="2">
        <f>[1]Price!A4</f>
        <v>44138</v>
      </c>
      <c r="C5" s="3">
        <f>[1]Price!B4</f>
        <v>3</v>
      </c>
      <c r="D5" s="4">
        <f>'[1]First-order Differencing'!D4</f>
        <v>-0.42182150657408446</v>
      </c>
      <c r="E5" s="4">
        <f>D4</f>
        <v>0.40910541526757793</v>
      </c>
    </row>
    <row r="6" spans="2:6" x14ac:dyDescent="0.3">
      <c r="B6" s="2">
        <f>[1]Price!A5</f>
        <v>44139</v>
      </c>
      <c r="C6" s="3">
        <f>[1]Price!B5</f>
        <v>4</v>
      </c>
      <c r="D6" s="4">
        <f>'[1]First-order Differencing'!D5</f>
        <v>0.30287771410371445</v>
      </c>
      <c r="E6" s="4">
        <f t="shared" ref="E6:E69" si="0">D5</f>
        <v>-0.42182150657408446</v>
      </c>
      <c r="F6" s="4"/>
    </row>
    <row r="7" spans="2:6" x14ac:dyDescent="0.3">
      <c r="B7" s="2">
        <f>[1]Price!A6</f>
        <v>44140</v>
      </c>
      <c r="C7" s="3">
        <f>[1]Price!B6</f>
        <v>5</v>
      </c>
      <c r="D7" s="4">
        <f>'[1]First-order Differencing'!D6</f>
        <v>0.8347581061161522</v>
      </c>
      <c r="E7" s="4">
        <f t="shared" si="0"/>
        <v>0.30287771410371445</v>
      </c>
      <c r="F7" s="4"/>
    </row>
    <row r="8" spans="2:6" x14ac:dyDescent="0.3">
      <c r="B8" s="2">
        <f>[1]Price!A7</f>
        <v>44141</v>
      </c>
      <c r="C8" s="3">
        <f>[1]Price!B7</f>
        <v>6</v>
      </c>
      <c r="D8" s="4">
        <f>'[1]First-order Differencing'!D7</f>
        <v>-6.5766675892197313E-2</v>
      </c>
      <c r="E8" s="4">
        <f t="shared" si="0"/>
        <v>0.8347581061161522</v>
      </c>
      <c r="F8" s="4"/>
    </row>
    <row r="9" spans="2:6" x14ac:dyDescent="0.3">
      <c r="B9" s="2">
        <f>[1]Price!A8</f>
        <v>44142</v>
      </c>
      <c r="C9" s="3">
        <f>[1]Price!B8</f>
        <v>7</v>
      </c>
      <c r="D9" s="4">
        <f>'[1]First-order Differencing'!D8</f>
        <v>0.50533626660980158</v>
      </c>
      <c r="E9" s="4">
        <f t="shared" si="0"/>
        <v>-6.5766675892197313E-2</v>
      </c>
      <c r="F9" s="4"/>
    </row>
    <row r="10" spans="2:6" x14ac:dyDescent="0.3">
      <c r="B10" s="2">
        <f>[1]Price!A9</f>
        <v>44143</v>
      </c>
      <c r="C10" s="3">
        <f>[1]Price!B9</f>
        <v>8</v>
      </c>
      <c r="D10" s="4">
        <f>'[1]First-order Differencing'!D9</f>
        <v>0.33620252028347419</v>
      </c>
      <c r="E10" s="4">
        <f t="shared" si="0"/>
        <v>0.50533626660980158</v>
      </c>
      <c r="F10" s="4"/>
    </row>
    <row r="11" spans="2:6" x14ac:dyDescent="0.3">
      <c r="B11" s="2">
        <f>[1]Price!A10</f>
        <v>44144</v>
      </c>
      <c r="C11" s="3">
        <f>[1]Price!B10</f>
        <v>9</v>
      </c>
      <c r="D11" s="4">
        <f>'[1]First-order Differencing'!D10</f>
        <v>0.27076227254150886</v>
      </c>
      <c r="E11" s="4">
        <f t="shared" si="0"/>
        <v>0.33620252028347419</v>
      </c>
      <c r="F11" s="4"/>
    </row>
    <row r="12" spans="2:6" x14ac:dyDescent="0.3">
      <c r="B12" s="2">
        <f>[1]Price!A11</f>
        <v>44145</v>
      </c>
      <c r="C12" s="3">
        <f>[1]Price!B11</f>
        <v>10</v>
      </c>
      <c r="D12" s="4">
        <f>'[1]First-order Differencing'!D11</f>
        <v>-3.5625367133320651E-2</v>
      </c>
      <c r="E12" s="4">
        <f t="shared" si="0"/>
        <v>0.27076227254150886</v>
      </c>
      <c r="F12" s="4"/>
    </row>
    <row r="13" spans="2:6" x14ac:dyDescent="0.3">
      <c r="B13" s="2">
        <f>[1]Price!A12</f>
        <v>44146</v>
      </c>
      <c r="C13" s="3">
        <f>[1]Price!B12</f>
        <v>11</v>
      </c>
      <c r="D13" s="4">
        <f>'[1]First-order Differencing'!D12</f>
        <v>0.52879843509848357</v>
      </c>
      <c r="E13" s="4">
        <f t="shared" si="0"/>
        <v>-3.5625367133320651E-2</v>
      </c>
      <c r="F13" s="4"/>
    </row>
    <row r="14" spans="2:6" x14ac:dyDescent="0.3">
      <c r="B14" s="2">
        <f>[1]Price!A13</f>
        <v>44147</v>
      </c>
      <c r="C14" s="3">
        <f>[1]Price!B13</f>
        <v>12</v>
      </c>
      <c r="D14" s="4">
        <f>'[1]First-order Differencing'!D13</f>
        <v>0.11564718231985793</v>
      </c>
      <c r="E14" s="4">
        <f t="shared" si="0"/>
        <v>0.52879843509848357</v>
      </c>
      <c r="F14" s="4"/>
    </row>
    <row r="15" spans="2:6" x14ac:dyDescent="0.3">
      <c r="B15" s="2">
        <f>[1]Price!A14</f>
        <v>44148</v>
      </c>
      <c r="C15" s="3">
        <f>[1]Price!B14</f>
        <v>13</v>
      </c>
      <c r="D15" s="4">
        <f>'[1]First-order Differencing'!D14</f>
        <v>-0.85516565299261948</v>
      </c>
      <c r="E15" s="4">
        <f t="shared" si="0"/>
        <v>0.11564718231985793</v>
      </c>
      <c r="F15" s="4"/>
    </row>
    <row r="16" spans="2:6" x14ac:dyDescent="0.3">
      <c r="B16" s="2">
        <f>[1]Price!A15</f>
        <v>44149</v>
      </c>
      <c r="C16" s="3">
        <f>[1]Price!B15</f>
        <v>14</v>
      </c>
      <c r="D16" s="4">
        <f>'[1]First-order Differencing'!D15</f>
        <v>0.40767705662546838</v>
      </c>
      <c r="E16" s="4">
        <f t="shared" si="0"/>
        <v>-0.85516565299261948</v>
      </c>
      <c r="F16" s="4"/>
    </row>
    <row r="17" spans="2:6" x14ac:dyDescent="0.3">
      <c r="B17" s="2">
        <f>[1]Price!A16</f>
        <v>44150</v>
      </c>
      <c r="C17" s="3">
        <f>[1]Price!B16</f>
        <v>15</v>
      </c>
      <c r="D17" s="4">
        <f>'[1]First-order Differencing'!D16</f>
        <v>-0.13978943441600755</v>
      </c>
      <c r="E17" s="4">
        <f t="shared" si="0"/>
        <v>0.40767705662546838</v>
      </c>
      <c r="F17" s="4"/>
    </row>
    <row r="18" spans="2:6" x14ac:dyDescent="0.3">
      <c r="B18" s="2">
        <f>[1]Price!A17</f>
        <v>44151</v>
      </c>
      <c r="C18" s="3">
        <f>[1]Price!B17</f>
        <v>16</v>
      </c>
      <c r="D18" s="4">
        <f>'[1]First-order Differencing'!D17</f>
        <v>-0.10190808326593626</v>
      </c>
      <c r="E18" s="4">
        <f t="shared" si="0"/>
        <v>-0.13978943441600755</v>
      </c>
      <c r="F18" s="4"/>
    </row>
    <row r="19" spans="2:6" x14ac:dyDescent="0.3">
      <c r="B19" s="2">
        <f>[1]Price!A18</f>
        <v>44152</v>
      </c>
      <c r="C19" s="3">
        <f>[1]Price!B18</f>
        <v>17</v>
      </c>
      <c r="D19" s="4">
        <f>'[1]First-order Differencing'!D18</f>
        <v>-0.17463594087807266</v>
      </c>
      <c r="E19" s="4">
        <f t="shared" si="0"/>
        <v>-0.10190808326593626</v>
      </c>
      <c r="F19" s="4"/>
    </row>
    <row r="20" spans="2:6" x14ac:dyDescent="0.3">
      <c r="B20" s="2">
        <f>[1]Price!A19</f>
        <v>44153</v>
      </c>
      <c r="C20" s="3">
        <f>[1]Price!B19</f>
        <v>18</v>
      </c>
      <c r="D20" s="4">
        <f>'[1]First-order Differencing'!D19</f>
        <v>-0.39281600129529082</v>
      </c>
      <c r="E20" s="4">
        <f t="shared" si="0"/>
        <v>-0.17463594087807266</v>
      </c>
      <c r="F20" s="4"/>
    </row>
    <row r="21" spans="2:6" x14ac:dyDescent="0.3">
      <c r="B21" s="2">
        <f>[1]Price!A20</f>
        <v>44154</v>
      </c>
      <c r="C21" s="3">
        <f>[1]Price!B20</f>
        <v>19</v>
      </c>
      <c r="D21" s="4">
        <f>'[1]First-order Differencing'!D20</f>
        <v>0.18645425065197685</v>
      </c>
      <c r="E21" s="4">
        <f t="shared" si="0"/>
        <v>-0.39281600129529082</v>
      </c>
      <c r="F21" s="4"/>
    </row>
    <row r="22" spans="2:6" x14ac:dyDescent="0.3">
      <c r="B22" s="2">
        <f>[1]Price!A21</f>
        <v>44155</v>
      </c>
      <c r="C22" s="3">
        <f>[1]Price!B21</f>
        <v>20</v>
      </c>
      <c r="D22" s="4">
        <f>'[1]First-order Differencing'!D21</f>
        <v>-0.16799594363435233</v>
      </c>
      <c r="E22" s="4">
        <f t="shared" si="0"/>
        <v>0.18645425065197685</v>
      </c>
      <c r="F22" s="4"/>
    </row>
    <row r="23" spans="2:6" x14ac:dyDescent="0.3">
      <c r="B23" s="2">
        <f>[1]Price!A22</f>
        <v>44156</v>
      </c>
      <c r="C23" s="3">
        <f>[1]Price!B22</f>
        <v>21</v>
      </c>
      <c r="D23" s="4">
        <f>'[1]First-order Differencing'!D22</f>
        <v>-3.805914262170873E-2</v>
      </c>
      <c r="E23" s="4">
        <f t="shared" si="0"/>
        <v>-0.16799594363435233</v>
      </c>
      <c r="F23" s="4"/>
    </row>
    <row r="24" spans="2:6" x14ac:dyDescent="0.3">
      <c r="B24" s="2">
        <f>[1]Price!A23</f>
        <v>44157</v>
      </c>
      <c r="C24" s="3">
        <f>[1]Price!B23</f>
        <v>22</v>
      </c>
      <c r="D24" s="4">
        <f>'[1]First-order Differencing'!D23</f>
        <v>-0.56965296611229377</v>
      </c>
      <c r="E24" s="4">
        <f t="shared" si="0"/>
        <v>-3.805914262170873E-2</v>
      </c>
      <c r="F24" s="4"/>
    </row>
    <row r="25" spans="2:6" x14ac:dyDescent="0.3">
      <c r="B25" s="2">
        <f>[1]Price!A24</f>
        <v>44158</v>
      </c>
      <c r="C25" s="3">
        <f>[1]Price!B24</f>
        <v>23</v>
      </c>
      <c r="D25" s="4">
        <f>'[1]First-order Differencing'!D24</f>
        <v>-0.13769588825593804</v>
      </c>
      <c r="E25" s="4">
        <f t="shared" si="0"/>
        <v>-0.56965296611229377</v>
      </c>
      <c r="F25" s="4"/>
    </row>
    <row r="26" spans="2:6" x14ac:dyDescent="0.3">
      <c r="B26" s="2">
        <f>[1]Price!A25</f>
        <v>44159</v>
      </c>
      <c r="C26" s="3">
        <f>[1]Price!B25</f>
        <v>24</v>
      </c>
      <c r="D26" s="4">
        <f>'[1]First-order Differencing'!D25</f>
        <v>3.4337208523672835E-2</v>
      </c>
      <c r="E26" s="4">
        <f t="shared" si="0"/>
        <v>-0.13769588825593804</v>
      </c>
      <c r="F26" s="4"/>
    </row>
    <row r="27" spans="2:6" x14ac:dyDescent="0.3">
      <c r="B27" s="2">
        <f>[1]Price!A26</f>
        <v>44160</v>
      </c>
      <c r="C27" s="3">
        <f>[1]Price!B26</f>
        <v>25</v>
      </c>
      <c r="D27" s="4">
        <f>'[1]First-order Differencing'!D26</f>
        <v>0.44110004895084387</v>
      </c>
      <c r="E27" s="4">
        <f t="shared" si="0"/>
        <v>3.4337208523672835E-2</v>
      </c>
      <c r="F27" s="4"/>
    </row>
    <row r="28" spans="2:6" x14ac:dyDescent="0.3">
      <c r="B28" s="2">
        <f>[1]Price!A27</f>
        <v>44161</v>
      </c>
      <c r="C28" s="3">
        <f>[1]Price!B27</f>
        <v>26</v>
      </c>
      <c r="D28" s="4">
        <f>'[1]First-order Differencing'!D27</f>
        <v>-0.69948692878075569</v>
      </c>
      <c r="E28" s="4">
        <f t="shared" si="0"/>
        <v>0.44110004895084387</v>
      </c>
      <c r="F28" s="4"/>
    </row>
    <row r="29" spans="2:6" x14ac:dyDescent="0.3">
      <c r="B29" s="2">
        <f>[1]Price!A28</f>
        <v>44162</v>
      </c>
      <c r="C29" s="3">
        <f>[1]Price!B28</f>
        <v>27</v>
      </c>
      <c r="D29" s="4">
        <f>'[1]First-order Differencing'!D28</f>
        <v>0.33588008315977014</v>
      </c>
      <c r="E29" s="4">
        <f t="shared" si="0"/>
        <v>-0.69948692878075569</v>
      </c>
      <c r="F29" s="4"/>
    </row>
    <row r="30" spans="2:6" x14ac:dyDescent="0.3">
      <c r="B30" s="2">
        <f>[1]Price!A29</f>
        <v>44163</v>
      </c>
      <c r="C30" s="3">
        <f>[1]Price!B29</f>
        <v>28</v>
      </c>
      <c r="D30" s="4">
        <f>'[1]First-order Differencing'!D29</f>
        <v>-0.53249496123654438</v>
      </c>
      <c r="E30" s="4">
        <f t="shared" si="0"/>
        <v>0.33588008315977014</v>
      </c>
      <c r="F30" s="4"/>
    </row>
    <row r="31" spans="2:6" x14ac:dyDescent="0.3">
      <c r="B31" s="2">
        <f>[1]Price!A30</f>
        <v>44164</v>
      </c>
      <c r="C31" s="3">
        <f>[1]Price!B30</f>
        <v>29</v>
      </c>
      <c r="D31" s="4">
        <f>'[1]First-order Differencing'!D30</f>
        <v>0.62017400771700437</v>
      </c>
      <c r="E31" s="4">
        <f t="shared" si="0"/>
        <v>-0.53249496123654438</v>
      </c>
      <c r="F31" s="4"/>
    </row>
    <row r="32" spans="2:6" x14ac:dyDescent="0.3">
      <c r="B32" s="2">
        <f>[1]Price!A31</f>
        <v>44165</v>
      </c>
      <c r="C32" s="3">
        <f>[1]Price!B31</f>
        <v>30</v>
      </c>
      <c r="D32" s="4">
        <f>'[1]First-order Differencing'!D31</f>
        <v>-0.14029879063200479</v>
      </c>
      <c r="E32" s="4">
        <f t="shared" si="0"/>
        <v>0.62017400771700437</v>
      </c>
      <c r="F32" s="4"/>
    </row>
    <row r="33" spans="2:6" x14ac:dyDescent="0.3">
      <c r="B33" s="2">
        <f>[1]Price!A32</f>
        <v>44166</v>
      </c>
      <c r="C33" s="3">
        <f>[1]Price!B32</f>
        <v>31</v>
      </c>
      <c r="D33" s="4">
        <f>'[1]First-order Differencing'!D32</f>
        <v>0.37729185979337743</v>
      </c>
      <c r="E33" s="4">
        <f t="shared" si="0"/>
        <v>-0.14029879063200479</v>
      </c>
      <c r="F33" s="4"/>
    </row>
    <row r="34" spans="2:6" x14ac:dyDescent="0.3">
      <c r="B34" s="2">
        <f>[1]Price!A33</f>
        <v>44167</v>
      </c>
      <c r="C34" s="3">
        <f>[1]Price!B33</f>
        <v>32</v>
      </c>
      <c r="D34" s="4">
        <f>'[1]First-order Differencing'!D33</f>
        <v>-6.784371250277399E-2</v>
      </c>
      <c r="E34" s="4">
        <f t="shared" si="0"/>
        <v>0.37729185979337743</v>
      </c>
      <c r="F34" s="4"/>
    </row>
    <row r="35" spans="2:6" x14ac:dyDescent="0.3">
      <c r="B35" s="2">
        <f>[1]Price!A34</f>
        <v>44168</v>
      </c>
      <c r="C35" s="3">
        <f>[1]Price!B34</f>
        <v>33</v>
      </c>
      <c r="D35" s="4">
        <f>'[1]First-order Differencing'!D34</f>
        <v>-0.20605162474590433</v>
      </c>
      <c r="E35" s="4">
        <f t="shared" si="0"/>
        <v>-6.784371250277399E-2</v>
      </c>
      <c r="F35" s="4"/>
    </row>
    <row r="36" spans="2:6" x14ac:dyDescent="0.3">
      <c r="B36" s="2">
        <f>[1]Price!A35</f>
        <v>44169</v>
      </c>
      <c r="C36" s="3">
        <f>[1]Price!B35</f>
        <v>34</v>
      </c>
      <c r="D36" s="4">
        <f>'[1]First-order Differencing'!D35</f>
        <v>0.51143486256481374</v>
      </c>
      <c r="E36" s="4">
        <f t="shared" si="0"/>
        <v>-0.20605162474590433</v>
      </c>
      <c r="F36" s="4"/>
    </row>
    <row r="37" spans="2:6" x14ac:dyDescent="0.3">
      <c r="B37" s="2">
        <f>[1]Price!A36</f>
        <v>44170</v>
      </c>
      <c r="C37" s="3">
        <f>[1]Price!B36</f>
        <v>35</v>
      </c>
      <c r="D37" s="4">
        <f>'[1]First-order Differencing'!D36</f>
        <v>0.49318289808264293</v>
      </c>
      <c r="E37" s="4">
        <f t="shared" si="0"/>
        <v>0.51143486256481374</v>
      </c>
      <c r="F37" s="4"/>
    </row>
    <row r="38" spans="2:6" x14ac:dyDescent="0.3">
      <c r="B38" s="2">
        <f>[1]Price!A37</f>
        <v>44171</v>
      </c>
      <c r="C38" s="3">
        <f>[1]Price!B37</f>
        <v>36</v>
      </c>
      <c r="D38" s="4">
        <f>'[1]First-order Differencing'!D37</f>
        <v>0.11373198054977962</v>
      </c>
      <c r="E38" s="4">
        <f t="shared" si="0"/>
        <v>0.49318289808264293</v>
      </c>
      <c r="F38" s="4"/>
    </row>
    <row r="39" spans="2:6" x14ac:dyDescent="0.3">
      <c r="B39" s="2">
        <f>[1]Price!A38</f>
        <v>44172</v>
      </c>
      <c r="C39" s="3">
        <f>[1]Price!B38</f>
        <v>37</v>
      </c>
      <c r="D39" s="4">
        <f>'[1]First-order Differencing'!D38</f>
        <v>0.48638560563874478</v>
      </c>
      <c r="E39" s="4">
        <f t="shared" si="0"/>
        <v>0.11373198054977962</v>
      </c>
      <c r="F39" s="4"/>
    </row>
    <row r="40" spans="2:6" x14ac:dyDescent="0.3">
      <c r="B40" s="2">
        <f>[1]Price!A39</f>
        <v>44173</v>
      </c>
      <c r="C40" s="3">
        <f>[1]Price!B39</f>
        <v>38</v>
      </c>
      <c r="D40" s="4">
        <f>'[1]First-order Differencing'!D39</f>
        <v>0.40162972802962926</v>
      </c>
      <c r="E40" s="4">
        <f t="shared" si="0"/>
        <v>0.48638560563874478</v>
      </c>
      <c r="F40" s="4"/>
    </row>
    <row r="41" spans="2:6" x14ac:dyDescent="0.3">
      <c r="B41" s="2">
        <f>[1]Price!A40</f>
        <v>44174</v>
      </c>
      <c r="C41" s="3">
        <f>[1]Price!B40</f>
        <v>39</v>
      </c>
      <c r="D41" s="4">
        <f>'[1]First-order Differencing'!D40</f>
        <v>0.6770997705017745</v>
      </c>
      <c r="E41" s="4">
        <f t="shared" si="0"/>
        <v>0.40162972802962926</v>
      </c>
      <c r="F41" s="4"/>
    </row>
    <row r="42" spans="2:6" x14ac:dyDescent="0.3">
      <c r="B42" s="2">
        <f>[1]Price!A41</f>
        <v>44175</v>
      </c>
      <c r="C42" s="3">
        <f>[1]Price!B41</f>
        <v>40</v>
      </c>
      <c r="D42" s="4">
        <f>'[1]First-order Differencing'!D41</f>
        <v>-0.309193711407314</v>
      </c>
      <c r="E42" s="4">
        <f t="shared" si="0"/>
        <v>0.6770997705017745</v>
      </c>
      <c r="F42" s="4"/>
    </row>
    <row r="43" spans="2:6" x14ac:dyDescent="0.3">
      <c r="B43" s="2">
        <f>[1]Price!A42</f>
        <v>44176</v>
      </c>
      <c r="C43" s="3">
        <f>[1]Price!B42</f>
        <v>41</v>
      </c>
      <c r="D43" s="4">
        <f>'[1]First-order Differencing'!D42</f>
        <v>0.12373876025674591</v>
      </c>
      <c r="E43" s="4">
        <f t="shared" si="0"/>
        <v>-0.309193711407314</v>
      </c>
      <c r="F43" s="4"/>
    </row>
    <row r="44" spans="2:6" x14ac:dyDescent="0.3">
      <c r="B44" s="2">
        <f>[1]Price!A43</f>
        <v>44177</v>
      </c>
      <c r="C44" s="3">
        <f>[1]Price!B43</f>
        <v>42</v>
      </c>
      <c r="D44" s="4">
        <f>'[1]First-order Differencing'!D43</f>
        <v>1.0642444964910105</v>
      </c>
      <c r="E44" s="4">
        <f t="shared" si="0"/>
        <v>0.12373876025674591</v>
      </c>
      <c r="F44" s="4"/>
    </row>
    <row r="45" spans="2:6" x14ac:dyDescent="0.3">
      <c r="B45" s="2">
        <f>[1]Price!A44</f>
        <v>44178</v>
      </c>
      <c r="C45" s="3">
        <f>[1]Price!B44</f>
        <v>43</v>
      </c>
      <c r="D45" s="4">
        <f>'[1]First-order Differencing'!D44</f>
        <v>-0.13902751439282923</v>
      </c>
      <c r="E45" s="4">
        <f t="shared" si="0"/>
        <v>1.0642444964910105</v>
      </c>
      <c r="F45" s="4"/>
    </row>
    <row r="46" spans="2:6" x14ac:dyDescent="0.3">
      <c r="B46" s="2">
        <f>[1]Price!A45</f>
        <v>44179</v>
      </c>
      <c r="C46" s="3">
        <f>[1]Price!B45</f>
        <v>44</v>
      </c>
      <c r="D46" s="4">
        <f>'[1]First-order Differencing'!D45</f>
        <v>0.71800977392939025</v>
      </c>
      <c r="E46" s="4">
        <f t="shared" si="0"/>
        <v>-0.13902751439282923</v>
      </c>
      <c r="F46" s="4"/>
    </row>
    <row r="47" spans="2:6" x14ac:dyDescent="0.3">
      <c r="B47" s="2">
        <f>[1]Price!A46</f>
        <v>44180</v>
      </c>
      <c r="C47" s="3">
        <f>[1]Price!B46</f>
        <v>45</v>
      </c>
      <c r="D47" s="4">
        <f>'[1]First-order Differencing'!D46</f>
        <v>3.6110232503681061E-2</v>
      </c>
      <c r="E47" s="4">
        <f t="shared" si="0"/>
        <v>0.71800977392939025</v>
      </c>
      <c r="F47" s="4"/>
    </row>
    <row r="48" spans="2:6" x14ac:dyDescent="0.3">
      <c r="B48" s="2">
        <f>[1]Price!A47</f>
        <v>44181</v>
      </c>
      <c r="C48" s="3">
        <f>[1]Price!B47</f>
        <v>46</v>
      </c>
      <c r="D48" s="4">
        <f>'[1]First-order Differencing'!D47</f>
        <v>-0.18655713493525106</v>
      </c>
      <c r="E48" s="4">
        <f t="shared" si="0"/>
        <v>3.6110232503681061E-2</v>
      </c>
      <c r="F48" s="4"/>
    </row>
    <row r="49" spans="2:6" x14ac:dyDescent="0.3">
      <c r="B49" s="2">
        <f>[1]Price!A48</f>
        <v>44182</v>
      </c>
      <c r="C49" s="3">
        <f>[1]Price!B48</f>
        <v>47</v>
      </c>
      <c r="D49" s="4">
        <f>'[1]First-order Differencing'!D48</f>
        <v>0.32830157246543124</v>
      </c>
      <c r="E49" s="4">
        <f t="shared" si="0"/>
        <v>-0.18655713493525106</v>
      </c>
      <c r="F49" s="4"/>
    </row>
    <row r="50" spans="2:6" x14ac:dyDescent="0.3">
      <c r="B50" s="2">
        <f>[1]Price!A49</f>
        <v>44183</v>
      </c>
      <c r="C50" s="3">
        <f>[1]Price!B49</f>
        <v>48</v>
      </c>
      <c r="D50" s="4">
        <f>'[1]First-order Differencing'!D49</f>
        <v>0.3239875213612109</v>
      </c>
      <c r="E50" s="4">
        <f t="shared" si="0"/>
        <v>0.32830157246543124</v>
      </c>
      <c r="F50" s="4"/>
    </row>
    <row r="51" spans="2:6" x14ac:dyDescent="0.3">
      <c r="B51" s="2">
        <f>[1]Price!A50</f>
        <v>44184</v>
      </c>
      <c r="C51" s="3">
        <f>[1]Price!B50</f>
        <v>49</v>
      </c>
      <c r="D51" s="4">
        <f>'[1]First-order Differencing'!D50</f>
        <v>0.95903811316794574</v>
      </c>
      <c r="E51" s="4">
        <f t="shared" si="0"/>
        <v>0.3239875213612109</v>
      </c>
      <c r="F51" s="4"/>
    </row>
    <row r="52" spans="2:6" x14ac:dyDescent="0.3">
      <c r="B52" s="2">
        <f>[1]Price!A51</f>
        <v>44185</v>
      </c>
      <c r="C52" s="3">
        <f>[1]Price!B51</f>
        <v>50</v>
      </c>
      <c r="D52" s="4">
        <f>'[1]First-order Differencing'!D51</f>
        <v>0.15225100368632738</v>
      </c>
      <c r="E52" s="4">
        <f t="shared" si="0"/>
        <v>0.95903811316794574</v>
      </c>
      <c r="F52" s="4"/>
    </row>
    <row r="53" spans="2:6" x14ac:dyDescent="0.3">
      <c r="B53" s="2">
        <f>[1]Price!A52</f>
        <v>44186</v>
      </c>
      <c r="C53" s="3">
        <f>[1]Price!B52</f>
        <v>51</v>
      </c>
      <c r="D53" s="4">
        <f>'[1]First-order Differencing'!D52</f>
        <v>-7.3998285693738453E-2</v>
      </c>
      <c r="E53" s="4">
        <f t="shared" si="0"/>
        <v>0.15225100368632738</v>
      </c>
      <c r="F53" s="4"/>
    </row>
    <row r="54" spans="2:6" x14ac:dyDescent="0.3">
      <c r="B54" s="2">
        <f>[1]Price!A53</f>
        <v>44187</v>
      </c>
      <c r="C54" s="3">
        <f>[1]Price!B53</f>
        <v>52</v>
      </c>
      <c r="D54" s="4">
        <f>'[1]First-order Differencing'!D53</f>
        <v>-0.35368441874458334</v>
      </c>
      <c r="E54" s="4">
        <f t="shared" si="0"/>
        <v>-7.3998285693738453E-2</v>
      </c>
      <c r="F54" s="4"/>
    </row>
    <row r="55" spans="2:6" x14ac:dyDescent="0.3">
      <c r="B55" s="2">
        <f>[1]Price!A54</f>
        <v>44188</v>
      </c>
      <c r="C55" s="3">
        <f>[1]Price!B54</f>
        <v>53</v>
      </c>
      <c r="D55" s="4">
        <f>'[1]First-order Differencing'!D54</f>
        <v>7.4864224099968624E-4</v>
      </c>
      <c r="E55" s="4">
        <f t="shared" si="0"/>
        <v>-0.35368441874458334</v>
      </c>
      <c r="F55" s="4"/>
    </row>
    <row r="56" spans="2:6" x14ac:dyDescent="0.3">
      <c r="B56" s="2">
        <f>[1]Price!A55</f>
        <v>44189</v>
      </c>
      <c r="C56" s="3">
        <f>[1]Price!B55</f>
        <v>54</v>
      </c>
      <c r="D56" s="4">
        <f>'[1]First-order Differencing'!D55</f>
        <v>-0.31808127468403313</v>
      </c>
      <c r="E56" s="4">
        <f t="shared" si="0"/>
        <v>7.4864224099968624E-4</v>
      </c>
      <c r="F56" s="4"/>
    </row>
    <row r="57" spans="2:6" x14ac:dyDescent="0.3">
      <c r="B57" s="2">
        <f>[1]Price!A56</f>
        <v>44190</v>
      </c>
      <c r="C57" s="3">
        <f>[1]Price!B56</f>
        <v>55</v>
      </c>
      <c r="D57" s="4">
        <f>'[1]First-order Differencing'!D56</f>
        <v>0.37780158632570959</v>
      </c>
      <c r="E57" s="4">
        <f t="shared" si="0"/>
        <v>-0.31808127468403313</v>
      </c>
      <c r="F57" s="4"/>
    </row>
    <row r="58" spans="2:6" x14ac:dyDescent="0.3">
      <c r="B58" s="2">
        <f>[1]Price!A57</f>
        <v>44191</v>
      </c>
      <c r="C58" s="3">
        <f>[1]Price!B57</f>
        <v>56</v>
      </c>
      <c r="D58" s="4">
        <f>'[1]First-order Differencing'!D57</f>
        <v>1.4785328755190008E-2</v>
      </c>
      <c r="E58" s="4">
        <f t="shared" si="0"/>
        <v>0.37780158632570959</v>
      </c>
      <c r="F58" s="4"/>
    </row>
    <row r="59" spans="2:6" x14ac:dyDescent="0.3">
      <c r="B59" s="2">
        <f>[1]Price!A58</f>
        <v>44192</v>
      </c>
      <c r="C59" s="3">
        <f>[1]Price!B58</f>
        <v>57</v>
      </c>
      <c r="D59" s="4">
        <f>'[1]First-order Differencing'!D58</f>
        <v>-0.45647037573416327</v>
      </c>
      <c r="E59" s="4">
        <f t="shared" si="0"/>
        <v>1.4785328755190008E-2</v>
      </c>
      <c r="F59" s="4"/>
    </row>
    <row r="60" spans="2:6" x14ac:dyDescent="0.3">
      <c r="B60" s="2">
        <f>[1]Price!A59</f>
        <v>44193</v>
      </c>
      <c r="C60" s="3">
        <f>[1]Price!B59</f>
        <v>58</v>
      </c>
      <c r="D60" s="4">
        <f>'[1]First-order Differencing'!D59</f>
        <v>-0.2126995308789521</v>
      </c>
      <c r="E60" s="4">
        <f t="shared" si="0"/>
        <v>-0.45647037573416327</v>
      </c>
      <c r="F60" s="4"/>
    </row>
    <row r="61" spans="2:6" x14ac:dyDescent="0.3">
      <c r="B61" s="2">
        <f>[1]Price!A60</f>
        <v>44194</v>
      </c>
      <c r="C61" s="3">
        <f>[1]Price!B60</f>
        <v>59</v>
      </c>
      <c r="D61" s="4">
        <f>'[1]First-order Differencing'!D60</f>
        <v>-0.36452900841162972</v>
      </c>
      <c r="E61" s="4">
        <f t="shared" si="0"/>
        <v>-0.2126995308789521</v>
      </c>
      <c r="F61" s="4"/>
    </row>
    <row r="62" spans="2:6" x14ac:dyDescent="0.3">
      <c r="B62" s="2">
        <f>[1]Price!A61</f>
        <v>44195</v>
      </c>
      <c r="C62" s="3">
        <f>[1]Price!B61</f>
        <v>60</v>
      </c>
      <c r="D62" s="4">
        <f>'[1]First-order Differencing'!D61</f>
        <v>0.33527953007825495</v>
      </c>
      <c r="E62" s="4">
        <f t="shared" si="0"/>
        <v>-0.36452900841162972</v>
      </c>
      <c r="F62" s="4"/>
    </row>
    <row r="63" spans="2:6" x14ac:dyDescent="0.3">
      <c r="B63" s="2">
        <f>[1]Price!A62</f>
        <v>44196</v>
      </c>
      <c r="C63" s="3">
        <f>[1]Price!B62</f>
        <v>61</v>
      </c>
      <c r="D63" s="4">
        <f>'[1]First-order Differencing'!D62</f>
        <v>-5.3315751790348642E-2</v>
      </c>
      <c r="E63" s="4">
        <f t="shared" si="0"/>
        <v>0.33527953007825495</v>
      </c>
      <c r="F63" s="4"/>
    </row>
    <row r="64" spans="2:6" x14ac:dyDescent="0.3">
      <c r="B64" s="2">
        <f>[1]Price!A63</f>
        <v>44197</v>
      </c>
      <c r="C64" s="3">
        <f>[1]Price!B63</f>
        <v>62</v>
      </c>
      <c r="D64" s="4">
        <f>'[1]First-order Differencing'!D63</f>
        <v>-0.27465776925895646</v>
      </c>
      <c r="E64" s="4">
        <f t="shared" si="0"/>
        <v>-5.3315751790348642E-2</v>
      </c>
      <c r="F64" s="4"/>
    </row>
    <row r="65" spans="2:6" x14ac:dyDescent="0.3">
      <c r="B65" s="2">
        <f>[1]Price!A64</f>
        <v>44198</v>
      </c>
      <c r="C65" s="3">
        <f>[1]Price!B64</f>
        <v>63</v>
      </c>
      <c r="D65" s="4">
        <f>'[1]First-order Differencing'!D64</f>
        <v>0.34673637353924391</v>
      </c>
      <c r="E65" s="4">
        <f t="shared" si="0"/>
        <v>-0.27465776925895646</v>
      </c>
      <c r="F65" s="4"/>
    </row>
    <row r="66" spans="2:6" x14ac:dyDescent="0.3">
      <c r="B66" s="2">
        <f>[1]Price!A65</f>
        <v>44199</v>
      </c>
      <c r="C66" s="3">
        <f>[1]Price!B65</f>
        <v>64</v>
      </c>
      <c r="D66" s="4">
        <f>'[1]First-order Differencing'!D65</f>
        <v>-0.540516705405933</v>
      </c>
      <c r="E66" s="4">
        <f t="shared" si="0"/>
        <v>0.34673637353924391</v>
      </c>
      <c r="F66" s="4"/>
    </row>
    <row r="67" spans="2:6" x14ac:dyDescent="0.3">
      <c r="B67" s="2">
        <f>[1]Price!A66</f>
        <v>44200</v>
      </c>
      <c r="C67" s="3">
        <f>[1]Price!B66</f>
        <v>65</v>
      </c>
      <c r="D67" s="4">
        <f>'[1]First-order Differencing'!D66</f>
        <v>-0.46708280450602757</v>
      </c>
      <c r="E67" s="4">
        <f t="shared" si="0"/>
        <v>-0.540516705405933</v>
      </c>
      <c r="F67" s="4"/>
    </row>
    <row r="68" spans="2:6" x14ac:dyDescent="0.3">
      <c r="B68" s="2">
        <f>[1]Price!A67</f>
        <v>44201</v>
      </c>
      <c r="C68" s="3">
        <f>[1]Price!B67</f>
        <v>66</v>
      </c>
      <c r="D68" s="4">
        <f>'[1]First-order Differencing'!D67</f>
        <v>8.1843549352038636E-2</v>
      </c>
      <c r="E68" s="4">
        <f t="shared" si="0"/>
        <v>-0.46708280450602757</v>
      </c>
      <c r="F68" s="4"/>
    </row>
    <row r="69" spans="2:6" x14ac:dyDescent="0.3">
      <c r="B69" s="2">
        <f>[1]Price!A68</f>
        <v>44202</v>
      </c>
      <c r="C69" s="3">
        <f>[1]Price!B68</f>
        <v>67</v>
      </c>
      <c r="D69" s="4">
        <f>'[1]First-order Differencing'!D68</f>
        <v>0.2461738131670046</v>
      </c>
      <c r="E69" s="4">
        <f t="shared" si="0"/>
        <v>8.1843549352038636E-2</v>
      </c>
      <c r="F69" s="4"/>
    </row>
    <row r="70" spans="2:6" x14ac:dyDescent="0.3">
      <c r="B70" s="2">
        <f>[1]Price!A69</f>
        <v>44203</v>
      </c>
      <c r="C70" s="3">
        <f>[1]Price!B69</f>
        <v>68</v>
      </c>
      <c r="D70" s="4">
        <f>'[1]First-order Differencing'!D69</f>
        <v>-0.28341618917750644</v>
      </c>
      <c r="E70" s="4">
        <f t="shared" ref="E70:E119" si="1">D69</f>
        <v>0.2461738131670046</v>
      </c>
      <c r="F70" s="4"/>
    </row>
    <row r="71" spans="2:6" x14ac:dyDescent="0.3">
      <c r="B71" s="2">
        <f>[1]Price!A70</f>
        <v>44204</v>
      </c>
      <c r="C71" s="3">
        <f>[1]Price!B70</f>
        <v>69</v>
      </c>
      <c r="D71" s="4">
        <f>'[1]First-order Differencing'!D70</f>
        <v>8.1473597020076838E-2</v>
      </c>
      <c r="E71" s="4">
        <f t="shared" si="1"/>
        <v>-0.28341618917750644</v>
      </c>
      <c r="F71" s="4"/>
    </row>
    <row r="72" spans="2:6" x14ac:dyDescent="0.3">
      <c r="B72" s="2">
        <f>[1]Price!A71</f>
        <v>44205</v>
      </c>
      <c r="C72" s="3">
        <f>[1]Price!B71</f>
        <v>70</v>
      </c>
      <c r="D72" s="4">
        <f>'[1]First-order Differencing'!D71</f>
        <v>-0.71170318231635044</v>
      </c>
      <c r="E72" s="4">
        <f t="shared" si="1"/>
        <v>8.1473597020076838E-2</v>
      </c>
      <c r="F72" s="4"/>
    </row>
    <row r="73" spans="2:6" x14ac:dyDescent="0.3">
      <c r="B73" s="2">
        <f>[1]Price!A72</f>
        <v>44206</v>
      </c>
      <c r="C73" s="3">
        <f>[1]Price!B72</f>
        <v>71</v>
      </c>
      <c r="D73" s="4">
        <f>'[1]First-order Differencing'!D72</f>
        <v>1.0408846115818307</v>
      </c>
      <c r="E73" s="4">
        <f t="shared" si="1"/>
        <v>-0.71170318231635044</v>
      </c>
      <c r="F73" s="4"/>
    </row>
    <row r="74" spans="2:6" x14ac:dyDescent="0.3">
      <c r="B74" s="2">
        <f>[1]Price!A73</f>
        <v>44207</v>
      </c>
      <c r="C74" s="3">
        <f>[1]Price!B73</f>
        <v>72</v>
      </c>
      <c r="D74" s="4">
        <f>'[1]First-order Differencing'!D73</f>
        <v>0.31761254837044106</v>
      </c>
      <c r="E74" s="4">
        <f t="shared" si="1"/>
        <v>1.0408846115818307</v>
      </c>
      <c r="F74" s="4"/>
    </row>
    <row r="75" spans="2:6" x14ac:dyDescent="0.3">
      <c r="B75" s="2">
        <f>[1]Price!A74</f>
        <v>44208</v>
      </c>
      <c r="C75" s="3">
        <f>[1]Price!B74</f>
        <v>73</v>
      </c>
      <c r="D75" s="4">
        <f>'[1]First-order Differencing'!D74</f>
        <v>0.3259506338411029</v>
      </c>
      <c r="E75" s="4">
        <f t="shared" si="1"/>
        <v>0.31761254837044106</v>
      </c>
      <c r="F75" s="4"/>
    </row>
    <row r="76" spans="2:6" x14ac:dyDescent="0.3">
      <c r="B76" s="2">
        <f>[1]Price!A75</f>
        <v>44209</v>
      </c>
      <c r="C76" s="3">
        <f>[1]Price!B75</f>
        <v>74</v>
      </c>
      <c r="D76" s="4">
        <f>'[1]First-order Differencing'!D75</f>
        <v>-0.32711377604224978</v>
      </c>
      <c r="E76" s="4">
        <f t="shared" si="1"/>
        <v>0.3259506338411029</v>
      </c>
      <c r="F76" s="4"/>
    </row>
    <row r="77" spans="2:6" x14ac:dyDescent="0.3">
      <c r="B77" s="2">
        <f>[1]Price!A76</f>
        <v>44210</v>
      </c>
      <c r="C77" s="3">
        <f>[1]Price!B76</f>
        <v>75</v>
      </c>
      <c r="D77" s="4">
        <f>'[1]First-order Differencing'!D76</f>
        <v>0.99267769006937279</v>
      </c>
      <c r="E77" s="4">
        <f t="shared" si="1"/>
        <v>-0.32711377604224978</v>
      </c>
      <c r="F77" s="4"/>
    </row>
    <row r="78" spans="2:6" x14ac:dyDescent="0.3">
      <c r="B78" s="2">
        <f>[1]Price!A77</f>
        <v>44211</v>
      </c>
      <c r="C78" s="3">
        <f>[1]Price!B77</f>
        <v>76</v>
      </c>
      <c r="D78" s="4">
        <f>'[1]First-order Differencing'!D77</f>
        <v>-0.64015481095312587</v>
      </c>
      <c r="E78" s="4">
        <f t="shared" si="1"/>
        <v>0.99267769006937279</v>
      </c>
      <c r="F78" s="4"/>
    </row>
    <row r="79" spans="2:6" x14ac:dyDescent="0.3">
      <c r="B79" s="2">
        <f>[1]Price!A78</f>
        <v>44212</v>
      </c>
      <c r="C79" s="3">
        <f>[1]Price!B78</f>
        <v>77</v>
      </c>
      <c r="D79" s="4">
        <f>'[1]First-order Differencing'!D78</f>
        <v>0.93495307145706086</v>
      </c>
      <c r="E79" s="4">
        <f t="shared" si="1"/>
        <v>-0.64015481095312587</v>
      </c>
      <c r="F79" s="4"/>
    </row>
    <row r="80" spans="2:6" x14ac:dyDescent="0.3">
      <c r="B80" s="2">
        <f>[1]Price!A79</f>
        <v>44213</v>
      </c>
      <c r="C80" s="3">
        <f>[1]Price!B79</f>
        <v>78</v>
      </c>
      <c r="D80" s="4">
        <f>'[1]First-order Differencing'!D79</f>
        <v>0.32951202245308409</v>
      </c>
      <c r="E80" s="4">
        <f t="shared" si="1"/>
        <v>0.93495307145706086</v>
      </c>
      <c r="F80" s="4"/>
    </row>
    <row r="81" spans="2:6" x14ac:dyDescent="0.3">
      <c r="B81" s="2">
        <f>[1]Price!A80</f>
        <v>44214</v>
      </c>
      <c r="C81" s="3">
        <f>[1]Price!B80</f>
        <v>79</v>
      </c>
      <c r="D81" s="4">
        <f>'[1]First-order Differencing'!D80</f>
        <v>7.5632540778846291E-2</v>
      </c>
      <c r="E81" s="4">
        <f t="shared" si="1"/>
        <v>0.32951202245308409</v>
      </c>
      <c r="F81" s="4"/>
    </row>
    <row r="82" spans="2:6" x14ac:dyDescent="0.3">
      <c r="B82" s="2">
        <f>[1]Price!A81</f>
        <v>44215</v>
      </c>
      <c r="C82" s="3">
        <f>[1]Price!B81</f>
        <v>80</v>
      </c>
      <c r="D82" s="4">
        <f>'[1]First-order Differencing'!D81</f>
        <v>0.82448147249007953</v>
      </c>
      <c r="E82" s="4">
        <f t="shared" si="1"/>
        <v>7.5632540778846291E-2</v>
      </c>
      <c r="F82" s="4"/>
    </row>
    <row r="83" spans="2:6" x14ac:dyDescent="0.3">
      <c r="B83" s="2">
        <f>[1]Price!A82</f>
        <v>44216</v>
      </c>
      <c r="C83" s="3">
        <f>[1]Price!B82</f>
        <v>81</v>
      </c>
      <c r="D83" s="4">
        <f>'[1]First-order Differencing'!D82</f>
        <v>-0.58398090533808933</v>
      </c>
      <c r="E83" s="4">
        <f t="shared" si="1"/>
        <v>0.82448147249007953</v>
      </c>
      <c r="F83" s="4"/>
    </row>
    <row r="84" spans="2:6" x14ac:dyDescent="0.3">
      <c r="B84" s="2">
        <f>[1]Price!A83</f>
        <v>44217</v>
      </c>
      <c r="C84" s="3">
        <f>[1]Price!B83</f>
        <v>82</v>
      </c>
      <c r="D84" s="4">
        <f>'[1]First-order Differencing'!D83</f>
        <v>0.68092251798175063</v>
      </c>
      <c r="E84" s="4">
        <f t="shared" si="1"/>
        <v>-0.58398090533808933</v>
      </c>
      <c r="F84" s="4"/>
    </row>
    <row r="85" spans="2:6" x14ac:dyDescent="0.3">
      <c r="B85" s="2">
        <f>[1]Price!A84</f>
        <v>44218</v>
      </c>
      <c r="C85" s="3">
        <f>[1]Price!B84</f>
        <v>83</v>
      </c>
      <c r="D85" s="4">
        <f>'[1]First-order Differencing'!D84</f>
        <v>0.82397502699541469</v>
      </c>
      <c r="E85" s="4">
        <f t="shared" si="1"/>
        <v>0.68092251798175063</v>
      </c>
      <c r="F85" s="4"/>
    </row>
    <row r="86" spans="2:6" x14ac:dyDescent="0.3">
      <c r="B86" s="2">
        <f>[1]Price!A85</f>
        <v>44219</v>
      </c>
      <c r="C86" s="3">
        <f>[1]Price!B85</f>
        <v>84</v>
      </c>
      <c r="D86" s="4">
        <f>'[1]First-order Differencing'!D85</f>
        <v>-0.14105760717368199</v>
      </c>
      <c r="E86" s="4">
        <f t="shared" si="1"/>
        <v>0.82397502699541469</v>
      </c>
      <c r="F86" s="4"/>
    </row>
    <row r="87" spans="2:6" x14ac:dyDescent="0.3">
      <c r="B87" s="2">
        <f>[1]Price!A86</f>
        <v>44220</v>
      </c>
      <c r="C87" s="3">
        <f>[1]Price!B86</f>
        <v>85</v>
      </c>
      <c r="D87" s="4">
        <f>'[1]First-order Differencing'!D86</f>
        <v>-0.12942933154030456</v>
      </c>
      <c r="E87" s="4">
        <f t="shared" si="1"/>
        <v>-0.14105760717368199</v>
      </c>
      <c r="F87" s="4"/>
    </row>
    <row r="88" spans="2:6" x14ac:dyDescent="0.3">
      <c r="B88" s="2">
        <f>[1]Price!A87</f>
        <v>44221</v>
      </c>
      <c r="C88" s="3">
        <f>[1]Price!B87</f>
        <v>86</v>
      </c>
      <c r="D88" s="4">
        <f>'[1]First-order Differencing'!D87</f>
        <v>0.53949868650608224</v>
      </c>
      <c r="E88" s="4">
        <f t="shared" si="1"/>
        <v>-0.12942933154030456</v>
      </c>
      <c r="F88" s="4"/>
    </row>
    <row r="89" spans="2:6" x14ac:dyDescent="0.3">
      <c r="B89" s="2">
        <f>[1]Price!A88</f>
        <v>44222</v>
      </c>
      <c r="C89" s="3">
        <f>[1]Price!B88</f>
        <v>87</v>
      </c>
      <c r="D89" s="4">
        <f>'[1]First-order Differencing'!D88</f>
        <v>0.10999231066210591</v>
      </c>
      <c r="E89" s="4">
        <f t="shared" si="1"/>
        <v>0.53949868650608224</v>
      </c>
      <c r="F89" s="4"/>
    </row>
    <row r="90" spans="2:6" x14ac:dyDescent="0.3">
      <c r="B90" s="2">
        <f>[1]Price!A89</f>
        <v>44223</v>
      </c>
      <c r="C90" s="3">
        <f>[1]Price!B89</f>
        <v>88</v>
      </c>
      <c r="D90" s="4">
        <f>'[1]First-order Differencing'!D89</f>
        <v>0.43820651987187276</v>
      </c>
      <c r="E90" s="4">
        <f t="shared" si="1"/>
        <v>0.10999231066210591</v>
      </c>
      <c r="F90" s="4"/>
    </row>
    <row r="91" spans="2:6" x14ac:dyDescent="0.3">
      <c r="B91" s="2">
        <f>[1]Price!A90</f>
        <v>44224</v>
      </c>
      <c r="C91" s="3">
        <f>[1]Price!B90</f>
        <v>89</v>
      </c>
      <c r="D91" s="4">
        <f>'[1]First-order Differencing'!D90</f>
        <v>0.11064023713021776</v>
      </c>
      <c r="E91" s="4">
        <f t="shared" si="1"/>
        <v>0.43820651987187276</v>
      </c>
      <c r="F91" s="4"/>
    </row>
    <row r="92" spans="2:6" x14ac:dyDescent="0.3">
      <c r="B92" s="2">
        <f>[1]Price!A91</f>
        <v>44225</v>
      </c>
      <c r="C92" s="3">
        <f>[1]Price!B91</f>
        <v>90</v>
      </c>
      <c r="D92" s="4">
        <f>'[1]First-order Differencing'!D91</f>
        <v>0.74520807361116681</v>
      </c>
      <c r="E92" s="4">
        <f t="shared" si="1"/>
        <v>0.11064023713021776</v>
      </c>
      <c r="F92" s="4"/>
    </row>
    <row r="93" spans="2:6" x14ac:dyDescent="0.3">
      <c r="B93" s="2">
        <f>[1]Price!A92</f>
        <v>44226</v>
      </c>
      <c r="C93" s="3">
        <f>[1]Price!B92</f>
        <v>91</v>
      </c>
      <c r="D93" s="4">
        <f>'[1]First-order Differencing'!D92</f>
        <v>-0.62632632298330115</v>
      </c>
      <c r="E93" s="4">
        <f t="shared" si="1"/>
        <v>0.74520807361116681</v>
      </c>
      <c r="F93" s="4"/>
    </row>
    <row r="94" spans="2:6" x14ac:dyDescent="0.3">
      <c r="B94" s="2">
        <f>[1]Price!A93</f>
        <v>44227</v>
      </c>
      <c r="C94" s="3">
        <f>[1]Price!B93</f>
        <v>92</v>
      </c>
      <c r="D94" s="4">
        <f>'[1]First-order Differencing'!D93</f>
        <v>0.83038886999555395</v>
      </c>
      <c r="E94" s="4">
        <f t="shared" si="1"/>
        <v>-0.62632632298330115</v>
      </c>
      <c r="F94" s="4"/>
    </row>
    <row r="95" spans="2:6" x14ac:dyDescent="0.3">
      <c r="B95" s="2">
        <f>[1]Price!A94</f>
        <v>44228</v>
      </c>
      <c r="C95" s="3">
        <f>[1]Price!B94</f>
        <v>93</v>
      </c>
      <c r="D95" s="4">
        <f>'[1]First-order Differencing'!D94</f>
        <v>-0.22198285544604701</v>
      </c>
      <c r="E95" s="4">
        <f t="shared" si="1"/>
        <v>0.83038886999555395</v>
      </c>
      <c r="F95" s="4"/>
    </row>
    <row r="96" spans="2:6" x14ac:dyDescent="0.3">
      <c r="B96" s="2">
        <f>[1]Price!A95</f>
        <v>44229</v>
      </c>
      <c r="C96" s="3">
        <f>[1]Price!B95</f>
        <v>94</v>
      </c>
      <c r="D96" s="4">
        <f>'[1]First-order Differencing'!D95</f>
        <v>-0.31602818029938007</v>
      </c>
      <c r="E96" s="4">
        <f t="shared" si="1"/>
        <v>-0.22198285544604701</v>
      </c>
      <c r="F96" s="4"/>
    </row>
    <row r="97" spans="2:6" x14ac:dyDescent="0.3">
      <c r="B97" s="2">
        <f>[1]Price!A96</f>
        <v>44230</v>
      </c>
      <c r="C97" s="3">
        <f>[1]Price!B96</f>
        <v>95</v>
      </c>
      <c r="D97" s="4">
        <f>'[1]First-order Differencing'!D96</f>
        <v>0.18039296786006886</v>
      </c>
      <c r="E97" s="4">
        <f t="shared" si="1"/>
        <v>-0.31602818029938007</v>
      </c>
      <c r="F97" s="4"/>
    </row>
    <row r="98" spans="2:6" x14ac:dyDescent="0.3">
      <c r="B98" s="2">
        <f>[1]Price!A97</f>
        <v>44231</v>
      </c>
      <c r="C98" s="3">
        <f>[1]Price!B97</f>
        <v>96</v>
      </c>
      <c r="D98" s="4">
        <f>'[1]First-order Differencing'!D97</f>
        <v>-0.81611085755428192</v>
      </c>
      <c r="E98" s="4">
        <f t="shared" si="1"/>
        <v>0.18039296786006886</v>
      </c>
      <c r="F98" s="4"/>
    </row>
    <row r="99" spans="2:6" x14ac:dyDescent="0.3">
      <c r="B99" s="2">
        <f>[1]Price!A98</f>
        <v>44232</v>
      </c>
      <c r="C99" s="3">
        <f>[1]Price!B98</f>
        <v>97</v>
      </c>
      <c r="D99" s="4">
        <f>'[1]First-order Differencing'!D98</f>
        <v>-0.13294471117958295</v>
      </c>
      <c r="E99" s="4">
        <f t="shared" si="1"/>
        <v>-0.81611085755428192</v>
      </c>
      <c r="F99" s="4"/>
    </row>
    <row r="100" spans="2:6" x14ac:dyDescent="0.3">
      <c r="B100" s="2">
        <f>[1]Price!A99</f>
        <v>44233</v>
      </c>
      <c r="C100" s="3">
        <f>[1]Price!B99</f>
        <v>98</v>
      </c>
      <c r="D100" s="4">
        <f>'[1]First-order Differencing'!D99</f>
        <v>0.70388032272997592</v>
      </c>
      <c r="E100" s="4">
        <f t="shared" si="1"/>
        <v>-0.13294471117958295</v>
      </c>
      <c r="F100" s="4"/>
    </row>
    <row r="101" spans="2:6" x14ac:dyDescent="0.3">
      <c r="B101" s="2">
        <f>[1]Price!A100</f>
        <v>44234</v>
      </c>
      <c r="C101" s="3">
        <f>[1]Price!B100</f>
        <v>99</v>
      </c>
      <c r="D101" s="4">
        <f>'[1]First-order Differencing'!D100</f>
        <v>-0.25282760871789378</v>
      </c>
      <c r="E101" s="4">
        <f t="shared" si="1"/>
        <v>0.70388032272997592</v>
      </c>
      <c r="F101" s="4"/>
    </row>
    <row r="102" spans="2:6" x14ac:dyDescent="0.3">
      <c r="B102" s="2">
        <f>[1]Price!A101</f>
        <v>44235</v>
      </c>
      <c r="C102" s="3">
        <f>[1]Price!B101</f>
        <v>100</v>
      </c>
      <c r="D102" s="4">
        <f>'[1]First-order Differencing'!D101</f>
        <v>-0.5660067246887035</v>
      </c>
      <c r="E102" s="4">
        <f t="shared" si="1"/>
        <v>-0.25282760871789378</v>
      </c>
      <c r="F102" s="4"/>
    </row>
    <row r="103" spans="2:6" x14ac:dyDescent="0.3">
      <c r="B103" s="2">
        <f>[1]Price!A102</f>
        <v>44236</v>
      </c>
      <c r="C103" s="3">
        <f>[1]Price!B102</f>
        <v>101</v>
      </c>
      <c r="D103" s="4">
        <f>'[1]First-order Differencing'!D102</f>
        <v>5.6151090611850307E-2</v>
      </c>
      <c r="E103" s="4">
        <f t="shared" si="1"/>
        <v>-0.5660067246887035</v>
      </c>
      <c r="F103" s="4"/>
    </row>
    <row r="104" spans="2:6" x14ac:dyDescent="0.3">
      <c r="B104" s="2">
        <f>[1]Price!A103</f>
        <v>44237</v>
      </c>
      <c r="C104" s="3">
        <f>[1]Price!B103</f>
        <v>102</v>
      </c>
      <c r="D104" s="4">
        <f>'[1]First-order Differencing'!D103</f>
        <v>0.12297025079746859</v>
      </c>
      <c r="E104" s="4">
        <f t="shared" si="1"/>
        <v>5.6151090611850307E-2</v>
      </c>
      <c r="F104" s="4"/>
    </row>
    <row r="105" spans="2:6" x14ac:dyDescent="0.3">
      <c r="B105" s="2">
        <f>[1]Price!A104</f>
        <v>44238</v>
      </c>
      <c r="C105" s="3">
        <f>[1]Price!B104</f>
        <v>103</v>
      </c>
      <c r="D105" s="4">
        <f>'[1]First-order Differencing'!D104</f>
        <v>-0.10761320953306885</v>
      </c>
      <c r="E105" s="4">
        <f t="shared" si="1"/>
        <v>0.12297025079746859</v>
      </c>
      <c r="F105" s="4"/>
    </row>
    <row r="106" spans="2:6" x14ac:dyDescent="0.3">
      <c r="B106" s="2">
        <f>[1]Price!A105</f>
        <v>44239</v>
      </c>
      <c r="C106" s="3">
        <f>[1]Price!B105</f>
        <v>104</v>
      </c>
      <c r="D106" s="4">
        <f>'[1]First-order Differencing'!D105</f>
        <v>9.200207551288031E-2</v>
      </c>
      <c r="E106" s="4">
        <f t="shared" si="1"/>
        <v>-0.10761320953306885</v>
      </c>
      <c r="F106" s="4"/>
    </row>
    <row r="107" spans="2:6" x14ac:dyDescent="0.3">
      <c r="B107" s="2">
        <f>[1]Price!A106</f>
        <v>44240</v>
      </c>
      <c r="C107" s="3">
        <f>[1]Price!B106</f>
        <v>105</v>
      </c>
      <c r="D107" s="4">
        <f>'[1]First-order Differencing'!D106</f>
        <v>-0.72298273159469595</v>
      </c>
      <c r="E107" s="4">
        <f t="shared" si="1"/>
        <v>9.200207551288031E-2</v>
      </c>
      <c r="F107" s="4"/>
    </row>
    <row r="108" spans="2:6" x14ac:dyDescent="0.3">
      <c r="B108" s="2">
        <f>[1]Price!A107</f>
        <v>44241</v>
      </c>
      <c r="C108" s="3">
        <f>[1]Price!B107</f>
        <v>106</v>
      </c>
      <c r="D108" s="4">
        <f>'[1]First-order Differencing'!D107</f>
        <v>-3.7672839760405807E-2</v>
      </c>
      <c r="E108" s="4">
        <f t="shared" si="1"/>
        <v>-0.72298273159469595</v>
      </c>
      <c r="F108" s="4"/>
    </row>
    <row r="109" spans="2:6" x14ac:dyDescent="0.3">
      <c r="B109" s="2">
        <f>[1]Price!A108</f>
        <v>44242</v>
      </c>
      <c r="C109" s="3">
        <f>[1]Price!B108</f>
        <v>107</v>
      </c>
      <c r="D109" s="4">
        <f>'[1]First-order Differencing'!D108</f>
        <v>0.1818466190721395</v>
      </c>
      <c r="E109" s="4">
        <f t="shared" si="1"/>
        <v>-3.7672839760405807E-2</v>
      </c>
      <c r="F109" s="4"/>
    </row>
    <row r="110" spans="2:6" x14ac:dyDescent="0.3">
      <c r="B110" s="2">
        <f>[1]Price!A109</f>
        <v>44243</v>
      </c>
      <c r="C110" s="3">
        <f>[1]Price!B109</f>
        <v>108</v>
      </c>
      <c r="D110" s="4">
        <f>'[1]First-order Differencing'!D109</f>
        <v>3.3741298233643136E-2</v>
      </c>
      <c r="E110" s="4">
        <f t="shared" si="1"/>
        <v>0.1818466190721395</v>
      </c>
      <c r="F110" s="4"/>
    </row>
    <row r="111" spans="2:6" x14ac:dyDescent="0.3">
      <c r="B111" s="2">
        <f>[1]Price!A110</f>
        <v>44244</v>
      </c>
      <c r="C111" s="3">
        <f>[1]Price!B110</f>
        <v>109</v>
      </c>
      <c r="D111" s="4">
        <f>'[1]First-order Differencing'!D110</f>
        <v>-0.74967145126901436</v>
      </c>
      <c r="E111" s="4">
        <f t="shared" si="1"/>
        <v>3.3741298233643136E-2</v>
      </c>
      <c r="F111" s="4"/>
    </row>
    <row r="112" spans="2:6" x14ac:dyDescent="0.3">
      <c r="B112" s="2">
        <f>[1]Price!A111</f>
        <v>44245</v>
      </c>
      <c r="C112" s="3">
        <f>[1]Price!B111</f>
        <v>110</v>
      </c>
      <c r="D112" s="4">
        <f>'[1]First-order Differencing'!D111</f>
        <v>0.51697952430277638</v>
      </c>
      <c r="E112" s="4">
        <f t="shared" si="1"/>
        <v>-0.74967145126901436</v>
      </c>
      <c r="F112" s="4"/>
    </row>
    <row r="113" spans="2:6" x14ac:dyDescent="0.3">
      <c r="B113" s="2">
        <f>[1]Price!A112</f>
        <v>44246</v>
      </c>
      <c r="C113" s="3">
        <f>[1]Price!B112</f>
        <v>111</v>
      </c>
      <c r="D113" s="4">
        <f>'[1]First-order Differencing'!D112</f>
        <v>-8.5621663882063714E-2</v>
      </c>
      <c r="E113" s="4">
        <f t="shared" si="1"/>
        <v>0.51697952430277638</v>
      </c>
      <c r="F113" s="4"/>
    </row>
    <row r="114" spans="2:6" x14ac:dyDescent="0.3">
      <c r="B114" s="2">
        <f>[1]Price!A113</f>
        <v>44247</v>
      </c>
      <c r="C114" s="3">
        <f>[1]Price!B113</f>
        <v>112</v>
      </c>
      <c r="D114" s="4">
        <f>'[1]First-order Differencing'!D113</f>
        <v>0.86477444088679434</v>
      </c>
      <c r="E114" s="4">
        <f t="shared" si="1"/>
        <v>-8.5621663882063714E-2</v>
      </c>
      <c r="F114" s="4"/>
    </row>
    <row r="115" spans="2:6" x14ac:dyDescent="0.3">
      <c r="B115" s="2">
        <f>[1]Price!A114</f>
        <v>44248</v>
      </c>
      <c r="C115" s="3">
        <f>[1]Price!B114</f>
        <v>113</v>
      </c>
      <c r="D115" s="4">
        <f>'[1]First-order Differencing'!D114</f>
        <v>-0.23258778773368149</v>
      </c>
      <c r="E115" s="4">
        <f t="shared" si="1"/>
        <v>0.86477444088679434</v>
      </c>
      <c r="F115" s="4"/>
    </row>
    <row r="116" spans="2:6" x14ac:dyDescent="0.3">
      <c r="B116" s="2">
        <f>[1]Price!A115</f>
        <v>44249</v>
      </c>
      <c r="C116" s="3">
        <f>[1]Price!B115</f>
        <v>114</v>
      </c>
      <c r="D116" s="4">
        <f>'[1]First-order Differencing'!D115</f>
        <v>0.66885774146940946</v>
      </c>
      <c r="E116" s="4">
        <f t="shared" si="1"/>
        <v>-0.23258778773368149</v>
      </c>
      <c r="F116" s="4"/>
    </row>
    <row r="117" spans="2:6" x14ac:dyDescent="0.3">
      <c r="B117" s="2">
        <f>[1]Price!A116</f>
        <v>44250</v>
      </c>
      <c r="C117" s="3">
        <f>[1]Price!B116</f>
        <v>115</v>
      </c>
      <c r="D117" s="4">
        <f>'[1]First-order Differencing'!D116</f>
        <v>0.24665856096377503</v>
      </c>
      <c r="E117" s="4">
        <f t="shared" si="1"/>
        <v>0.66885774146940946</v>
      </c>
      <c r="F117" s="4"/>
    </row>
    <row r="118" spans="2:6" x14ac:dyDescent="0.3">
      <c r="B118" s="2">
        <f>[1]Price!A117</f>
        <v>44251</v>
      </c>
      <c r="C118" s="3">
        <f>[1]Price!B117</f>
        <v>116</v>
      </c>
      <c r="D118" s="4">
        <f>'[1]First-order Differencing'!D117</f>
        <v>0.38670137614567679</v>
      </c>
      <c r="E118" s="4">
        <f t="shared" si="1"/>
        <v>0.24665856096377503</v>
      </c>
      <c r="F118" s="4"/>
    </row>
    <row r="119" spans="2:6" x14ac:dyDescent="0.3">
      <c r="B119" s="2">
        <f>[1]Price!A118</f>
        <v>44252</v>
      </c>
      <c r="C119" s="3">
        <f>[1]Price!B118</f>
        <v>117</v>
      </c>
      <c r="D119" s="4">
        <f>'[1]First-order Differencing'!D118</f>
        <v>-0.21081488872535559</v>
      </c>
      <c r="E119" s="4">
        <f t="shared" si="1"/>
        <v>0.38670137614567679</v>
      </c>
      <c r="F11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M4" sqref="M4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9" width="12.6640625" bestFit="1" customWidth="1"/>
  </cols>
  <sheetData>
    <row r="1" spans="1:9" x14ac:dyDescent="0.3">
      <c r="A1" t="s">
        <v>6</v>
      </c>
    </row>
    <row r="2" spans="1:9" ht="15" thickBot="1" x14ac:dyDescent="0.35"/>
    <row r="3" spans="1:9" x14ac:dyDescent="0.3">
      <c r="A3" s="13" t="s">
        <v>7</v>
      </c>
      <c r="B3" s="13"/>
    </row>
    <row r="4" spans="1:9" x14ac:dyDescent="0.3">
      <c r="A4" s="10" t="s">
        <v>8</v>
      </c>
      <c r="B4" s="10">
        <v>0.24200280942080976</v>
      </c>
    </row>
    <row r="5" spans="1:9" x14ac:dyDescent="0.3">
      <c r="A5" s="10" t="s">
        <v>9</v>
      </c>
      <c r="B5" s="10">
        <v>5.8565359767564766E-2</v>
      </c>
    </row>
    <row r="6" spans="1:9" x14ac:dyDescent="0.3">
      <c r="A6" s="10" t="s">
        <v>10</v>
      </c>
      <c r="B6" s="10">
        <v>5.0234079765507818E-2</v>
      </c>
    </row>
    <row r="7" spans="1:9" x14ac:dyDescent="0.3">
      <c r="A7" s="10" t="s">
        <v>11</v>
      </c>
      <c r="B7" s="10">
        <v>0.44187610752307305</v>
      </c>
    </row>
    <row r="8" spans="1:9" ht="15" thickBot="1" x14ac:dyDescent="0.35">
      <c r="A8" s="11" t="s">
        <v>12</v>
      </c>
      <c r="B8" s="11">
        <v>115</v>
      </c>
    </row>
    <row r="10" spans="1:9" ht="15" thickBot="1" x14ac:dyDescent="0.35">
      <c r="A10" t="s">
        <v>13</v>
      </c>
    </row>
    <row r="11" spans="1:9" x14ac:dyDescent="0.3">
      <c r="A11" s="12"/>
      <c r="B11" s="12" t="s">
        <v>17</v>
      </c>
      <c r="C11" s="12" t="s">
        <v>18</v>
      </c>
      <c r="D11" s="12" t="s">
        <v>19</v>
      </c>
      <c r="E11" s="12" t="s">
        <v>20</v>
      </c>
      <c r="F11" s="12" t="s">
        <v>21</v>
      </c>
    </row>
    <row r="12" spans="1:9" x14ac:dyDescent="0.3">
      <c r="A12" s="10" t="s">
        <v>14</v>
      </c>
      <c r="B12" s="10">
        <v>1</v>
      </c>
      <c r="C12" s="10">
        <v>1.3725561627903033</v>
      </c>
      <c r="D12" s="10">
        <v>1.3725561627903033</v>
      </c>
      <c r="E12" s="10">
        <v>7.0295752577161368</v>
      </c>
      <c r="F12" s="10">
        <v>9.1688723195412387E-3</v>
      </c>
    </row>
    <row r="13" spans="1:9" x14ac:dyDescent="0.3">
      <c r="A13" s="10" t="s">
        <v>15</v>
      </c>
      <c r="B13" s="10">
        <v>113</v>
      </c>
      <c r="C13" s="10">
        <v>22.063757867170896</v>
      </c>
      <c r="D13" s="10">
        <v>0.19525449439974243</v>
      </c>
      <c r="E13" s="10"/>
      <c r="F13" s="10"/>
    </row>
    <row r="14" spans="1:9" ht="15" thickBot="1" x14ac:dyDescent="0.35">
      <c r="A14" s="11" t="s">
        <v>16</v>
      </c>
      <c r="B14" s="11">
        <v>114</v>
      </c>
      <c r="C14" s="11">
        <v>23.436314029961199</v>
      </c>
      <c r="D14" s="11"/>
      <c r="E14" s="11"/>
      <c r="F14" s="11"/>
    </row>
    <row r="15" spans="1:9" ht="15" thickBot="1" x14ac:dyDescent="0.35"/>
    <row r="16" spans="1:9" x14ac:dyDescent="0.3">
      <c r="A16" s="12"/>
      <c r="B16" s="12" t="s">
        <v>22</v>
      </c>
      <c r="C16" s="12" t="s">
        <v>11</v>
      </c>
      <c r="D16" s="12" t="s">
        <v>23</v>
      </c>
      <c r="E16" s="12" t="s">
        <v>24</v>
      </c>
      <c r="F16" s="12" t="s">
        <v>25</v>
      </c>
      <c r="G16" s="12" t="s">
        <v>26</v>
      </c>
      <c r="H16" s="12" t="s">
        <v>27</v>
      </c>
      <c r="I16" s="12" t="s">
        <v>28</v>
      </c>
    </row>
    <row r="17" spans="1:9" x14ac:dyDescent="0.3">
      <c r="A17" s="10" t="s">
        <v>5</v>
      </c>
      <c r="B17" s="10">
        <v>0.10880009436190036</v>
      </c>
      <c r="C17" s="10">
        <v>4.2050692017829405E-2</v>
      </c>
      <c r="D17" s="10">
        <v>2.5873556210625344</v>
      </c>
      <c r="E17" s="10">
        <v>1.094000645042161E-2</v>
      </c>
      <c r="F17" s="10">
        <v>2.5490089236381824E-2</v>
      </c>
      <c r="G17" s="10">
        <v>0.19211009948741889</v>
      </c>
      <c r="H17" s="10">
        <v>2.5490089236381824E-2</v>
      </c>
      <c r="I17" s="10">
        <v>0.19211009948741889</v>
      </c>
    </row>
    <row r="18" spans="1:9" ht="15" thickBot="1" x14ac:dyDescent="0.35">
      <c r="A18" s="11" t="s">
        <v>29</v>
      </c>
      <c r="B18" s="11">
        <v>-0.2419394929353075</v>
      </c>
      <c r="C18" s="11">
        <v>9.125196467984617E-2</v>
      </c>
      <c r="D18" s="11">
        <v>-2.6513346182095083</v>
      </c>
      <c r="E18" s="11">
        <v>9.1688723195411069E-3</v>
      </c>
      <c r="F18" s="11">
        <v>-0.4227260931170192</v>
      </c>
      <c r="G18" s="11">
        <v>-6.1152892753595811E-2</v>
      </c>
      <c r="H18" s="11">
        <v>-0.4227260931170192</v>
      </c>
      <c r="I18" s="11">
        <v>-6.1152892753595811E-2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88"/>
  <sheetViews>
    <sheetView workbookViewId="0">
      <selection activeCell="B1" sqref="B1:B1048576"/>
    </sheetView>
  </sheetViews>
  <sheetFormatPr defaultRowHeight="14.4" x14ac:dyDescent="0.3"/>
  <cols>
    <col min="1" max="1" width="3" customWidth="1"/>
    <col min="2" max="2" width="10.109375" style="15" bestFit="1" customWidth="1"/>
    <col min="4" max="4" width="12.6640625" bestFit="1" customWidth="1"/>
  </cols>
  <sheetData>
    <row r="2" spans="2:5" x14ac:dyDescent="0.3">
      <c r="B2" s="1" t="str">
        <f>'[1]Auto Regression'!C2</f>
        <v>Time</v>
      </c>
      <c r="C2" s="1" t="s">
        <v>30</v>
      </c>
      <c r="D2" s="1" t="s">
        <v>31</v>
      </c>
      <c r="E2" s="1" t="s">
        <v>32</v>
      </c>
    </row>
    <row r="3" spans="2:5" x14ac:dyDescent="0.3">
      <c r="B3" s="14">
        <f>'[1]Auto Regression'!C4</f>
        <v>2</v>
      </c>
      <c r="C3" s="7">
        <f>'[1]Auto Regression'!D4</f>
        <v>0.40910541526757793</v>
      </c>
      <c r="D3" s="8"/>
      <c r="E3" s="8"/>
    </row>
    <row r="4" spans="2:5" x14ac:dyDescent="0.3">
      <c r="B4" s="14">
        <f>'[1]Auto Regression'!C5</f>
        <v>3</v>
      </c>
      <c r="C4" s="7">
        <f>'[1]Auto Regression'!D5</f>
        <v>-0.42182150657408446</v>
      </c>
      <c r="D4" s="8">
        <f>'AR regression summary'!$B$17+('AR regression summary'!$B$18*Error!C3)</f>
        <v>9.8213376349741421E-3</v>
      </c>
      <c r="E4" s="7">
        <f>C4-D4</f>
        <v>-0.43164284420905863</v>
      </c>
    </row>
    <row r="5" spans="2:5" x14ac:dyDescent="0.3">
      <c r="B5" s="14">
        <f>'[1]Auto Regression'!C6</f>
        <v>4</v>
      </c>
      <c r="C5" s="7">
        <f>'[1]Auto Regression'!D6</f>
        <v>0.30287771410371445</v>
      </c>
      <c r="D5" s="8">
        <f>'AR regression summary'!$B$17+('AR regression summary'!$B$18*Error!C4)</f>
        <v>0.21085537577164182</v>
      </c>
      <c r="E5" s="7">
        <f t="shared" ref="E5:E68" si="0">C5-D5</f>
        <v>9.2022338332072628E-2</v>
      </c>
    </row>
    <row r="6" spans="2:5" x14ac:dyDescent="0.3">
      <c r="B6" s="14">
        <f>'[1]Auto Regression'!C7</f>
        <v>5</v>
      </c>
      <c r="C6" s="7">
        <f>'[1]Auto Regression'!D7</f>
        <v>0.8347581061161522</v>
      </c>
      <c r="D6" s="8">
        <f>'AR regression summary'!$B$17+('AR regression summary'!$B$18*Error!C5)</f>
        <v>3.5522013790242654E-2</v>
      </c>
      <c r="E6" s="7">
        <f t="shared" si="0"/>
        <v>0.79923609232590953</v>
      </c>
    </row>
    <row r="7" spans="2:5" x14ac:dyDescent="0.3">
      <c r="B7" s="14">
        <f>'[1]Auto Regression'!C8</f>
        <v>6</v>
      </c>
      <c r="C7" s="7">
        <f>'[1]Auto Regression'!D8</f>
        <v>-6.5766675892197313E-2</v>
      </c>
      <c r="D7" s="8">
        <f>'AR regression summary'!$B$17+('AR regression summary'!$B$18*Error!C6)</f>
        <v>-9.316085855547912E-2</v>
      </c>
      <c r="E7" s="7">
        <f t="shared" si="0"/>
        <v>2.7394182663281808E-2</v>
      </c>
    </row>
    <row r="8" spans="2:5" x14ac:dyDescent="0.3">
      <c r="B8" s="14">
        <f>'[1]Auto Regression'!C9</f>
        <v>7</v>
      </c>
      <c r="C8" s="7">
        <f>'[1]Auto Regression'!D9</f>
        <v>0.50533626660980158</v>
      </c>
      <c r="D8" s="8">
        <f>'AR regression summary'!$B$17+('AR regression summary'!$B$18*Error!C7)</f>
        <v>0.12471165057929928</v>
      </c>
      <c r="E8" s="7">
        <f t="shared" si="0"/>
        <v>0.38062461603050229</v>
      </c>
    </row>
    <row r="9" spans="2:5" x14ac:dyDescent="0.3">
      <c r="B9" s="14">
        <f>'[1]Auto Regression'!C10</f>
        <v>8</v>
      </c>
      <c r="C9" s="7">
        <f>'[1]Auto Regression'!D10</f>
        <v>0.33620252028347419</v>
      </c>
      <c r="D9" s="8">
        <f>'AR regression summary'!$B$17+('AR regression summary'!$B$18*Error!C8)</f>
        <v>-1.3460705743496407E-2</v>
      </c>
      <c r="E9" s="7">
        <f t="shared" si="0"/>
        <v>0.34966322602697059</v>
      </c>
    </row>
    <row r="10" spans="2:5" x14ac:dyDescent="0.3">
      <c r="B10" s="14">
        <f>'[1]Auto Regression'!C11</f>
        <v>9</v>
      </c>
      <c r="C10" s="7">
        <f>'[1]Auto Regression'!D11</f>
        <v>0.27076227254150886</v>
      </c>
      <c r="D10" s="8">
        <f>'AR regression summary'!$B$17+('AR regression summary'!$B$18*Error!C9)</f>
        <v>2.7459427080944177E-2</v>
      </c>
      <c r="E10" s="7">
        <f t="shared" si="0"/>
        <v>0.24330284546056469</v>
      </c>
    </row>
    <row r="11" spans="2:5" x14ac:dyDescent="0.3">
      <c r="B11" s="14">
        <f>'[1]Auto Regression'!C12</f>
        <v>10</v>
      </c>
      <c r="C11" s="7">
        <f>'[1]Auto Regression'!D12</f>
        <v>-3.5625367133320651E-2</v>
      </c>
      <c r="D11" s="8">
        <f>'AR regression summary'!$B$17+('AR regression summary'!$B$18*Error!C10)</f>
        <v>4.3292007437196162E-2</v>
      </c>
      <c r="E11" s="7">
        <f t="shared" si="0"/>
        <v>-7.8917374570516813E-2</v>
      </c>
    </row>
    <row r="12" spans="2:5" x14ac:dyDescent="0.3">
      <c r="B12" s="14">
        <f>'[1]Auto Regression'!C13</f>
        <v>11</v>
      </c>
      <c r="C12" s="7">
        <f>'[1]Auto Regression'!D13</f>
        <v>0.52879843509848357</v>
      </c>
      <c r="D12" s="8">
        <f>'AR regression summary'!$B$17+('AR regression summary'!$B$18*Error!C11)</f>
        <v>0.11741927762177012</v>
      </c>
      <c r="E12" s="7">
        <f t="shared" si="0"/>
        <v>0.41137915747671344</v>
      </c>
    </row>
    <row r="13" spans="2:5" x14ac:dyDescent="0.3">
      <c r="B13" s="14">
        <f>'[1]Auto Regression'!C14</f>
        <v>12</v>
      </c>
      <c r="C13" s="7">
        <f>'[1]Auto Regression'!D14</f>
        <v>0.11564718231985793</v>
      </c>
      <c r="D13" s="8">
        <f>'AR regression summary'!$B$17+('AR regression summary'!$B$18*Error!C12)</f>
        <v>-1.9137130890810872E-2</v>
      </c>
      <c r="E13" s="7">
        <f t="shared" si="0"/>
        <v>0.1347843132106688</v>
      </c>
    </row>
    <row r="14" spans="2:5" x14ac:dyDescent="0.3">
      <c r="B14" s="14">
        <f>'[1]Auto Regression'!C15</f>
        <v>13</v>
      </c>
      <c r="C14" s="7">
        <f>'[1]Auto Regression'!D15</f>
        <v>-0.85516565299261948</v>
      </c>
      <c r="D14" s="8">
        <f>'AR regression summary'!$B$17+('AR regression summary'!$B$18*Error!C13)</f>
        <v>8.0820473712036878E-2</v>
      </c>
      <c r="E14" s="7">
        <f t="shared" si="0"/>
        <v>-0.93598612670465631</v>
      </c>
    </row>
    <row r="15" spans="2:5" x14ac:dyDescent="0.3">
      <c r="B15" s="14">
        <f>'[1]Auto Regression'!C16</f>
        <v>14</v>
      </c>
      <c r="C15" s="7">
        <f>'[1]Auto Regression'!D16</f>
        <v>0.40767705662546838</v>
      </c>
      <c r="D15" s="8">
        <f>'AR regression summary'!$B$17+('AR regression summary'!$B$18*Error!C14)</f>
        <v>0.31569843882262583</v>
      </c>
      <c r="E15" s="7">
        <f t="shared" si="0"/>
        <v>9.1978617802842555E-2</v>
      </c>
    </row>
    <row r="16" spans="2:5" x14ac:dyDescent="0.3">
      <c r="B16" s="14">
        <f>'[1]Auto Regression'!C17</f>
        <v>15</v>
      </c>
      <c r="C16" s="7">
        <f>'[1]Auto Regression'!D17</f>
        <v>-0.13978943441600755</v>
      </c>
      <c r="D16" s="8">
        <f>'AR regression summary'!$B$17+('AR regression summary'!$B$18*Error!C15)</f>
        <v>1.0166914000575886E-2</v>
      </c>
      <c r="E16" s="7">
        <f t="shared" si="0"/>
        <v>-0.14995634841658345</v>
      </c>
    </row>
    <row r="17" spans="2:5" x14ac:dyDescent="0.3">
      <c r="B17" s="14">
        <f>'[1]Auto Regression'!C18</f>
        <v>16</v>
      </c>
      <c r="C17" s="7">
        <f>'[1]Auto Regression'!D18</f>
        <v>-0.10190808326593626</v>
      </c>
      <c r="D17" s="8">
        <f>'AR regression summary'!$B$17+('AR regression summary'!$B$18*Error!C16)</f>
        <v>0.14262067924222266</v>
      </c>
      <c r="E17" s="7">
        <f t="shared" si="0"/>
        <v>-0.24452876250815891</v>
      </c>
    </row>
    <row r="18" spans="2:5" x14ac:dyDescent="0.3">
      <c r="B18" s="14">
        <f>'[1]Auto Regression'!C19</f>
        <v>17</v>
      </c>
      <c r="C18" s="7">
        <f>'[1]Auto Regression'!D19</f>
        <v>-0.17463594087807266</v>
      </c>
      <c r="D18" s="8">
        <f>'AR regression summary'!$B$17+('AR regression summary'!$B$18*Error!C17)</f>
        <v>0.13345568435327007</v>
      </c>
      <c r="E18" s="7">
        <f t="shared" si="0"/>
        <v>-0.3080916252313427</v>
      </c>
    </row>
    <row r="19" spans="2:5" x14ac:dyDescent="0.3">
      <c r="B19" s="14">
        <f>'[1]Auto Regression'!C20</f>
        <v>18</v>
      </c>
      <c r="C19" s="7">
        <f>'[1]Auto Regression'!D20</f>
        <v>-0.39281600129529082</v>
      </c>
      <c r="D19" s="8">
        <f>'AR regression summary'!$B$17+('AR regression summary'!$B$18*Error!C18)</f>
        <v>0.1510514253462216</v>
      </c>
      <c r="E19" s="7">
        <f t="shared" si="0"/>
        <v>-0.54386742664151244</v>
      </c>
    </row>
    <row r="20" spans="2:5" x14ac:dyDescent="0.3">
      <c r="B20" s="14">
        <f>'[1]Auto Regression'!C21</f>
        <v>19</v>
      </c>
      <c r="C20" s="7">
        <f>'[1]Auto Regression'!D21</f>
        <v>0.18645425065197685</v>
      </c>
      <c r="D20" s="8">
        <f>'AR regression summary'!$B$17+('AR regression summary'!$B$18*Error!C19)</f>
        <v>0.20383779853215811</v>
      </c>
      <c r="E20" s="7">
        <f t="shared" si="0"/>
        <v>-1.738354788018126E-2</v>
      </c>
    </row>
    <row r="21" spans="2:5" x14ac:dyDescent="0.3">
      <c r="B21" s="14">
        <f>'[1]Auto Regression'!C22</f>
        <v>20</v>
      </c>
      <c r="C21" s="7">
        <f>'[1]Auto Regression'!D22</f>
        <v>-0.16799594363435233</v>
      </c>
      <c r="D21" s="8">
        <f>'AR regression summary'!$B$17+('AR regression summary'!$B$18*Error!C20)</f>
        <v>6.368944750352834E-2</v>
      </c>
      <c r="E21" s="7">
        <f t="shared" si="0"/>
        <v>-0.23168539113788067</v>
      </c>
    </row>
    <row r="22" spans="2:5" x14ac:dyDescent="0.3">
      <c r="B22" s="14">
        <f>'[1]Auto Regression'!C23</f>
        <v>21</v>
      </c>
      <c r="C22" s="7">
        <f>'[1]Auto Regression'!D23</f>
        <v>-3.805914262170873E-2</v>
      </c>
      <c r="D22" s="8">
        <f>'AR regression summary'!$B$17+('AR regression summary'!$B$18*Error!C21)</f>
        <v>0.14944494777998407</v>
      </c>
      <c r="E22" s="7">
        <f t="shared" si="0"/>
        <v>-0.1875040904016928</v>
      </c>
    </row>
    <row r="23" spans="2:5" x14ac:dyDescent="0.3">
      <c r="B23" s="14">
        <f>'[1]Auto Regression'!C24</f>
        <v>22</v>
      </c>
      <c r="C23" s="7">
        <f>'[1]Auto Regression'!D24</f>
        <v>-0.56965296611229377</v>
      </c>
      <c r="D23" s="8">
        <f>'AR regression summary'!$B$17+('AR regression summary'!$B$18*Error!C22)</f>
        <v>0.11800810402934912</v>
      </c>
      <c r="E23" s="7">
        <f t="shared" si="0"/>
        <v>-0.68766107014164291</v>
      </c>
    </row>
    <row r="24" spans="2:5" x14ac:dyDescent="0.3">
      <c r="B24" s="14">
        <f>'[1]Auto Regression'!C25</f>
        <v>23</v>
      </c>
      <c r="C24" s="7">
        <f>'[1]Auto Regression'!D25</f>
        <v>-0.13769588825593804</v>
      </c>
      <c r="D24" s="8">
        <f>'AR regression summary'!$B$17+('AR regression summary'!$B$18*Error!C23)</f>
        <v>0.24662164413220261</v>
      </c>
      <c r="E24" s="7">
        <f t="shared" si="0"/>
        <v>-0.38431753238814065</v>
      </c>
    </row>
    <row r="25" spans="2:5" x14ac:dyDescent="0.3">
      <c r="B25" s="14">
        <f>'[1]Auto Regression'!C26</f>
        <v>24</v>
      </c>
      <c r="C25" s="7">
        <f>'[1]Auto Regression'!D26</f>
        <v>3.4337208523672835E-2</v>
      </c>
      <c r="D25" s="8">
        <f>'AR regression summary'!$B$17+('AR regression summary'!$B$18*Error!C24)</f>
        <v>0.14211416774581875</v>
      </c>
      <c r="E25" s="7">
        <f t="shared" si="0"/>
        <v>-0.10777695922214592</v>
      </c>
    </row>
    <row r="26" spans="2:5" x14ac:dyDescent="0.3">
      <c r="B26" s="14">
        <f>'[1]Auto Regression'!C27</f>
        <v>25</v>
      </c>
      <c r="C26" s="7">
        <f>'[1]Auto Regression'!D27</f>
        <v>0.44110004895084387</v>
      </c>
      <c r="D26" s="8">
        <f>'AR regression summary'!$B$17+('AR regression summary'!$B$18*Error!C25)</f>
        <v>0.10049256754286903</v>
      </c>
      <c r="E26" s="7">
        <f t="shared" si="0"/>
        <v>0.34060748140797481</v>
      </c>
    </row>
    <row r="27" spans="2:5" x14ac:dyDescent="0.3">
      <c r="B27" s="14">
        <f>'[1]Auto Regression'!C28</f>
        <v>26</v>
      </c>
      <c r="C27" s="7">
        <f>'[1]Auto Regression'!D28</f>
        <v>-0.69948692878075569</v>
      </c>
      <c r="D27" s="8">
        <f>'AR regression summary'!$B$17+('AR regression summary'!$B$18*Error!C26)</f>
        <v>2.0805721849938702E-3</v>
      </c>
      <c r="E27" s="7">
        <f t="shared" si="0"/>
        <v>-0.7015675009657496</v>
      </c>
    </row>
    <row r="28" spans="2:5" x14ac:dyDescent="0.3">
      <c r="B28" s="14">
        <f>'[1]Auto Regression'!C29</f>
        <v>27</v>
      </c>
      <c r="C28" s="7">
        <f>'[1]Auto Regression'!D29</f>
        <v>0.33588008315977014</v>
      </c>
      <c r="D28" s="8">
        <f>'AR regression summary'!$B$17+('AR regression summary'!$B$18*Error!C27)</f>
        <v>0.27803360722599191</v>
      </c>
      <c r="E28" s="7">
        <f t="shared" si="0"/>
        <v>5.784647593377823E-2</v>
      </c>
    </row>
    <row r="29" spans="2:5" x14ac:dyDescent="0.3">
      <c r="B29" s="14">
        <f>'[1]Auto Regression'!C30</f>
        <v>28</v>
      </c>
      <c r="C29" s="7">
        <f>'[1]Auto Regression'!D30</f>
        <v>-0.53249496123654438</v>
      </c>
      <c r="D29" s="8">
        <f>'AR regression summary'!$B$17+('AR regression summary'!$B$18*Error!C28)</f>
        <v>2.7537437355156652E-2</v>
      </c>
      <c r="E29" s="7">
        <f t="shared" si="0"/>
        <v>-0.56003239859170106</v>
      </c>
    </row>
    <row r="30" spans="2:5" x14ac:dyDescent="0.3">
      <c r="B30" s="14">
        <f>'[1]Auto Regression'!C31</f>
        <v>29</v>
      </c>
      <c r="C30" s="7">
        <f>'[1]Auto Regression'!D31</f>
        <v>0.62017400771700437</v>
      </c>
      <c r="D30" s="8">
        <f>'AR regression summary'!$B$17+('AR regression summary'!$B$18*Error!C29)</f>
        <v>0.23763165527407612</v>
      </c>
      <c r="E30" s="7">
        <f t="shared" si="0"/>
        <v>0.38254235244292822</v>
      </c>
    </row>
    <row r="31" spans="2:5" x14ac:dyDescent="0.3">
      <c r="B31" s="14">
        <f>'[1]Auto Regression'!C32</f>
        <v>30</v>
      </c>
      <c r="C31" s="7">
        <f>'[1]Auto Regression'!D32</f>
        <v>-0.14029879063200479</v>
      </c>
      <c r="D31" s="8">
        <f>'AR regression summary'!$B$17+('AR regression summary'!$B$18*Error!C30)</f>
        <v>-4.1244490596809152E-2</v>
      </c>
      <c r="E31" s="7">
        <f t="shared" si="0"/>
        <v>-9.9054300035195636E-2</v>
      </c>
    </row>
    <row r="32" spans="2:5" x14ac:dyDescent="0.3">
      <c r="B32" s="14">
        <f>'[1]Auto Regression'!C33</f>
        <v>31</v>
      </c>
      <c r="C32" s="7">
        <f>'[1]Auto Regression'!D33</f>
        <v>0.37729185979337743</v>
      </c>
      <c r="D32" s="8">
        <f>'AR regression summary'!$B$17+('AR regression summary'!$B$18*Error!C31)</f>
        <v>0.14274391262684447</v>
      </c>
      <c r="E32" s="7">
        <f t="shared" si="0"/>
        <v>0.23454794716653296</v>
      </c>
    </row>
    <row r="33" spans="2:5" x14ac:dyDescent="0.3">
      <c r="B33" s="14">
        <f>'[1]Auto Regression'!C34</f>
        <v>32</v>
      </c>
      <c r="C33" s="7">
        <f>'[1]Auto Regression'!D34</f>
        <v>-6.784371250277399E-2</v>
      </c>
      <c r="D33" s="8">
        <f>'AR regression summary'!$B$17+('AR regression summary'!$B$18*Error!C32)</f>
        <v>1.7518293114871492E-2</v>
      </c>
      <c r="E33" s="7">
        <f t="shared" si="0"/>
        <v>-8.5362005617645481E-2</v>
      </c>
    </row>
    <row r="34" spans="2:5" x14ac:dyDescent="0.3">
      <c r="B34" s="14">
        <f>'[1]Auto Regression'!C35</f>
        <v>33</v>
      </c>
      <c r="C34" s="7">
        <f>'[1]Auto Regression'!D35</f>
        <v>-0.20605162474590433</v>
      </c>
      <c r="D34" s="8">
        <f>'AR regression summary'!$B$17+('AR regression summary'!$B$18*Error!C33)</f>
        <v>0.12521416776367028</v>
      </c>
      <c r="E34" s="7">
        <f t="shared" si="0"/>
        <v>-0.33126579250957461</v>
      </c>
    </row>
    <row r="35" spans="2:5" x14ac:dyDescent="0.3">
      <c r="B35" s="14">
        <f>'[1]Auto Regression'!C36</f>
        <v>34</v>
      </c>
      <c r="C35" s="7">
        <f>'[1]Auto Regression'!D36</f>
        <v>0.51143486256481374</v>
      </c>
      <c r="D35" s="8">
        <f>'AR regression summary'!$B$17+('AR regression summary'!$B$18*Error!C34)</f>
        <v>0.1586521199714207</v>
      </c>
      <c r="E35" s="7">
        <f t="shared" si="0"/>
        <v>0.35278274259339304</v>
      </c>
    </row>
    <row r="36" spans="2:5" x14ac:dyDescent="0.3">
      <c r="B36" s="14">
        <f>'[1]Auto Regression'!C37</f>
        <v>35</v>
      </c>
      <c r="C36" s="7">
        <f>'[1]Auto Regression'!D37</f>
        <v>0.49318289808264293</v>
      </c>
      <c r="D36" s="8">
        <f>'AR regression summary'!$B$17+('AR regression summary'!$B$18*Error!C35)</f>
        <v>-1.4936196956469361E-2</v>
      </c>
      <c r="E36" s="7">
        <f t="shared" si="0"/>
        <v>0.50811909503911235</v>
      </c>
    </row>
    <row r="37" spans="2:5" x14ac:dyDescent="0.3">
      <c r="B37" s="14">
        <f>'[1]Auto Regression'!C38</f>
        <v>36</v>
      </c>
      <c r="C37" s="7">
        <f>'[1]Auto Regression'!D38</f>
        <v>0.11373198054977962</v>
      </c>
      <c r="D37" s="8">
        <f>'AR regression summary'!$B$17+('AR regression summary'!$B$18*Error!C36)</f>
        <v>-1.0520325924579715E-2</v>
      </c>
      <c r="E37" s="7">
        <f t="shared" si="0"/>
        <v>0.12425230647435934</v>
      </c>
    </row>
    <row r="38" spans="2:5" x14ac:dyDescent="0.3">
      <c r="B38" s="14">
        <f>'[1]Auto Regression'!C39</f>
        <v>37</v>
      </c>
      <c r="C38" s="7">
        <f>'[1]Auto Regression'!D39</f>
        <v>0.48638560563874478</v>
      </c>
      <c r="D38" s="8">
        <f>'AR regression summary'!$B$17+('AR regression summary'!$B$18*Error!C37)</f>
        <v>8.1283836657158423E-2</v>
      </c>
      <c r="E38" s="7">
        <f t="shared" si="0"/>
        <v>0.40510176898158634</v>
      </c>
    </row>
    <row r="39" spans="2:5" x14ac:dyDescent="0.3">
      <c r="B39" s="14">
        <f>'[1]Auto Regression'!C40</f>
        <v>38</v>
      </c>
      <c r="C39" s="7">
        <f>'[1]Auto Regression'!D40</f>
        <v>0.40162972802962926</v>
      </c>
      <c r="D39" s="8">
        <f>'AR regression summary'!$B$17+('AR regression summary'!$B$18*Error!C38)</f>
        <v>-8.8757924373699948E-3</v>
      </c>
      <c r="E39" s="7">
        <f t="shared" si="0"/>
        <v>0.41050552046699929</v>
      </c>
    </row>
    <row r="40" spans="2:5" x14ac:dyDescent="0.3">
      <c r="B40" s="14">
        <f>'[1]Auto Regression'!C41</f>
        <v>39</v>
      </c>
      <c r="C40" s="7">
        <f>'[1]Auto Regression'!D41</f>
        <v>0.6770997705017745</v>
      </c>
      <c r="D40" s="8">
        <f>'AR regression summary'!$B$17+('AR regression summary'!$B$18*Error!C39)</f>
        <v>1.1630001614666388E-2</v>
      </c>
      <c r="E40" s="7">
        <f t="shared" si="0"/>
        <v>0.66546976888710807</v>
      </c>
    </row>
    <row r="41" spans="2:5" x14ac:dyDescent="0.3">
      <c r="B41" s="14">
        <f>'[1]Auto Regression'!C42</f>
        <v>40</v>
      </c>
      <c r="C41" s="7">
        <f>'[1]Auto Regression'!D42</f>
        <v>-0.309193711407314</v>
      </c>
      <c r="D41" s="8">
        <f>'AR regression summary'!$B$17+('AR regression summary'!$B$18*Error!C40)</f>
        <v>-5.5017080779912048E-2</v>
      </c>
      <c r="E41" s="7">
        <f t="shared" si="0"/>
        <v>-0.25417663062740192</v>
      </c>
    </row>
    <row r="42" spans="2:5" x14ac:dyDescent="0.3">
      <c r="B42" s="14">
        <f>'[1]Auto Regression'!C43</f>
        <v>41</v>
      </c>
      <c r="C42" s="7">
        <f>'[1]Auto Regression'!D43</f>
        <v>0.12373876025674591</v>
      </c>
      <c r="D42" s="8">
        <f>'AR regression summary'!$B$17+('AR regression summary'!$B$18*Error!C41)</f>
        <v>0.18360626411857173</v>
      </c>
      <c r="E42" s="7">
        <f t="shared" si="0"/>
        <v>-5.9867503861825822E-2</v>
      </c>
    </row>
    <row r="43" spans="2:5" x14ac:dyDescent="0.3">
      <c r="B43" s="14">
        <f>'[1]Auto Regression'!C44</f>
        <v>42</v>
      </c>
      <c r="C43" s="7">
        <f>'[1]Auto Regression'!D44</f>
        <v>1.0642444964910105</v>
      </c>
      <c r="D43" s="8">
        <f>'AR regression summary'!$B$17+('AR regression summary'!$B$18*Error!C42)</f>
        <v>7.8862801448939673E-2</v>
      </c>
      <c r="E43" s="7">
        <f t="shared" si="0"/>
        <v>0.98538169504207085</v>
      </c>
    </row>
    <row r="44" spans="2:5" x14ac:dyDescent="0.3">
      <c r="B44" s="14">
        <f>'[1]Auto Regression'!C45</f>
        <v>43</v>
      </c>
      <c r="C44" s="7">
        <f>'[1]Auto Regression'!D45</f>
        <v>-0.13902751439282923</v>
      </c>
      <c r="D44" s="8">
        <f>'AR regression summary'!$B$17+('AR regression summary'!$B$18*Error!C43)</f>
        <v>-0.14868267947832636</v>
      </c>
      <c r="E44" s="7">
        <f t="shared" si="0"/>
        <v>9.6551650854971305E-3</v>
      </c>
    </row>
    <row r="45" spans="2:5" x14ac:dyDescent="0.3">
      <c r="B45" s="14">
        <f>'[1]Auto Regression'!C46</f>
        <v>44</v>
      </c>
      <c r="C45" s="7">
        <f>'[1]Auto Regression'!D46</f>
        <v>0.71800977392939025</v>
      </c>
      <c r="D45" s="8">
        <f>'AR regression summary'!$B$17+('AR regression summary'!$B$18*Error!C44)</f>
        <v>0.14243634069815764</v>
      </c>
      <c r="E45" s="7">
        <f t="shared" si="0"/>
        <v>0.57557343323123256</v>
      </c>
    </row>
    <row r="46" spans="2:5" x14ac:dyDescent="0.3">
      <c r="B46" s="14">
        <f>'[1]Auto Regression'!C47</f>
        <v>45</v>
      </c>
      <c r="C46" s="7">
        <f>'[1]Auto Regression'!D47</f>
        <v>3.6110232503681061E-2</v>
      </c>
      <c r="D46" s="8">
        <f>'AR regression summary'!$B$17+('AR regression summary'!$B$18*Error!C45)</f>
        <v>-6.4914826265171088E-2</v>
      </c>
      <c r="E46" s="7">
        <f t="shared" si="0"/>
        <v>0.10102505876885215</v>
      </c>
    </row>
    <row r="47" spans="2:5" x14ac:dyDescent="0.3">
      <c r="B47" s="14">
        <f>'[1]Auto Regression'!C48</f>
        <v>46</v>
      </c>
      <c r="C47" s="7">
        <f>'[1]Auto Regression'!D48</f>
        <v>-0.18655713493525106</v>
      </c>
      <c r="D47" s="8">
        <f>'AR regression summary'!$B$17+('AR regression summary'!$B$18*Error!C46)</f>
        <v>0.1000636030201837</v>
      </c>
      <c r="E47" s="7">
        <f t="shared" si="0"/>
        <v>-0.28662073795543475</v>
      </c>
    </row>
    <row r="48" spans="2:5" x14ac:dyDescent="0.3">
      <c r="B48" s="14">
        <f>'[1]Auto Regression'!C49</f>
        <v>47</v>
      </c>
      <c r="C48" s="7">
        <f>'[1]Auto Regression'!D49</f>
        <v>0.32830157246543124</v>
      </c>
      <c r="D48" s="8">
        <f>'AR regression summary'!$B$17+('AR regression summary'!$B$18*Error!C47)</f>
        <v>0.15393563299159874</v>
      </c>
      <c r="E48" s="7">
        <f t="shared" si="0"/>
        <v>0.1743659394738325</v>
      </c>
    </row>
    <row r="49" spans="2:5" x14ac:dyDescent="0.3">
      <c r="B49" s="14">
        <f>'[1]Auto Regression'!C50</f>
        <v>48</v>
      </c>
      <c r="C49" s="7">
        <f>'[1]Auto Regression'!D50</f>
        <v>0.3239875213612109</v>
      </c>
      <c r="D49" s="8">
        <f>'AR regression summary'!$B$17+('AR regression summary'!$B$18*Error!C48)</f>
        <v>2.9370978389749808E-2</v>
      </c>
      <c r="E49" s="7">
        <f t="shared" si="0"/>
        <v>0.29461654297146112</v>
      </c>
    </row>
    <row r="50" spans="2:5" x14ac:dyDescent="0.3">
      <c r="B50" s="14">
        <f>'[1]Auto Regression'!C51</f>
        <v>49</v>
      </c>
      <c r="C50" s="7">
        <f>'[1]Auto Regression'!D51</f>
        <v>0.95903811316794574</v>
      </c>
      <c r="D50" s="8">
        <f>'AR regression summary'!$B$17+('AR regression summary'!$B$18*Error!C49)</f>
        <v>3.0414717726401891E-2</v>
      </c>
      <c r="E50" s="7">
        <f t="shared" si="0"/>
        <v>0.92862339544154382</v>
      </c>
    </row>
    <row r="51" spans="2:5" x14ac:dyDescent="0.3">
      <c r="B51" s="14">
        <f>'[1]Auto Regression'!C52</f>
        <v>50</v>
      </c>
      <c r="C51" s="7">
        <f>'[1]Auto Regression'!D52</f>
        <v>0.15225100368632738</v>
      </c>
      <c r="D51" s="8">
        <f>'AR regression summary'!$B$17+('AR regression summary'!$B$18*Error!C50)</f>
        <v>-0.12322910044358648</v>
      </c>
      <c r="E51" s="7">
        <f t="shared" si="0"/>
        <v>0.27548010412991386</v>
      </c>
    </row>
    <row r="52" spans="2:5" x14ac:dyDescent="0.3">
      <c r="B52" s="14">
        <f>'[1]Auto Regression'!C53</f>
        <v>51</v>
      </c>
      <c r="C52" s="7">
        <f>'[1]Auto Regression'!D53</f>
        <v>-7.3998285693738453E-2</v>
      </c>
      <c r="D52" s="8">
        <f>'AR regression summary'!$B$17+('AR regression summary'!$B$18*Error!C51)</f>
        <v>7.1964563731138687E-2</v>
      </c>
      <c r="E52" s="7">
        <f t="shared" si="0"/>
        <v>-0.14596284942487714</v>
      </c>
    </row>
    <row r="53" spans="2:5" x14ac:dyDescent="0.3">
      <c r="B53" s="14">
        <f>'[1]Auto Regression'!C54</f>
        <v>52</v>
      </c>
      <c r="C53" s="7">
        <f>'[1]Auto Regression'!D54</f>
        <v>-0.35368441874458334</v>
      </c>
      <c r="D53" s="8">
        <f>'AR regression summary'!$B$17+('AR regression summary'!$B$18*Error!C52)</f>
        <v>0.12670320208072547</v>
      </c>
      <c r="E53" s="7">
        <f t="shared" si="0"/>
        <v>-0.48038762082530884</v>
      </c>
    </row>
    <row r="54" spans="2:5" x14ac:dyDescent="0.3">
      <c r="B54" s="14">
        <f>'[1]Auto Regression'!C55</f>
        <v>53</v>
      </c>
      <c r="C54" s="7">
        <f>'[1]Auto Regression'!D55</f>
        <v>7.4864224099968624E-4</v>
      </c>
      <c r="D54" s="8">
        <f>'AR regression summary'!$B$17+('AR regression summary'!$B$18*Error!C53)</f>
        <v>0.19437032329208381</v>
      </c>
      <c r="E54" s="7">
        <f t="shared" si="0"/>
        <v>-0.19362168105108413</v>
      </c>
    </row>
    <row r="55" spans="2:5" x14ac:dyDescent="0.3">
      <c r="B55" s="14">
        <f>'[1]Auto Regression'!C56</f>
        <v>54</v>
      </c>
      <c r="C55" s="7">
        <f>'[1]Auto Regression'!D56</f>
        <v>-0.31808127468403313</v>
      </c>
      <c r="D55" s="8">
        <f>'AR regression summary'!$B$17+('AR regression summary'!$B$18*Error!C54)</f>
        <v>0.10861896823772293</v>
      </c>
      <c r="E55" s="7">
        <f t="shared" si="0"/>
        <v>-0.42670024292175607</v>
      </c>
    </row>
    <row r="56" spans="2:5" x14ac:dyDescent="0.3">
      <c r="B56" s="14">
        <f>'[1]Auto Regression'!C57</f>
        <v>55</v>
      </c>
      <c r="C56" s="7">
        <f>'[1]Auto Regression'!D57</f>
        <v>0.37780158632570959</v>
      </c>
      <c r="D56" s="8">
        <f>'AR regression summary'!$B$17+('AR regression summary'!$B$18*Error!C55)</f>
        <v>0.1857565166711716</v>
      </c>
      <c r="E56" s="7">
        <f t="shared" si="0"/>
        <v>0.19204506965453799</v>
      </c>
    </row>
    <row r="57" spans="2:5" x14ac:dyDescent="0.3">
      <c r="B57" s="14">
        <f>'[1]Auto Regression'!C58</f>
        <v>56</v>
      </c>
      <c r="C57" s="7">
        <f>'[1]Auto Regression'!D58</f>
        <v>1.4785328755190008E-2</v>
      </c>
      <c r="D57" s="8">
        <f>'AR regression summary'!$B$17+('AR regression summary'!$B$18*Error!C56)</f>
        <v>1.7394970136103374E-2</v>
      </c>
      <c r="E57" s="7">
        <f t="shared" si="0"/>
        <v>-2.6096413809133662E-3</v>
      </c>
    </row>
    <row r="58" spans="2:5" x14ac:dyDescent="0.3">
      <c r="B58" s="14">
        <f>'[1]Auto Regression'!C59</f>
        <v>57</v>
      </c>
      <c r="C58" s="7">
        <f>'[1]Auto Regression'!D59</f>
        <v>-0.45647037573416327</v>
      </c>
      <c r="D58" s="8">
        <f>'AR regression summary'!$B$17+('AR regression summary'!$B$18*Error!C57)</f>
        <v>0.10522293941998787</v>
      </c>
      <c r="E58" s="7">
        <f t="shared" si="0"/>
        <v>-0.56169331515415111</v>
      </c>
    </row>
    <row r="59" spans="2:5" x14ac:dyDescent="0.3">
      <c r="B59" s="14">
        <f>'[1]Auto Regression'!C60</f>
        <v>58</v>
      </c>
      <c r="C59" s="7">
        <f>'[1]Auto Regression'!D60</f>
        <v>-0.2126995308789521</v>
      </c>
      <c r="D59" s="8">
        <f>'AR regression summary'!$B$17+('AR regression summary'!$B$18*Error!C58)</f>
        <v>0.21923830560701313</v>
      </c>
      <c r="E59" s="7">
        <f t="shared" si="0"/>
        <v>-0.43193783648596523</v>
      </c>
    </row>
    <row r="60" spans="2:5" x14ac:dyDescent="0.3">
      <c r="B60" s="14">
        <f>'[1]Auto Regression'!C61</f>
        <v>59</v>
      </c>
      <c r="C60" s="7">
        <f>'[1]Auto Regression'!D61</f>
        <v>-0.36452900841162972</v>
      </c>
      <c r="D60" s="8">
        <f>'AR regression summary'!$B$17+('AR regression summary'!$B$18*Error!C59)</f>
        <v>0.16026051101033181</v>
      </c>
      <c r="E60" s="7">
        <f t="shared" si="0"/>
        <v>-0.5247895194219615</v>
      </c>
    </row>
    <row r="61" spans="2:5" x14ac:dyDescent="0.3">
      <c r="B61" s="14">
        <f>'[1]Auto Regression'!C62</f>
        <v>60</v>
      </c>
      <c r="C61" s="7">
        <f>'[1]Auto Regression'!D62</f>
        <v>0.33527953007825495</v>
      </c>
      <c r="D61" s="8">
        <f>'AR regression summary'!$B$17+('AR regression summary'!$B$18*Error!C60)</f>
        <v>0.19699405781722051</v>
      </c>
      <c r="E61" s="7">
        <f t="shared" si="0"/>
        <v>0.13828547226103444</v>
      </c>
    </row>
    <row r="62" spans="2:5" x14ac:dyDescent="0.3">
      <c r="B62" s="14">
        <f>'[1]Auto Regression'!C63</f>
        <v>61</v>
      </c>
      <c r="C62" s="7">
        <f>'[1]Auto Regression'!D63</f>
        <v>-5.3315751790348642E-2</v>
      </c>
      <c r="D62" s="8">
        <f>'AR regression summary'!$B$17+('AR regression summary'!$B$18*Error!C61)</f>
        <v>2.7682734863179168E-2</v>
      </c>
      <c r="E62" s="7">
        <f t="shared" si="0"/>
        <v>-8.099848665352781E-2</v>
      </c>
    </row>
    <row r="63" spans="2:5" x14ac:dyDescent="0.3">
      <c r="B63" s="14">
        <f>'[1]Auto Regression'!C64</f>
        <v>62</v>
      </c>
      <c r="C63" s="7">
        <f>'[1]Auto Regression'!D64</f>
        <v>-0.27465776925895646</v>
      </c>
      <c r="D63" s="8">
        <f>'AR regression summary'!$B$17+('AR regression summary'!$B$18*Error!C62)</f>
        <v>0.12169928031552202</v>
      </c>
      <c r="E63" s="7">
        <f t="shared" si="0"/>
        <v>-0.39635704957447848</v>
      </c>
    </row>
    <row r="64" spans="2:5" x14ac:dyDescent="0.3">
      <c r="B64" s="14">
        <f>'[1]Auto Regression'!C65</f>
        <v>63</v>
      </c>
      <c r="C64" s="7">
        <f>'[1]Auto Regression'!D65</f>
        <v>0.34673637353924391</v>
      </c>
      <c r="D64" s="8">
        <f>'AR regression summary'!$B$17+('AR regression summary'!$B$18*Error!C63)</f>
        <v>0.17525065578715499</v>
      </c>
      <c r="E64" s="7">
        <f t="shared" si="0"/>
        <v>0.17148571775208893</v>
      </c>
    </row>
    <row r="65" spans="2:5" x14ac:dyDescent="0.3">
      <c r="B65" s="14">
        <f>'[1]Auto Regression'!C66</f>
        <v>64</v>
      </c>
      <c r="C65" s="7">
        <f>'[1]Auto Regression'!D66</f>
        <v>-0.540516705405933</v>
      </c>
      <c r="D65" s="8">
        <f>'AR regression summary'!$B$17+('AR regression summary'!$B$18*Error!C64)</f>
        <v>2.4910871965588305E-2</v>
      </c>
      <c r="E65" s="7">
        <f t="shared" si="0"/>
        <v>-0.56542757737152127</v>
      </c>
    </row>
    <row r="66" spans="2:5" x14ac:dyDescent="0.3">
      <c r="B66" s="14">
        <f>'[1]Auto Regression'!C67</f>
        <v>65</v>
      </c>
      <c r="C66" s="7">
        <f>'[1]Auto Regression'!D67</f>
        <v>-0.46708280450602757</v>
      </c>
      <c r="D66" s="8">
        <f>'AR regression summary'!$B$17+('AR regression summary'!$B$18*Error!C65)</f>
        <v>0.23957243199087477</v>
      </c>
      <c r="E66" s="7">
        <f t="shared" si="0"/>
        <v>-0.70665523649690232</v>
      </c>
    </row>
    <row r="67" spans="2:5" x14ac:dyDescent="0.3">
      <c r="B67" s="14">
        <f>'[1]Auto Regression'!C68</f>
        <v>66</v>
      </c>
      <c r="C67" s="7">
        <f>'[1]Auto Regression'!D68</f>
        <v>8.1843549352038636E-2</v>
      </c>
      <c r="D67" s="8">
        <f>'AR regression summary'!$B$17+('AR regression summary'!$B$18*Error!C66)</f>
        <v>0.22180587124289003</v>
      </c>
      <c r="E67" s="7">
        <f t="shared" si="0"/>
        <v>-0.13996232189085139</v>
      </c>
    </row>
    <row r="68" spans="2:5" x14ac:dyDescent="0.3">
      <c r="B68" s="14">
        <f>'[1]Auto Regression'!C69</f>
        <v>67</v>
      </c>
      <c r="C68" s="7">
        <f>'[1]Auto Regression'!D69</f>
        <v>0.2461738131670046</v>
      </c>
      <c r="D68" s="8">
        <f>'AR regression summary'!$B$17+('AR regression summary'!$B$18*Error!C67)</f>
        <v>8.8998907531642316E-2</v>
      </c>
      <c r="E68" s="7">
        <f t="shared" si="0"/>
        <v>0.15717490563536229</v>
      </c>
    </row>
    <row r="69" spans="2:5" x14ac:dyDescent="0.3">
      <c r="B69" s="14">
        <f>'[1]Auto Regression'!C70</f>
        <v>68</v>
      </c>
      <c r="C69" s="7">
        <f>'[1]Auto Regression'!D70</f>
        <v>-0.28341618917750644</v>
      </c>
      <c r="D69" s="8">
        <f>'AR regression summary'!$B$17+('AR regression summary'!$B$18*Error!C68)</f>
        <v>4.924092683032414E-2</v>
      </c>
      <c r="E69" s="7">
        <f t="shared" ref="E69:E118" si="1">C69-D69</f>
        <v>-0.3326571160078306</v>
      </c>
    </row>
    <row r="70" spans="2:5" x14ac:dyDescent="0.3">
      <c r="B70" s="14">
        <f>'[1]Auto Regression'!C71</f>
        <v>69</v>
      </c>
      <c r="C70" s="7">
        <f>'[1]Auto Regression'!D71</f>
        <v>8.1473597020076838E-2</v>
      </c>
      <c r="D70" s="8">
        <f>'AR regression summary'!$B$17+('AR regression summary'!$B$18*Error!C69)</f>
        <v>0.17736966346116345</v>
      </c>
      <c r="E70" s="7">
        <f t="shared" si="1"/>
        <v>-9.5896066441086614E-2</v>
      </c>
    </row>
    <row r="71" spans="2:5" x14ac:dyDescent="0.3">
      <c r="B71" s="14">
        <f>'[1]Auto Regression'!C72</f>
        <v>70</v>
      </c>
      <c r="C71" s="7">
        <f>'[1]Auto Regression'!D72</f>
        <v>-0.71170318231635044</v>
      </c>
      <c r="D71" s="8">
        <f>'AR regression summary'!$B$17+('AR regression summary'!$B$18*Error!C70)</f>
        <v>8.9088413611247391E-2</v>
      </c>
      <c r="E71" s="7">
        <f t="shared" si="1"/>
        <v>-0.80079159592759785</v>
      </c>
    </row>
    <row r="72" spans="2:5" x14ac:dyDescent="0.3">
      <c r="B72" s="14">
        <f>'[1]Auto Regression'!C73</f>
        <v>71</v>
      </c>
      <c r="C72" s="7">
        <f>'[1]Auto Regression'!D73</f>
        <v>1.0408846115818307</v>
      </c>
      <c r="D72" s="8">
        <f>'AR regression summary'!$B$17+('AR regression summary'!$B$18*Error!C71)</f>
        <v>0.28098920141196293</v>
      </c>
      <c r="E72" s="7">
        <f t="shared" si="1"/>
        <v>0.75989541016986772</v>
      </c>
    </row>
    <row r="73" spans="2:5" x14ac:dyDescent="0.3">
      <c r="B73" s="14">
        <f>'[1]Auto Regression'!C74</f>
        <v>72</v>
      </c>
      <c r="C73" s="7">
        <f>'[1]Auto Regression'!D74</f>
        <v>0.31761254837044106</v>
      </c>
      <c r="D73" s="8">
        <f>'AR regression summary'!$B$17+('AR regression summary'!$B$18*Error!C72)</f>
        <v>-0.14303100076837227</v>
      </c>
      <c r="E73" s="7">
        <f t="shared" si="1"/>
        <v>0.46064354913881334</v>
      </c>
    </row>
    <row r="74" spans="2:5" x14ac:dyDescent="0.3">
      <c r="B74" s="14">
        <f>'[1]Auto Regression'!C75</f>
        <v>73</v>
      </c>
      <c r="C74" s="7">
        <f>'[1]Auto Regression'!D75</f>
        <v>0.3259506338411029</v>
      </c>
      <c r="D74" s="8">
        <f>'AR regression summary'!$B$17+('AR regression summary'!$B$18*Error!C73)</f>
        <v>3.1957075459265016E-2</v>
      </c>
      <c r="E74" s="7">
        <f t="shared" si="1"/>
        <v>0.29399355838183788</v>
      </c>
    </row>
    <row r="75" spans="2:5" x14ac:dyDescent="0.3">
      <c r="B75" s="14">
        <f>'[1]Auto Regression'!C76</f>
        <v>74</v>
      </c>
      <c r="C75" s="7">
        <f>'[1]Auto Regression'!D76</f>
        <v>-0.32711377604224978</v>
      </c>
      <c r="D75" s="8">
        <f>'AR regression summary'!$B$17+('AR regression summary'!$B$18*Error!C74)</f>
        <v>2.9939763288441834E-2</v>
      </c>
      <c r="E75" s="7">
        <f t="shared" si="1"/>
        <v>-0.35705353933069162</v>
      </c>
    </row>
    <row r="76" spans="2:5" x14ac:dyDescent="0.3">
      <c r="B76" s="14">
        <f>'[1]Auto Regression'!C77</f>
        <v>75</v>
      </c>
      <c r="C76" s="7">
        <f>'[1]Auto Regression'!D77</f>
        <v>0.99267769006937279</v>
      </c>
      <c r="D76" s="8">
        <f>'AR regression summary'!$B$17+('AR regression summary'!$B$18*Error!C75)</f>
        <v>0.18794183546971599</v>
      </c>
      <c r="E76" s="7">
        <f t="shared" si="1"/>
        <v>0.8047358545996568</v>
      </c>
    </row>
    <row r="77" spans="2:5" x14ac:dyDescent="0.3">
      <c r="B77" s="14">
        <f>'[1]Auto Regression'!C78</f>
        <v>76</v>
      </c>
      <c r="C77" s="7">
        <f>'[1]Auto Regression'!D78</f>
        <v>-0.64015481095312587</v>
      </c>
      <c r="D77" s="8">
        <f>'AR regression summary'!$B$17+('AR regression summary'!$B$18*Error!C76)</f>
        <v>-0.13136784262167603</v>
      </c>
      <c r="E77" s="7">
        <f t="shared" si="1"/>
        <v>-0.50878696833144987</v>
      </c>
    </row>
    <row r="78" spans="2:5" x14ac:dyDescent="0.3">
      <c r="B78" s="14">
        <f>'[1]Auto Regression'!C79</f>
        <v>77</v>
      </c>
      <c r="C78" s="7">
        <f>'[1]Auto Regression'!D79</f>
        <v>0.93495307145706086</v>
      </c>
      <c r="D78" s="8">
        <f>'AR regression summary'!$B$17+('AR regression summary'!$B$18*Error!C77)</f>
        <v>0.26367882472399728</v>
      </c>
      <c r="E78" s="7">
        <f t="shared" si="1"/>
        <v>0.67127424673306357</v>
      </c>
    </row>
    <row r="79" spans="2:5" x14ac:dyDescent="0.3">
      <c r="B79" s="14">
        <f>'[1]Auto Regression'!C80</f>
        <v>78</v>
      </c>
      <c r="C79" s="7">
        <f>'[1]Auto Regression'!D80</f>
        <v>0.32951202245308409</v>
      </c>
      <c r="D79" s="8">
        <f>'AR regression summary'!$B$17+('AR regression summary'!$B$18*Error!C78)</f>
        <v>-0.11740197766472926</v>
      </c>
      <c r="E79" s="7">
        <f t="shared" si="1"/>
        <v>0.44691400011781335</v>
      </c>
    </row>
    <row r="80" spans="2:5" x14ac:dyDescent="0.3">
      <c r="B80" s="14">
        <f>'[1]Auto Regression'!C81</f>
        <v>79</v>
      </c>
      <c r="C80" s="7">
        <f>'[1]Auto Regression'!D81</f>
        <v>7.5632540778846291E-2</v>
      </c>
      <c r="D80" s="8">
        <f>'AR regression summary'!$B$17+('AR regression summary'!$B$18*Error!C79)</f>
        <v>2.9078122733513526E-2</v>
      </c>
      <c r="E80" s="7">
        <f t="shared" si="1"/>
        <v>4.6554418045332766E-2</v>
      </c>
    </row>
    <row r="81" spans="2:5" x14ac:dyDescent="0.3">
      <c r="B81" s="14">
        <f>'[1]Auto Regression'!C82</f>
        <v>80</v>
      </c>
      <c r="C81" s="7">
        <f>'[1]Auto Regression'!D82</f>
        <v>0.82448147249007953</v>
      </c>
      <c r="D81" s="8">
        <f>'AR regression summary'!$B$17+('AR regression summary'!$B$18*Error!C80)</f>
        <v>9.0501595796457321E-2</v>
      </c>
      <c r="E81" s="7">
        <f t="shared" si="1"/>
        <v>0.73397987669362219</v>
      </c>
    </row>
    <row r="82" spans="2:5" x14ac:dyDescent="0.3">
      <c r="B82" s="14">
        <f>'[1]Auto Regression'!C83</f>
        <v>81</v>
      </c>
      <c r="C82" s="7">
        <f>'[1]Auto Regression'!D83</f>
        <v>-0.58398090533808933</v>
      </c>
      <c r="D82" s="8">
        <f>'AR regression summary'!$B$17+('AR regression summary'!$B$18*Error!C81)</f>
        <v>-9.0674535026905173E-2</v>
      </c>
      <c r="E82" s="7">
        <f t="shared" si="1"/>
        <v>-0.49330637031118418</v>
      </c>
    </row>
    <row r="83" spans="2:5" x14ac:dyDescent="0.3">
      <c r="B83" s="14">
        <f>'[1]Auto Regression'!C84</f>
        <v>82</v>
      </c>
      <c r="C83" s="7">
        <f>'[1]Auto Regression'!D84</f>
        <v>0.68092251798175063</v>
      </c>
      <c r="D83" s="8">
        <f>'AR regression summary'!$B$17+('AR regression summary'!$B$18*Error!C82)</f>
        <v>0.25008813848329947</v>
      </c>
      <c r="E83" s="7">
        <f t="shared" si="1"/>
        <v>0.43083437949845116</v>
      </c>
    </row>
    <row r="84" spans="2:5" x14ac:dyDescent="0.3">
      <c r="B84" s="14">
        <f>'[1]Auto Regression'!C85</f>
        <v>83</v>
      </c>
      <c r="C84" s="7">
        <f>'[1]Auto Regression'!D85</f>
        <v>0.82397502699541469</v>
      </c>
      <c r="D84" s="8">
        <f>'AR regression summary'!$B$17+('AR regression summary'!$B$18*Error!C83)</f>
        <v>-5.5941954366837188E-2</v>
      </c>
      <c r="E84" s="7">
        <f t="shared" si="1"/>
        <v>0.87991698136225183</v>
      </c>
    </row>
    <row r="85" spans="2:5" x14ac:dyDescent="0.3">
      <c r="B85" s="14">
        <f>'[1]Auto Regression'!C86</f>
        <v>84</v>
      </c>
      <c r="C85" s="7">
        <f>'[1]Auto Regression'!D86</f>
        <v>-0.14105760717368199</v>
      </c>
      <c r="D85" s="8">
        <f>'AR regression summary'!$B$17+('AR regression summary'!$B$18*Error!C84)</f>
        <v>-9.0552005860726592E-2</v>
      </c>
      <c r="E85" s="7">
        <f t="shared" si="1"/>
        <v>-5.0505601312955395E-2</v>
      </c>
    </row>
    <row r="86" spans="2:5" x14ac:dyDescent="0.3">
      <c r="B86" s="14">
        <f>'[1]Auto Regression'!C87</f>
        <v>85</v>
      </c>
      <c r="C86" s="7">
        <f>'[1]Auto Regression'!D87</f>
        <v>-0.12942933154030456</v>
      </c>
      <c r="D86" s="8">
        <f>'AR regression summary'!$B$17+('AR regression summary'!$B$18*Error!C85)</f>
        <v>0.14292750031616877</v>
      </c>
      <c r="E86" s="7">
        <f t="shared" si="1"/>
        <v>-0.2723568318564733</v>
      </c>
    </row>
    <row r="87" spans="2:5" x14ac:dyDescent="0.3">
      <c r="B87" s="14">
        <f>'[1]Auto Regression'!C88</f>
        <v>86</v>
      </c>
      <c r="C87" s="7">
        <f>'[1]Auto Regression'!D88</f>
        <v>0.53949868650608224</v>
      </c>
      <c r="D87" s="8">
        <f>'AR regression summary'!$B$17+('AR regression summary'!$B$18*Error!C86)</f>
        <v>0.14011416120571746</v>
      </c>
      <c r="E87" s="7">
        <f t="shared" si="1"/>
        <v>0.39938452530036478</v>
      </c>
    </row>
    <row r="88" spans="2:5" x14ac:dyDescent="0.3">
      <c r="B88" s="14">
        <f>'[1]Auto Regression'!C89</f>
        <v>87</v>
      </c>
      <c r="C88" s="7">
        <f>'[1]Auto Regression'!D89</f>
        <v>0.10999231066210591</v>
      </c>
      <c r="D88" s="8">
        <f>'AR regression summary'!$B$17+('AR regression summary'!$B$18*Error!C87)</f>
        <v>-2.1725944290645616E-2</v>
      </c>
      <c r="E88" s="7">
        <f t="shared" si="1"/>
        <v>0.13171825495275152</v>
      </c>
    </row>
    <row r="89" spans="2:5" x14ac:dyDescent="0.3">
      <c r="B89" s="14">
        <f>'[1]Auto Regression'!C90</f>
        <v>88</v>
      </c>
      <c r="C89" s="7">
        <f>'[1]Auto Regression'!D90</f>
        <v>0.43820651987187276</v>
      </c>
      <c r="D89" s="8">
        <f>'AR regression summary'!$B$17+('AR regression summary'!$B$18*Error!C88)</f>
        <v>8.2188610493527631E-2</v>
      </c>
      <c r="E89" s="7">
        <f t="shared" si="1"/>
        <v>0.3560179093783451</v>
      </c>
    </row>
    <row r="90" spans="2:5" x14ac:dyDescent="0.3">
      <c r="B90" s="14">
        <f>'[1]Auto Regression'!C91</f>
        <v>89</v>
      </c>
      <c r="C90" s="7">
        <f>'[1]Auto Regression'!D91</f>
        <v>0.11064023713021776</v>
      </c>
      <c r="D90" s="8">
        <f>'AR regression summary'!$B$17+('AR regression summary'!$B$18*Error!C89)</f>
        <v>2.7806311431537167E-3</v>
      </c>
      <c r="E90" s="7">
        <f t="shared" si="1"/>
        <v>0.10785960598706404</v>
      </c>
    </row>
    <row r="91" spans="2:5" x14ac:dyDescent="0.3">
      <c r="B91" s="14">
        <f>'[1]Auto Regression'!C92</f>
        <v>90</v>
      </c>
      <c r="C91" s="7">
        <f>'[1]Auto Regression'!D92</f>
        <v>0.74520807361116681</v>
      </c>
      <c r="D91" s="8">
        <f>'AR regression summary'!$B$17+('AR regression summary'!$B$18*Error!C90)</f>
        <v>8.2031851492373298E-2</v>
      </c>
      <c r="E91" s="7">
        <f t="shared" si="1"/>
        <v>0.66317622211879357</v>
      </c>
    </row>
    <row r="92" spans="2:5" x14ac:dyDescent="0.3">
      <c r="B92" s="14">
        <f>'[1]Auto Regression'!C93</f>
        <v>91</v>
      </c>
      <c r="C92" s="7">
        <f>'[1]Auto Regression'!D93</f>
        <v>-0.62632632298330115</v>
      </c>
      <c r="D92" s="8">
        <f>'AR regression summary'!$B$17+('AR regression summary'!$B$18*Error!C91)</f>
        <v>-7.1495169098882649E-2</v>
      </c>
      <c r="E92" s="7">
        <f t="shared" si="1"/>
        <v>-0.5548311538844185</v>
      </c>
    </row>
    <row r="93" spans="2:5" x14ac:dyDescent="0.3">
      <c r="B93" s="14">
        <f>'[1]Auto Regression'!C94</f>
        <v>92</v>
      </c>
      <c r="C93" s="7">
        <f>'[1]Auto Regression'!D94</f>
        <v>0.83038886999555395</v>
      </c>
      <c r="D93" s="8">
        <f>'AR regression summary'!$B$17+('AR regression summary'!$B$18*Error!C92)</f>
        <v>0.2603331673565159</v>
      </c>
      <c r="E93" s="7">
        <f t="shared" si="1"/>
        <v>0.57005570263903804</v>
      </c>
    </row>
    <row r="94" spans="2:5" x14ac:dyDescent="0.3">
      <c r="B94" s="14">
        <f>'[1]Auto Regression'!C95</f>
        <v>93</v>
      </c>
      <c r="C94" s="7">
        <f>'[1]Auto Regression'!D95</f>
        <v>-0.22198285544604701</v>
      </c>
      <c r="D94" s="8">
        <f>'AR regression summary'!$B$17+('AR regression summary'!$B$18*Error!C93)</f>
        <v>-9.2103767783946938E-2</v>
      </c>
      <c r="E94" s="7">
        <f t="shared" si="1"/>
        <v>-0.12987908766210007</v>
      </c>
    </row>
    <row r="95" spans="2:5" x14ac:dyDescent="0.3">
      <c r="B95" s="14">
        <f>'[1]Auto Regression'!C96</f>
        <v>94</v>
      </c>
      <c r="C95" s="7">
        <f>'[1]Auto Regression'!D96</f>
        <v>-0.31602818029938007</v>
      </c>
      <c r="D95" s="8">
        <f>'AR regression summary'!$B$17+('AR regression summary'!$B$18*Error!C94)</f>
        <v>0.16250651384884862</v>
      </c>
      <c r="E95" s="7">
        <f t="shared" si="1"/>
        <v>-0.47853469414822869</v>
      </c>
    </row>
    <row r="96" spans="2:5" x14ac:dyDescent="0.3">
      <c r="B96" s="14">
        <f>'[1]Auto Regression'!C97</f>
        <v>95</v>
      </c>
      <c r="C96" s="7">
        <f>'[1]Auto Regression'!D97</f>
        <v>0.18039296786006886</v>
      </c>
      <c r="D96" s="8">
        <f>'AR regression summary'!$B$17+('AR regression summary'!$B$18*Error!C95)</f>
        <v>0.18525979205680032</v>
      </c>
      <c r="E96" s="7">
        <f t="shared" si="1"/>
        <v>-4.8668241967314563E-3</v>
      </c>
    </row>
    <row r="97" spans="2:5" x14ac:dyDescent="0.3">
      <c r="B97" s="14">
        <f>'[1]Auto Regression'!C98</f>
        <v>96</v>
      </c>
      <c r="C97" s="7">
        <f>'[1]Auto Regression'!D98</f>
        <v>-0.81611085755428192</v>
      </c>
      <c r="D97" s="8">
        <f>'AR regression summary'!$B$17+('AR regression summary'!$B$18*Error!C96)</f>
        <v>6.5155911188740062E-2</v>
      </c>
      <c r="E97" s="7">
        <f t="shared" si="1"/>
        <v>-0.88126676874302201</v>
      </c>
    </row>
    <row r="98" spans="2:5" x14ac:dyDescent="0.3">
      <c r="B98" s="14">
        <f>'[1]Auto Regression'!C99</f>
        <v>97</v>
      </c>
      <c r="C98" s="7">
        <f>'[1]Auto Regression'!D99</f>
        <v>-0.13294471117958295</v>
      </c>
      <c r="D98" s="8">
        <f>'AR regression summary'!$B$17+('AR regression summary'!$B$18*Error!C97)</f>
        <v>0.30624954141758232</v>
      </c>
      <c r="E98" s="7">
        <f t="shared" si="1"/>
        <v>-0.43919425259716527</v>
      </c>
    </row>
    <row r="99" spans="2:5" x14ac:dyDescent="0.3">
      <c r="B99" s="14">
        <f>'[1]Auto Regression'!C100</f>
        <v>98</v>
      </c>
      <c r="C99" s="7">
        <f>'[1]Auto Regression'!D100</f>
        <v>0.70388032272997592</v>
      </c>
      <c r="D99" s="8">
        <f>'AR regression summary'!$B$17+('AR regression summary'!$B$18*Error!C98)</f>
        <v>0.14096467037311955</v>
      </c>
      <c r="E99" s="7">
        <f t="shared" si="1"/>
        <v>0.56291565235685637</v>
      </c>
    </row>
    <row r="100" spans="2:5" x14ac:dyDescent="0.3">
      <c r="B100" s="14">
        <f>'[1]Auto Regression'!C101</f>
        <v>99</v>
      </c>
      <c r="C100" s="7">
        <f>'[1]Auto Regression'!D101</f>
        <v>-0.25282760871789378</v>
      </c>
      <c r="D100" s="8">
        <f>'AR regression summary'!$B$17+('AR regression summary'!$B$18*Error!C99)</f>
        <v>-6.1496354006530612E-2</v>
      </c>
      <c r="E100" s="7">
        <f t="shared" si="1"/>
        <v>-0.19133125471136317</v>
      </c>
    </row>
    <row r="101" spans="2:5" x14ac:dyDescent="0.3">
      <c r="B101" s="14">
        <f>'[1]Auto Regression'!C102</f>
        <v>100</v>
      </c>
      <c r="C101" s="7">
        <f>'[1]Auto Regression'!D102</f>
        <v>-0.5660067246887035</v>
      </c>
      <c r="D101" s="8">
        <f>'AR regression summary'!$B$17+('AR regression summary'!$B$18*Error!C100)</f>
        <v>0.16996907781515391</v>
      </c>
      <c r="E101" s="7">
        <f t="shared" si="1"/>
        <v>-0.73597580250385741</v>
      </c>
    </row>
    <row r="102" spans="2:5" x14ac:dyDescent="0.3">
      <c r="B102" s="14">
        <f>'[1]Auto Regression'!C103</f>
        <v>101</v>
      </c>
      <c r="C102" s="7">
        <f>'[1]Auto Regression'!D103</f>
        <v>5.6151090611850307E-2</v>
      </c>
      <c r="D102" s="8">
        <f>'AR regression summary'!$B$17+('AR regression summary'!$B$18*Error!C101)</f>
        <v>0.24573947433105947</v>
      </c>
      <c r="E102" s="7">
        <f t="shared" si="1"/>
        <v>-0.18958838371920916</v>
      </c>
    </row>
    <row r="103" spans="2:5" x14ac:dyDescent="0.3">
      <c r="B103" s="14">
        <f>'[1]Auto Regression'!C104</f>
        <v>102</v>
      </c>
      <c r="C103" s="7">
        <f>'[1]Auto Regression'!D104</f>
        <v>0.12297025079746859</v>
      </c>
      <c r="D103" s="8">
        <f>'AR regression summary'!$B$17+('AR regression summary'!$B$18*Error!C102)</f>
        <v>9.5214927971504784E-2</v>
      </c>
      <c r="E103" s="7">
        <f t="shared" si="1"/>
        <v>2.775532282596381E-2</v>
      </c>
    </row>
    <row r="104" spans="2:5" x14ac:dyDescent="0.3">
      <c r="B104" s="14">
        <f>'[1]Auto Regression'!C105</f>
        <v>103</v>
      </c>
      <c r="C104" s="7">
        <f>'[1]Auto Regression'!D105</f>
        <v>-0.10761320953306885</v>
      </c>
      <c r="D104" s="8">
        <f>'AR regression summary'!$B$17+('AR regression summary'!$B$18*Error!C103)</f>
        <v>7.9048734237833207E-2</v>
      </c>
      <c r="E104" s="7">
        <f t="shared" si="1"/>
        <v>-0.18666194377090206</v>
      </c>
    </row>
    <row r="105" spans="2:5" x14ac:dyDescent="0.3">
      <c r="B105" s="14">
        <f>'[1]Auto Regression'!C106</f>
        <v>104</v>
      </c>
      <c r="C105" s="7">
        <f>'[1]Auto Regression'!D106</f>
        <v>9.200207551288031E-2</v>
      </c>
      <c r="D105" s="8">
        <f>'AR regression summary'!$B$17+('AR regression summary'!$B$18*Error!C104)</f>
        <v>0.13483597970947203</v>
      </c>
      <c r="E105" s="7">
        <f t="shared" si="1"/>
        <v>-4.2833904196591721E-2</v>
      </c>
    </row>
    <row r="106" spans="2:5" x14ac:dyDescent="0.3">
      <c r="B106" s="14">
        <f>'[1]Auto Regression'!C107</f>
        <v>105</v>
      </c>
      <c r="C106" s="7">
        <f>'[1]Auto Regression'!D107</f>
        <v>-0.72298273159469595</v>
      </c>
      <c r="D106" s="8">
        <f>'AR regression summary'!$B$17+('AR regression summary'!$B$18*Error!C105)</f>
        <v>8.6541158863318229E-2</v>
      </c>
      <c r="E106" s="7">
        <f t="shared" si="1"/>
        <v>-0.80952389045801421</v>
      </c>
    </row>
    <row r="107" spans="2:5" x14ac:dyDescent="0.3">
      <c r="B107" s="14">
        <f>'[1]Auto Regression'!C108</f>
        <v>106</v>
      </c>
      <c r="C107" s="7">
        <f>'[1]Auto Regression'!D108</f>
        <v>-3.7672839760405807E-2</v>
      </c>
      <c r="D107" s="8">
        <f>'AR regression summary'!$B$17+('AR regression summary'!$B$18*Error!C106)</f>
        <v>0.28371816984490461</v>
      </c>
      <c r="E107" s="7">
        <f t="shared" si="1"/>
        <v>-0.32139100960531042</v>
      </c>
    </row>
    <row r="108" spans="2:5" x14ac:dyDescent="0.3">
      <c r="B108" s="14">
        <f>'[1]Auto Regression'!C109</f>
        <v>107</v>
      </c>
      <c r="C108" s="7">
        <f>'[1]Auto Regression'!D109</f>
        <v>0.1818466190721395</v>
      </c>
      <c r="D108" s="8">
        <f>'AR regression summary'!$B$17+('AR regression summary'!$B$18*Error!C107)</f>
        <v>0.11791464211096603</v>
      </c>
      <c r="E108" s="7">
        <f t="shared" si="1"/>
        <v>6.3931976961173476E-2</v>
      </c>
    </row>
    <row r="109" spans="2:5" x14ac:dyDescent="0.3">
      <c r="B109" s="14">
        <f>'[1]Auto Regression'!C110</f>
        <v>108</v>
      </c>
      <c r="C109" s="7">
        <f>'[1]Auto Regression'!D110</f>
        <v>3.3741298233643136E-2</v>
      </c>
      <c r="D109" s="8">
        <f>'AR regression summary'!$B$17+('AR regression summary'!$B$18*Error!C108)</f>
        <v>6.4804215551586913E-2</v>
      </c>
      <c r="E109" s="7">
        <f t="shared" si="1"/>
        <v>-3.1062917317943778E-2</v>
      </c>
    </row>
    <row r="110" spans="2:5" x14ac:dyDescent="0.3">
      <c r="B110" s="14">
        <f>'[1]Auto Regression'!C111</f>
        <v>109</v>
      </c>
      <c r="C110" s="7">
        <f>'[1]Auto Regression'!D111</f>
        <v>-0.74967145126901436</v>
      </c>
      <c r="D110" s="8">
        <f>'AR regression summary'!$B$17+('AR regression summary'!$B$18*Error!C109)</f>
        <v>0.10063674177627376</v>
      </c>
      <c r="E110" s="7">
        <f t="shared" si="1"/>
        <v>-0.85030819304528815</v>
      </c>
    </row>
    <row r="111" spans="2:5" x14ac:dyDescent="0.3">
      <c r="B111" s="14">
        <f>'[1]Auto Regression'!C112</f>
        <v>110</v>
      </c>
      <c r="C111" s="7">
        <f>'[1]Auto Regression'!D112</f>
        <v>0.51697952430277638</v>
      </c>
      <c r="D111" s="8">
        <f>'AR regression summary'!$B$17+('AR regression summary'!$B$18*Error!C110)</f>
        <v>0.29017522515000177</v>
      </c>
      <c r="E111" s="7">
        <f t="shared" si="1"/>
        <v>0.22680429915277461</v>
      </c>
    </row>
    <row r="112" spans="2:5" x14ac:dyDescent="0.3">
      <c r="B112" s="14">
        <f>'[1]Auto Regression'!C113</f>
        <v>111</v>
      </c>
      <c r="C112" s="7">
        <f>'[1]Auto Regression'!D113</f>
        <v>-8.5621663882063714E-2</v>
      </c>
      <c r="D112" s="8">
        <f>'AR regression summary'!$B$17+('AR regression summary'!$B$18*Error!C111)</f>
        <v>-1.6277669605849837E-2</v>
      </c>
      <c r="E112" s="7">
        <f t="shared" si="1"/>
        <v>-6.9343994276213877E-2</v>
      </c>
    </row>
    <row r="113" spans="2:5" x14ac:dyDescent="0.3">
      <c r="B113" s="14">
        <f>'[1]Auto Regression'!C114</f>
        <v>112</v>
      </c>
      <c r="C113" s="7">
        <f>'[1]Auto Regression'!D114</f>
        <v>0.86477444088679434</v>
      </c>
      <c r="D113" s="8">
        <f>'AR regression summary'!$B$17+('AR regression summary'!$B$18*Error!C112)</f>
        <v>0.12951535630580419</v>
      </c>
      <c r="E113" s="7">
        <f t="shared" si="1"/>
        <v>0.7352590845809901</v>
      </c>
    </row>
    <row r="114" spans="2:5" x14ac:dyDescent="0.3">
      <c r="B114" s="14">
        <f>'[1]Auto Regression'!C115</f>
        <v>113</v>
      </c>
      <c r="C114" s="7">
        <f>'[1]Auto Regression'!D115</f>
        <v>-0.23258778773368149</v>
      </c>
      <c r="D114" s="8">
        <f>'AR regression summary'!$B$17+('AR regression summary'!$B$18*Error!C113)</f>
        <v>-0.10042299536966473</v>
      </c>
      <c r="E114" s="7">
        <f t="shared" si="1"/>
        <v>-0.13216479236401676</v>
      </c>
    </row>
    <row r="115" spans="2:5" x14ac:dyDescent="0.3">
      <c r="B115" s="14">
        <f>'[1]Auto Regression'!C116</f>
        <v>114</v>
      </c>
      <c r="C115" s="7">
        <f>'[1]Auto Regression'!D116</f>
        <v>0.66885774146940946</v>
      </c>
      <c r="D115" s="8">
        <f>'AR regression summary'!$B$17+('AR regression summary'!$B$18*Error!C114)</f>
        <v>0.1650722657891322</v>
      </c>
      <c r="E115" s="7">
        <f t="shared" si="1"/>
        <v>0.50378547568027732</v>
      </c>
    </row>
    <row r="116" spans="2:5" x14ac:dyDescent="0.3">
      <c r="B116" s="14">
        <f>'[1]Auto Regression'!C117</f>
        <v>115</v>
      </c>
      <c r="C116" s="7">
        <f>'[1]Auto Regression'!D117</f>
        <v>0.24665856096377503</v>
      </c>
      <c r="D116" s="8">
        <f>'AR regression summary'!$B$17+('AR regression summary'!$B$18*Error!C115)</f>
        <v>-5.3023008455063553E-2</v>
      </c>
      <c r="E116" s="7">
        <f t="shared" si="1"/>
        <v>0.29968156941883861</v>
      </c>
    </row>
    <row r="117" spans="2:5" x14ac:dyDescent="0.3">
      <c r="B117" s="14">
        <f>'[1]Auto Regression'!C118</f>
        <v>116</v>
      </c>
      <c r="C117" s="7">
        <f>'[1]Auto Regression'!D118</f>
        <v>0.38670137614567679</v>
      </c>
      <c r="D117" s="8">
        <f>'AR regression summary'!$B$17+('AR regression summary'!$B$18*Error!C116)</f>
        <v>4.912364719417199E-2</v>
      </c>
      <c r="E117" s="7">
        <f t="shared" si="1"/>
        <v>0.33757772895150479</v>
      </c>
    </row>
    <row r="118" spans="2:5" x14ac:dyDescent="0.3">
      <c r="B118" s="14">
        <f>'[1]Auto Regression'!C119</f>
        <v>117</v>
      </c>
      <c r="C118" s="7">
        <f>'[1]Auto Regression'!D119</f>
        <v>-0.21081488872535559</v>
      </c>
      <c r="D118" s="8">
        <f>'AR regression summary'!$B$17+('AR regression summary'!$B$18*Error!C117)</f>
        <v>1.5241759499829699E-2</v>
      </c>
      <c r="E118" s="7">
        <f t="shared" si="1"/>
        <v>-0.22605664822518529</v>
      </c>
    </row>
    <row r="119" spans="2:5" x14ac:dyDescent="0.3">
      <c r="B119" s="14">
        <f>'[1]Auto Regression'!C120</f>
        <v>0</v>
      </c>
      <c r="C119" s="7"/>
      <c r="D119" s="8"/>
      <c r="E119" s="8"/>
    </row>
    <row r="120" spans="2:5" x14ac:dyDescent="0.3">
      <c r="B120" s="14">
        <f>'[1]Auto Regression'!C121</f>
        <v>0</v>
      </c>
      <c r="C120" s="7"/>
      <c r="D120" s="8"/>
      <c r="E120" s="8"/>
    </row>
    <row r="121" spans="2:5" x14ac:dyDescent="0.3">
      <c r="C121" s="4"/>
    </row>
    <row r="122" spans="2:5" x14ac:dyDescent="0.3">
      <c r="C122" s="4"/>
    </row>
    <row r="123" spans="2:5" x14ac:dyDescent="0.3">
      <c r="C123" s="4"/>
    </row>
    <row r="124" spans="2:5" x14ac:dyDescent="0.3">
      <c r="C124" s="4"/>
    </row>
    <row r="125" spans="2:5" x14ac:dyDescent="0.3">
      <c r="C125" s="4"/>
    </row>
    <row r="126" spans="2:5" x14ac:dyDescent="0.3">
      <c r="C126" s="4"/>
    </row>
    <row r="127" spans="2:5" x14ac:dyDescent="0.3">
      <c r="C127" s="4"/>
    </row>
    <row r="128" spans="2:5" x14ac:dyDescent="0.3">
      <c r="C128" s="4"/>
    </row>
    <row r="129" spans="3:3" x14ac:dyDescent="0.3">
      <c r="C129" s="4"/>
    </row>
    <row r="130" spans="3:3" x14ac:dyDescent="0.3">
      <c r="C130" s="4"/>
    </row>
    <row r="131" spans="3:3" x14ac:dyDescent="0.3">
      <c r="C131" s="4"/>
    </row>
    <row r="132" spans="3:3" x14ac:dyDescent="0.3">
      <c r="C132" s="4"/>
    </row>
    <row r="133" spans="3:3" x14ac:dyDescent="0.3">
      <c r="C133" s="4"/>
    </row>
    <row r="134" spans="3:3" x14ac:dyDescent="0.3">
      <c r="C134" s="4"/>
    </row>
    <row r="135" spans="3:3" x14ac:dyDescent="0.3">
      <c r="C135" s="4"/>
    </row>
    <row r="136" spans="3:3" x14ac:dyDescent="0.3">
      <c r="C136" s="4"/>
    </row>
    <row r="137" spans="3:3" x14ac:dyDescent="0.3">
      <c r="C137" s="4"/>
    </row>
    <row r="138" spans="3:3" x14ac:dyDescent="0.3">
      <c r="C138" s="4"/>
    </row>
    <row r="139" spans="3:3" x14ac:dyDescent="0.3">
      <c r="C139" s="4"/>
    </row>
    <row r="140" spans="3:3" x14ac:dyDescent="0.3">
      <c r="C140" s="4"/>
    </row>
    <row r="141" spans="3:3" x14ac:dyDescent="0.3">
      <c r="C141" s="4"/>
    </row>
    <row r="142" spans="3:3" x14ac:dyDescent="0.3">
      <c r="C142" s="4"/>
    </row>
    <row r="143" spans="3:3" x14ac:dyDescent="0.3">
      <c r="C143" s="4"/>
    </row>
    <row r="144" spans="3:3" x14ac:dyDescent="0.3">
      <c r="C144" s="4"/>
    </row>
    <row r="145" spans="3:3" x14ac:dyDescent="0.3">
      <c r="C145" s="4"/>
    </row>
    <row r="146" spans="3:3" x14ac:dyDescent="0.3">
      <c r="C146" s="4"/>
    </row>
    <row r="147" spans="3:3" x14ac:dyDescent="0.3">
      <c r="C147" s="4"/>
    </row>
    <row r="148" spans="3:3" x14ac:dyDescent="0.3">
      <c r="C148" s="4"/>
    </row>
    <row r="149" spans="3:3" x14ac:dyDescent="0.3">
      <c r="C149" s="4"/>
    </row>
    <row r="150" spans="3:3" x14ac:dyDescent="0.3">
      <c r="C150" s="4"/>
    </row>
    <row r="151" spans="3:3" x14ac:dyDescent="0.3">
      <c r="C151" s="4"/>
    </row>
    <row r="152" spans="3:3" x14ac:dyDescent="0.3">
      <c r="C152" s="4"/>
    </row>
    <row r="153" spans="3:3" x14ac:dyDescent="0.3">
      <c r="C153" s="4"/>
    </row>
    <row r="154" spans="3:3" x14ac:dyDescent="0.3">
      <c r="C154" s="4"/>
    </row>
    <row r="155" spans="3:3" x14ac:dyDescent="0.3">
      <c r="C155" s="4"/>
    </row>
    <row r="156" spans="3:3" x14ac:dyDescent="0.3">
      <c r="C156" s="4"/>
    </row>
    <row r="157" spans="3:3" x14ac:dyDescent="0.3">
      <c r="C157" s="4"/>
    </row>
    <row r="158" spans="3:3" x14ac:dyDescent="0.3">
      <c r="C158" s="4"/>
    </row>
    <row r="159" spans="3:3" x14ac:dyDescent="0.3">
      <c r="C159" s="4"/>
    </row>
    <row r="160" spans="3:3" x14ac:dyDescent="0.3">
      <c r="C160" s="4"/>
    </row>
    <row r="161" spans="3:3" x14ac:dyDescent="0.3">
      <c r="C161" s="4"/>
    </row>
    <row r="162" spans="3:3" x14ac:dyDescent="0.3">
      <c r="C162" s="4"/>
    </row>
    <row r="163" spans="3:3" x14ac:dyDescent="0.3">
      <c r="C163" s="4"/>
    </row>
    <row r="164" spans="3:3" x14ac:dyDescent="0.3">
      <c r="C164" s="4"/>
    </row>
    <row r="165" spans="3:3" x14ac:dyDescent="0.3">
      <c r="C165" s="4"/>
    </row>
    <row r="166" spans="3:3" x14ac:dyDescent="0.3">
      <c r="C166" s="4"/>
    </row>
    <row r="167" spans="3:3" x14ac:dyDescent="0.3">
      <c r="C167" s="4"/>
    </row>
    <row r="168" spans="3:3" x14ac:dyDescent="0.3">
      <c r="C168" s="4"/>
    </row>
    <row r="169" spans="3:3" x14ac:dyDescent="0.3">
      <c r="C169" s="4"/>
    </row>
    <row r="170" spans="3:3" x14ac:dyDescent="0.3">
      <c r="C170" s="4"/>
    </row>
    <row r="171" spans="3:3" x14ac:dyDescent="0.3">
      <c r="C171" s="4"/>
    </row>
    <row r="172" spans="3:3" x14ac:dyDescent="0.3">
      <c r="C172" s="4"/>
    </row>
    <row r="173" spans="3:3" x14ac:dyDescent="0.3">
      <c r="C173" s="4"/>
    </row>
    <row r="174" spans="3:3" x14ac:dyDescent="0.3">
      <c r="C174" s="4"/>
    </row>
    <row r="175" spans="3:3" x14ac:dyDescent="0.3">
      <c r="C175" s="4"/>
    </row>
    <row r="176" spans="3:3" x14ac:dyDescent="0.3">
      <c r="C176" s="4"/>
    </row>
    <row r="177" spans="3:3" x14ac:dyDescent="0.3">
      <c r="C177" s="4"/>
    </row>
    <row r="178" spans="3:3" x14ac:dyDescent="0.3">
      <c r="C178" s="4"/>
    </row>
    <row r="179" spans="3:3" x14ac:dyDescent="0.3">
      <c r="C179" s="4"/>
    </row>
    <row r="180" spans="3:3" x14ac:dyDescent="0.3">
      <c r="C180" s="4"/>
    </row>
    <row r="181" spans="3:3" x14ac:dyDescent="0.3">
      <c r="C181" s="4"/>
    </row>
    <row r="182" spans="3:3" x14ac:dyDescent="0.3">
      <c r="C182" s="4"/>
    </row>
    <row r="183" spans="3:3" x14ac:dyDescent="0.3">
      <c r="C183" s="4"/>
    </row>
    <row r="184" spans="3:3" x14ac:dyDescent="0.3">
      <c r="C184" s="4"/>
    </row>
    <row r="185" spans="3:3" x14ac:dyDescent="0.3">
      <c r="C185" s="4"/>
    </row>
    <row r="186" spans="3:3" x14ac:dyDescent="0.3">
      <c r="C186" s="4"/>
    </row>
    <row r="187" spans="3:3" x14ac:dyDescent="0.3">
      <c r="C187" s="4"/>
    </row>
    <row r="188" spans="3:3" x14ac:dyDescent="0.3">
      <c r="C188" s="4"/>
    </row>
    <row r="189" spans="3:3" x14ac:dyDescent="0.3">
      <c r="C189" s="4"/>
    </row>
    <row r="190" spans="3:3" x14ac:dyDescent="0.3">
      <c r="C190" s="4"/>
    </row>
    <row r="191" spans="3:3" x14ac:dyDescent="0.3">
      <c r="C191" s="4"/>
    </row>
    <row r="192" spans="3:3" x14ac:dyDescent="0.3">
      <c r="C192" s="4"/>
    </row>
    <row r="193" spans="3:3" x14ac:dyDescent="0.3">
      <c r="C193" s="4"/>
    </row>
    <row r="194" spans="3:3" x14ac:dyDescent="0.3">
      <c r="C194" s="4"/>
    </row>
    <row r="195" spans="3:3" x14ac:dyDescent="0.3">
      <c r="C195" s="4"/>
    </row>
    <row r="196" spans="3:3" x14ac:dyDescent="0.3">
      <c r="C196" s="4"/>
    </row>
    <row r="197" spans="3:3" x14ac:dyDescent="0.3">
      <c r="C197" s="4"/>
    </row>
    <row r="198" spans="3:3" x14ac:dyDescent="0.3">
      <c r="C198" s="4"/>
    </row>
    <row r="199" spans="3:3" x14ac:dyDescent="0.3">
      <c r="C199" s="4"/>
    </row>
    <row r="200" spans="3:3" x14ac:dyDescent="0.3">
      <c r="C200" s="4"/>
    </row>
    <row r="201" spans="3:3" x14ac:dyDescent="0.3">
      <c r="C201" s="4"/>
    </row>
    <row r="202" spans="3:3" x14ac:dyDescent="0.3">
      <c r="C202" s="4"/>
    </row>
    <row r="203" spans="3:3" x14ac:dyDescent="0.3">
      <c r="C203" s="4"/>
    </row>
    <row r="204" spans="3:3" x14ac:dyDescent="0.3">
      <c r="C204" s="4"/>
    </row>
    <row r="205" spans="3:3" x14ac:dyDescent="0.3">
      <c r="C205" s="4"/>
    </row>
    <row r="206" spans="3:3" x14ac:dyDescent="0.3">
      <c r="C206" s="4"/>
    </row>
    <row r="207" spans="3:3" x14ac:dyDescent="0.3">
      <c r="C207" s="4"/>
    </row>
    <row r="208" spans="3:3" x14ac:dyDescent="0.3">
      <c r="C208" s="4"/>
    </row>
    <row r="209" spans="3:3" x14ac:dyDescent="0.3">
      <c r="C209" s="4"/>
    </row>
    <row r="210" spans="3:3" x14ac:dyDescent="0.3">
      <c r="C210" s="4"/>
    </row>
    <row r="211" spans="3:3" x14ac:dyDescent="0.3">
      <c r="C211" s="4"/>
    </row>
    <row r="212" spans="3:3" x14ac:dyDescent="0.3">
      <c r="C212" s="4"/>
    </row>
    <row r="213" spans="3:3" x14ac:dyDescent="0.3">
      <c r="C213" s="4"/>
    </row>
    <row r="214" spans="3:3" x14ac:dyDescent="0.3">
      <c r="C214" s="4"/>
    </row>
    <row r="215" spans="3:3" x14ac:dyDescent="0.3">
      <c r="C215" s="4"/>
    </row>
    <row r="216" spans="3:3" x14ac:dyDescent="0.3">
      <c r="C216" s="4"/>
    </row>
    <row r="217" spans="3:3" x14ac:dyDescent="0.3">
      <c r="C217" s="4"/>
    </row>
    <row r="218" spans="3:3" x14ac:dyDescent="0.3">
      <c r="C218" s="4"/>
    </row>
    <row r="219" spans="3:3" x14ac:dyDescent="0.3">
      <c r="C219" s="4"/>
    </row>
    <row r="220" spans="3:3" x14ac:dyDescent="0.3">
      <c r="C220" s="4"/>
    </row>
    <row r="221" spans="3:3" x14ac:dyDescent="0.3">
      <c r="C221" s="4"/>
    </row>
    <row r="222" spans="3:3" x14ac:dyDescent="0.3">
      <c r="C222" s="4"/>
    </row>
    <row r="223" spans="3:3" x14ac:dyDescent="0.3">
      <c r="C223" s="4"/>
    </row>
    <row r="224" spans="3:3" x14ac:dyDescent="0.3">
      <c r="C224" s="4"/>
    </row>
    <row r="225" spans="3:3" x14ac:dyDescent="0.3">
      <c r="C225" s="4"/>
    </row>
    <row r="226" spans="3:3" x14ac:dyDescent="0.3">
      <c r="C226" s="4"/>
    </row>
    <row r="227" spans="3:3" x14ac:dyDescent="0.3">
      <c r="C227" s="4"/>
    </row>
    <row r="228" spans="3:3" x14ac:dyDescent="0.3">
      <c r="C228" s="4"/>
    </row>
    <row r="229" spans="3:3" x14ac:dyDescent="0.3">
      <c r="C229" s="4"/>
    </row>
    <row r="230" spans="3:3" x14ac:dyDescent="0.3">
      <c r="C230" s="4"/>
    </row>
    <row r="231" spans="3:3" x14ac:dyDescent="0.3">
      <c r="C231" s="4"/>
    </row>
    <row r="232" spans="3:3" x14ac:dyDescent="0.3">
      <c r="C232" s="4"/>
    </row>
    <row r="233" spans="3:3" x14ac:dyDescent="0.3">
      <c r="C233" s="4"/>
    </row>
    <row r="234" spans="3:3" x14ac:dyDescent="0.3">
      <c r="C234" s="4"/>
    </row>
    <row r="235" spans="3:3" x14ac:dyDescent="0.3">
      <c r="C235" s="4"/>
    </row>
    <row r="236" spans="3:3" x14ac:dyDescent="0.3">
      <c r="C236" s="4"/>
    </row>
    <row r="237" spans="3:3" x14ac:dyDescent="0.3">
      <c r="C237" s="4"/>
    </row>
    <row r="238" spans="3:3" x14ac:dyDescent="0.3">
      <c r="C238" s="4"/>
    </row>
    <row r="239" spans="3:3" x14ac:dyDescent="0.3">
      <c r="C239" s="4"/>
    </row>
    <row r="240" spans="3:3" x14ac:dyDescent="0.3">
      <c r="C240" s="4"/>
    </row>
    <row r="241" spans="3:3" x14ac:dyDescent="0.3">
      <c r="C241" s="4"/>
    </row>
    <row r="242" spans="3:3" x14ac:dyDescent="0.3">
      <c r="C242" s="4"/>
    </row>
    <row r="243" spans="3:3" x14ac:dyDescent="0.3">
      <c r="C243" s="4"/>
    </row>
    <row r="244" spans="3:3" x14ac:dyDescent="0.3">
      <c r="C244" s="4"/>
    </row>
    <row r="245" spans="3:3" x14ac:dyDescent="0.3">
      <c r="C245" s="4"/>
    </row>
    <row r="246" spans="3:3" x14ac:dyDescent="0.3">
      <c r="C246" s="4"/>
    </row>
    <row r="247" spans="3:3" x14ac:dyDescent="0.3">
      <c r="C247" s="4"/>
    </row>
    <row r="248" spans="3:3" x14ac:dyDescent="0.3">
      <c r="C248" s="4"/>
    </row>
    <row r="249" spans="3:3" x14ac:dyDescent="0.3">
      <c r="C249" s="4"/>
    </row>
    <row r="250" spans="3:3" x14ac:dyDescent="0.3">
      <c r="C250" s="4"/>
    </row>
    <row r="251" spans="3:3" x14ac:dyDescent="0.3">
      <c r="C251" s="4"/>
    </row>
    <row r="252" spans="3:3" x14ac:dyDescent="0.3">
      <c r="C252" s="4"/>
    </row>
    <row r="253" spans="3:3" x14ac:dyDescent="0.3">
      <c r="C253" s="4"/>
    </row>
    <row r="254" spans="3:3" x14ac:dyDescent="0.3">
      <c r="C254" s="4"/>
    </row>
    <row r="255" spans="3:3" x14ac:dyDescent="0.3">
      <c r="C255" s="4"/>
    </row>
    <row r="256" spans="3:3" x14ac:dyDescent="0.3">
      <c r="C256" s="4"/>
    </row>
    <row r="257" spans="3:3" x14ac:dyDescent="0.3">
      <c r="C257" s="4"/>
    </row>
    <row r="258" spans="3:3" x14ac:dyDescent="0.3">
      <c r="C258" s="4"/>
    </row>
    <row r="259" spans="3:3" x14ac:dyDescent="0.3">
      <c r="C259" s="4"/>
    </row>
    <row r="260" spans="3:3" x14ac:dyDescent="0.3">
      <c r="C260" s="4"/>
    </row>
    <row r="261" spans="3:3" x14ac:dyDescent="0.3">
      <c r="C261" s="4"/>
    </row>
    <row r="262" spans="3:3" x14ac:dyDescent="0.3">
      <c r="C262" s="4"/>
    </row>
    <row r="263" spans="3:3" x14ac:dyDescent="0.3">
      <c r="C263" s="4"/>
    </row>
    <row r="264" spans="3:3" x14ac:dyDescent="0.3">
      <c r="C264" s="4"/>
    </row>
    <row r="265" spans="3:3" x14ac:dyDescent="0.3">
      <c r="C265" s="4"/>
    </row>
    <row r="266" spans="3:3" x14ac:dyDescent="0.3">
      <c r="C266" s="4"/>
    </row>
    <row r="267" spans="3:3" x14ac:dyDescent="0.3">
      <c r="C267" s="4"/>
    </row>
    <row r="268" spans="3:3" x14ac:dyDescent="0.3">
      <c r="C268" s="4"/>
    </row>
    <row r="269" spans="3:3" x14ac:dyDescent="0.3">
      <c r="C269" s="4"/>
    </row>
    <row r="270" spans="3:3" x14ac:dyDescent="0.3">
      <c r="C270" s="4"/>
    </row>
    <row r="271" spans="3:3" x14ac:dyDescent="0.3">
      <c r="C271" s="4"/>
    </row>
    <row r="272" spans="3:3" x14ac:dyDescent="0.3">
      <c r="C272" s="4"/>
    </row>
    <row r="273" spans="3:3" x14ac:dyDescent="0.3">
      <c r="C273" s="4"/>
    </row>
    <row r="274" spans="3:3" x14ac:dyDescent="0.3">
      <c r="C274" s="4"/>
    </row>
    <row r="275" spans="3:3" x14ac:dyDescent="0.3">
      <c r="C275" s="4"/>
    </row>
    <row r="276" spans="3:3" x14ac:dyDescent="0.3">
      <c r="C276" s="4"/>
    </row>
    <row r="277" spans="3:3" x14ac:dyDescent="0.3">
      <c r="C277" s="4"/>
    </row>
    <row r="278" spans="3:3" x14ac:dyDescent="0.3">
      <c r="C278" s="4"/>
    </row>
    <row r="279" spans="3:3" x14ac:dyDescent="0.3">
      <c r="C279" s="4"/>
    </row>
    <row r="280" spans="3:3" x14ac:dyDescent="0.3">
      <c r="C280" s="4"/>
    </row>
    <row r="281" spans="3:3" x14ac:dyDescent="0.3">
      <c r="C281" s="4"/>
    </row>
    <row r="282" spans="3:3" x14ac:dyDescent="0.3">
      <c r="C282" s="4"/>
    </row>
    <row r="283" spans="3:3" x14ac:dyDescent="0.3">
      <c r="C283" s="4"/>
    </row>
    <row r="284" spans="3:3" x14ac:dyDescent="0.3">
      <c r="C284" s="4"/>
    </row>
    <row r="285" spans="3:3" x14ac:dyDescent="0.3">
      <c r="C285" s="4"/>
    </row>
    <row r="286" spans="3:3" x14ac:dyDescent="0.3">
      <c r="C286" s="4"/>
    </row>
    <row r="287" spans="3:3" x14ac:dyDescent="0.3">
      <c r="C287" s="4"/>
    </row>
    <row r="288" spans="3:3" x14ac:dyDescent="0.3">
      <c r="C288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0"/>
  <sheetViews>
    <sheetView tabSelected="1" workbookViewId="0">
      <selection activeCell="C5" sqref="C5"/>
    </sheetView>
  </sheetViews>
  <sheetFormatPr defaultRowHeight="14.4" x14ac:dyDescent="0.3"/>
  <cols>
    <col min="1" max="1" width="2.88671875" customWidth="1"/>
    <col min="2" max="2" width="10.109375" style="15" bestFit="1" customWidth="1"/>
    <col min="3" max="4" width="9.21875" bestFit="1" customWidth="1"/>
  </cols>
  <sheetData>
    <row r="2" spans="2:4" x14ac:dyDescent="0.3">
      <c r="B2" s="1" t="s">
        <v>1</v>
      </c>
      <c r="C2" s="1" t="s">
        <v>32</v>
      </c>
      <c r="D2" s="1" t="s">
        <v>33</v>
      </c>
    </row>
    <row r="3" spans="2:4" x14ac:dyDescent="0.3">
      <c r="B3" s="14">
        <v>2</v>
      </c>
      <c r="C3" s="8"/>
      <c r="D3" s="8"/>
    </row>
    <row r="4" spans="2:4" x14ac:dyDescent="0.3">
      <c r="B4" s="14">
        <v>3</v>
      </c>
      <c r="C4" s="7">
        <v>-0.43164284420905863</v>
      </c>
      <c r="D4" s="7"/>
    </row>
    <row r="5" spans="2:4" x14ac:dyDescent="0.3">
      <c r="B5" s="14">
        <v>4</v>
      </c>
      <c r="C5" s="7">
        <v>9.2022338332072628E-2</v>
      </c>
      <c r="D5" s="7">
        <f>C4</f>
        <v>-0.43164284420905863</v>
      </c>
    </row>
    <row r="6" spans="2:4" x14ac:dyDescent="0.3">
      <c r="B6" s="14">
        <v>5</v>
      </c>
      <c r="C6" s="7">
        <v>0.79923609232590953</v>
      </c>
      <c r="D6" s="7">
        <f t="shared" ref="D6:D69" si="0">C5</f>
        <v>9.2022338332072628E-2</v>
      </c>
    </row>
    <row r="7" spans="2:4" x14ac:dyDescent="0.3">
      <c r="B7" s="14">
        <v>6</v>
      </c>
      <c r="C7" s="7">
        <v>2.7394182663281808E-2</v>
      </c>
      <c r="D7" s="7">
        <f t="shared" si="0"/>
        <v>0.79923609232590953</v>
      </c>
    </row>
    <row r="8" spans="2:4" x14ac:dyDescent="0.3">
      <c r="B8" s="14">
        <v>7</v>
      </c>
      <c r="C8" s="7">
        <v>0.38062461603050229</v>
      </c>
      <c r="D8" s="7">
        <f t="shared" si="0"/>
        <v>2.7394182663281808E-2</v>
      </c>
    </row>
    <row r="9" spans="2:4" x14ac:dyDescent="0.3">
      <c r="B9" s="14">
        <v>8</v>
      </c>
      <c r="C9" s="7">
        <v>0.34966322602697059</v>
      </c>
      <c r="D9" s="7">
        <f t="shared" si="0"/>
        <v>0.38062461603050229</v>
      </c>
    </row>
    <row r="10" spans="2:4" x14ac:dyDescent="0.3">
      <c r="B10" s="14">
        <v>9</v>
      </c>
      <c r="C10" s="7">
        <v>0.24330284546056469</v>
      </c>
      <c r="D10" s="7">
        <f t="shared" si="0"/>
        <v>0.34966322602697059</v>
      </c>
    </row>
    <row r="11" spans="2:4" x14ac:dyDescent="0.3">
      <c r="B11" s="14">
        <v>10</v>
      </c>
      <c r="C11" s="7">
        <v>-7.8917374570516813E-2</v>
      </c>
      <c r="D11" s="7">
        <f t="shared" si="0"/>
        <v>0.24330284546056469</v>
      </c>
    </row>
    <row r="12" spans="2:4" x14ac:dyDescent="0.3">
      <c r="B12" s="14">
        <v>11</v>
      </c>
      <c r="C12" s="7">
        <v>0.41137915747671344</v>
      </c>
      <c r="D12" s="7">
        <f t="shared" si="0"/>
        <v>-7.8917374570516813E-2</v>
      </c>
    </row>
    <row r="13" spans="2:4" x14ac:dyDescent="0.3">
      <c r="B13" s="14">
        <v>12</v>
      </c>
      <c r="C13" s="7">
        <v>0.1347843132106688</v>
      </c>
      <c r="D13" s="7">
        <f t="shared" si="0"/>
        <v>0.41137915747671344</v>
      </c>
    </row>
    <row r="14" spans="2:4" x14ac:dyDescent="0.3">
      <c r="B14" s="14">
        <v>13</v>
      </c>
      <c r="C14" s="7">
        <v>-0.93598612670465631</v>
      </c>
      <c r="D14" s="7">
        <f t="shared" si="0"/>
        <v>0.1347843132106688</v>
      </c>
    </row>
    <row r="15" spans="2:4" x14ac:dyDescent="0.3">
      <c r="B15" s="14">
        <v>14</v>
      </c>
      <c r="C15" s="7">
        <v>9.1978617802842555E-2</v>
      </c>
      <c r="D15" s="7">
        <f t="shared" si="0"/>
        <v>-0.93598612670465631</v>
      </c>
    </row>
    <row r="16" spans="2:4" x14ac:dyDescent="0.3">
      <c r="B16" s="14">
        <v>15</v>
      </c>
      <c r="C16" s="7">
        <v>-0.14995634841658345</v>
      </c>
      <c r="D16" s="7">
        <f t="shared" si="0"/>
        <v>9.1978617802842555E-2</v>
      </c>
    </row>
    <row r="17" spans="2:4" x14ac:dyDescent="0.3">
      <c r="B17" s="14">
        <v>16</v>
      </c>
      <c r="C17" s="7">
        <v>-0.24452876250815891</v>
      </c>
      <c r="D17" s="7">
        <f t="shared" si="0"/>
        <v>-0.14995634841658345</v>
      </c>
    </row>
    <row r="18" spans="2:4" x14ac:dyDescent="0.3">
      <c r="B18" s="14">
        <v>17</v>
      </c>
      <c r="C18" s="7">
        <v>-0.3080916252313427</v>
      </c>
      <c r="D18" s="7">
        <f t="shared" si="0"/>
        <v>-0.24452876250815891</v>
      </c>
    </row>
    <row r="19" spans="2:4" x14ac:dyDescent="0.3">
      <c r="B19" s="14">
        <v>18</v>
      </c>
      <c r="C19" s="7">
        <v>-0.54386742664151244</v>
      </c>
      <c r="D19" s="7">
        <f t="shared" si="0"/>
        <v>-0.3080916252313427</v>
      </c>
    </row>
    <row r="20" spans="2:4" x14ac:dyDescent="0.3">
      <c r="B20" s="14">
        <v>19</v>
      </c>
      <c r="C20" s="7">
        <v>-1.738354788018126E-2</v>
      </c>
      <c r="D20" s="7">
        <f t="shared" si="0"/>
        <v>-0.54386742664151244</v>
      </c>
    </row>
    <row r="21" spans="2:4" x14ac:dyDescent="0.3">
      <c r="B21" s="14">
        <v>20</v>
      </c>
      <c r="C21" s="7">
        <v>-0.23168539113788067</v>
      </c>
      <c r="D21" s="7">
        <f t="shared" si="0"/>
        <v>-1.738354788018126E-2</v>
      </c>
    </row>
    <row r="22" spans="2:4" x14ac:dyDescent="0.3">
      <c r="B22" s="14">
        <v>21</v>
      </c>
      <c r="C22" s="7">
        <v>-0.1875040904016928</v>
      </c>
      <c r="D22" s="7">
        <f t="shared" si="0"/>
        <v>-0.23168539113788067</v>
      </c>
    </row>
    <row r="23" spans="2:4" x14ac:dyDescent="0.3">
      <c r="B23" s="14">
        <v>22</v>
      </c>
      <c r="C23" s="7">
        <v>-0.68766107014164291</v>
      </c>
      <c r="D23" s="7">
        <f t="shared" si="0"/>
        <v>-0.1875040904016928</v>
      </c>
    </row>
    <row r="24" spans="2:4" x14ac:dyDescent="0.3">
      <c r="B24" s="14">
        <v>23</v>
      </c>
      <c r="C24" s="7">
        <v>-0.38431753238814065</v>
      </c>
      <c r="D24" s="7">
        <f t="shared" si="0"/>
        <v>-0.68766107014164291</v>
      </c>
    </row>
    <row r="25" spans="2:4" x14ac:dyDescent="0.3">
      <c r="B25" s="14">
        <v>24</v>
      </c>
      <c r="C25" s="7">
        <v>-0.10777695922214592</v>
      </c>
      <c r="D25" s="7">
        <f t="shared" si="0"/>
        <v>-0.38431753238814065</v>
      </c>
    </row>
    <row r="26" spans="2:4" x14ac:dyDescent="0.3">
      <c r="B26" s="14">
        <v>25</v>
      </c>
      <c r="C26" s="7">
        <v>0.34060748140797481</v>
      </c>
      <c r="D26" s="7">
        <f t="shared" si="0"/>
        <v>-0.10777695922214592</v>
      </c>
    </row>
    <row r="27" spans="2:4" x14ac:dyDescent="0.3">
      <c r="B27" s="14">
        <v>26</v>
      </c>
      <c r="C27" s="7">
        <v>-0.7015675009657496</v>
      </c>
      <c r="D27" s="7">
        <f t="shared" si="0"/>
        <v>0.34060748140797481</v>
      </c>
    </row>
    <row r="28" spans="2:4" x14ac:dyDescent="0.3">
      <c r="B28" s="14">
        <v>27</v>
      </c>
      <c r="C28" s="7">
        <v>5.784647593377823E-2</v>
      </c>
      <c r="D28" s="7">
        <f t="shared" si="0"/>
        <v>-0.7015675009657496</v>
      </c>
    </row>
    <row r="29" spans="2:4" x14ac:dyDescent="0.3">
      <c r="B29" s="14">
        <v>28</v>
      </c>
      <c r="C29" s="7">
        <v>-0.56003239859170106</v>
      </c>
      <c r="D29" s="7">
        <f t="shared" si="0"/>
        <v>5.784647593377823E-2</v>
      </c>
    </row>
    <row r="30" spans="2:4" x14ac:dyDescent="0.3">
      <c r="B30" s="14">
        <v>29</v>
      </c>
      <c r="C30" s="7">
        <v>0.38254235244292822</v>
      </c>
      <c r="D30" s="7">
        <f t="shared" si="0"/>
        <v>-0.56003239859170106</v>
      </c>
    </row>
    <row r="31" spans="2:4" x14ac:dyDescent="0.3">
      <c r="B31" s="14">
        <v>30</v>
      </c>
      <c r="C31" s="7">
        <v>-9.9054300035195636E-2</v>
      </c>
      <c r="D31" s="7">
        <f t="shared" si="0"/>
        <v>0.38254235244292822</v>
      </c>
    </row>
    <row r="32" spans="2:4" x14ac:dyDescent="0.3">
      <c r="B32" s="14">
        <v>31</v>
      </c>
      <c r="C32" s="7">
        <v>0.23454794716653296</v>
      </c>
      <c r="D32" s="7">
        <f t="shared" si="0"/>
        <v>-9.9054300035195636E-2</v>
      </c>
    </row>
    <row r="33" spans="2:4" x14ac:dyDescent="0.3">
      <c r="B33" s="14">
        <v>32</v>
      </c>
      <c r="C33" s="7">
        <v>-8.5362005617645481E-2</v>
      </c>
      <c r="D33" s="7">
        <f t="shared" si="0"/>
        <v>0.23454794716653296</v>
      </c>
    </row>
    <row r="34" spans="2:4" x14ac:dyDescent="0.3">
      <c r="B34" s="14">
        <v>33</v>
      </c>
      <c r="C34" s="7">
        <v>-0.33126579250957461</v>
      </c>
      <c r="D34" s="7">
        <f t="shared" si="0"/>
        <v>-8.5362005617645481E-2</v>
      </c>
    </row>
    <row r="35" spans="2:4" x14ac:dyDescent="0.3">
      <c r="B35" s="14">
        <v>34</v>
      </c>
      <c r="C35" s="7">
        <v>0.35278274259339304</v>
      </c>
      <c r="D35" s="7">
        <f t="shared" si="0"/>
        <v>-0.33126579250957461</v>
      </c>
    </row>
    <row r="36" spans="2:4" x14ac:dyDescent="0.3">
      <c r="B36" s="14">
        <v>35</v>
      </c>
      <c r="C36" s="7">
        <v>0.50811909503911235</v>
      </c>
      <c r="D36" s="7">
        <f t="shared" si="0"/>
        <v>0.35278274259339304</v>
      </c>
    </row>
    <row r="37" spans="2:4" x14ac:dyDescent="0.3">
      <c r="B37" s="14">
        <v>36</v>
      </c>
      <c r="C37" s="7">
        <v>0.12425230647435934</v>
      </c>
      <c r="D37" s="7">
        <f t="shared" si="0"/>
        <v>0.50811909503911235</v>
      </c>
    </row>
    <row r="38" spans="2:4" x14ac:dyDescent="0.3">
      <c r="B38" s="14">
        <v>37</v>
      </c>
      <c r="C38" s="7">
        <v>0.40510176898158634</v>
      </c>
      <c r="D38" s="7">
        <f t="shared" si="0"/>
        <v>0.12425230647435934</v>
      </c>
    </row>
    <row r="39" spans="2:4" x14ac:dyDescent="0.3">
      <c r="B39" s="14">
        <v>38</v>
      </c>
      <c r="C39" s="7">
        <v>0.41050552046699929</v>
      </c>
      <c r="D39" s="7">
        <f t="shared" si="0"/>
        <v>0.40510176898158634</v>
      </c>
    </row>
    <row r="40" spans="2:4" x14ac:dyDescent="0.3">
      <c r="B40" s="14">
        <v>39</v>
      </c>
      <c r="C40" s="7">
        <v>0.66546976888710807</v>
      </c>
      <c r="D40" s="7">
        <f t="shared" si="0"/>
        <v>0.41050552046699929</v>
      </c>
    </row>
    <row r="41" spans="2:4" x14ac:dyDescent="0.3">
      <c r="B41" s="14">
        <v>40</v>
      </c>
      <c r="C41" s="7">
        <v>-0.25417663062740192</v>
      </c>
      <c r="D41" s="7">
        <f t="shared" si="0"/>
        <v>0.66546976888710807</v>
      </c>
    </row>
    <row r="42" spans="2:4" x14ac:dyDescent="0.3">
      <c r="B42" s="14">
        <v>41</v>
      </c>
      <c r="C42" s="7">
        <v>-5.9867503861825822E-2</v>
      </c>
      <c r="D42" s="7">
        <f t="shared" si="0"/>
        <v>-0.25417663062740192</v>
      </c>
    </row>
    <row r="43" spans="2:4" x14ac:dyDescent="0.3">
      <c r="B43" s="14">
        <v>42</v>
      </c>
      <c r="C43" s="7">
        <v>0.98538169504207085</v>
      </c>
      <c r="D43" s="7">
        <f t="shared" si="0"/>
        <v>-5.9867503861825822E-2</v>
      </c>
    </row>
    <row r="44" spans="2:4" x14ac:dyDescent="0.3">
      <c r="B44" s="14">
        <v>43</v>
      </c>
      <c r="C44" s="7">
        <v>9.6551650854971305E-3</v>
      </c>
      <c r="D44" s="7">
        <f t="shared" si="0"/>
        <v>0.98538169504207085</v>
      </c>
    </row>
    <row r="45" spans="2:4" x14ac:dyDescent="0.3">
      <c r="B45" s="14">
        <v>44</v>
      </c>
      <c r="C45" s="7">
        <v>0.57557343323123256</v>
      </c>
      <c r="D45" s="7">
        <f t="shared" si="0"/>
        <v>9.6551650854971305E-3</v>
      </c>
    </row>
    <row r="46" spans="2:4" x14ac:dyDescent="0.3">
      <c r="B46" s="14">
        <v>45</v>
      </c>
      <c r="C46" s="7">
        <v>0.10102505876885215</v>
      </c>
      <c r="D46" s="7">
        <f t="shared" si="0"/>
        <v>0.57557343323123256</v>
      </c>
    </row>
    <row r="47" spans="2:4" x14ac:dyDescent="0.3">
      <c r="B47" s="14">
        <v>46</v>
      </c>
      <c r="C47" s="7">
        <v>-0.28662073795543475</v>
      </c>
      <c r="D47" s="7">
        <f t="shared" si="0"/>
        <v>0.10102505876885215</v>
      </c>
    </row>
    <row r="48" spans="2:4" x14ac:dyDescent="0.3">
      <c r="B48" s="14">
        <v>47</v>
      </c>
      <c r="C48" s="7">
        <v>0.1743659394738325</v>
      </c>
      <c r="D48" s="7">
        <f t="shared" si="0"/>
        <v>-0.28662073795543475</v>
      </c>
    </row>
    <row r="49" spans="2:4" x14ac:dyDescent="0.3">
      <c r="B49" s="14">
        <v>48</v>
      </c>
      <c r="C49" s="7">
        <v>0.29461654297146112</v>
      </c>
      <c r="D49" s="7">
        <f t="shared" si="0"/>
        <v>0.1743659394738325</v>
      </c>
    </row>
    <row r="50" spans="2:4" x14ac:dyDescent="0.3">
      <c r="B50" s="14">
        <v>49</v>
      </c>
      <c r="C50" s="7">
        <v>0.92862339544154382</v>
      </c>
      <c r="D50" s="7">
        <f t="shared" si="0"/>
        <v>0.29461654297146112</v>
      </c>
    </row>
    <row r="51" spans="2:4" x14ac:dyDescent="0.3">
      <c r="B51" s="14">
        <v>50</v>
      </c>
      <c r="C51" s="7">
        <v>0.27548010412991386</v>
      </c>
      <c r="D51" s="7">
        <f t="shared" si="0"/>
        <v>0.92862339544154382</v>
      </c>
    </row>
    <row r="52" spans="2:4" x14ac:dyDescent="0.3">
      <c r="B52" s="14">
        <v>51</v>
      </c>
      <c r="C52" s="7">
        <v>-0.14596284942487714</v>
      </c>
      <c r="D52" s="7">
        <f t="shared" si="0"/>
        <v>0.27548010412991386</v>
      </c>
    </row>
    <row r="53" spans="2:4" x14ac:dyDescent="0.3">
      <c r="B53" s="14">
        <v>52</v>
      </c>
      <c r="C53" s="7">
        <v>-0.48038762082530884</v>
      </c>
      <c r="D53" s="7">
        <f t="shared" si="0"/>
        <v>-0.14596284942487714</v>
      </c>
    </row>
    <row r="54" spans="2:4" x14ac:dyDescent="0.3">
      <c r="B54" s="14">
        <v>53</v>
      </c>
      <c r="C54" s="7">
        <v>-0.19362168105108413</v>
      </c>
      <c r="D54" s="7">
        <f t="shared" si="0"/>
        <v>-0.48038762082530884</v>
      </c>
    </row>
    <row r="55" spans="2:4" x14ac:dyDescent="0.3">
      <c r="B55" s="14">
        <v>54</v>
      </c>
      <c r="C55" s="7">
        <v>-0.42670024292175607</v>
      </c>
      <c r="D55" s="7">
        <f t="shared" si="0"/>
        <v>-0.19362168105108413</v>
      </c>
    </row>
    <row r="56" spans="2:4" x14ac:dyDescent="0.3">
      <c r="B56" s="14">
        <v>55</v>
      </c>
      <c r="C56" s="7">
        <v>0.19204506965453799</v>
      </c>
      <c r="D56" s="7">
        <f t="shared" si="0"/>
        <v>-0.42670024292175607</v>
      </c>
    </row>
    <row r="57" spans="2:4" x14ac:dyDescent="0.3">
      <c r="B57" s="14">
        <v>56</v>
      </c>
      <c r="C57" s="7">
        <v>-2.6096413809133662E-3</v>
      </c>
      <c r="D57" s="7">
        <f t="shared" si="0"/>
        <v>0.19204506965453799</v>
      </c>
    </row>
    <row r="58" spans="2:4" x14ac:dyDescent="0.3">
      <c r="B58" s="14">
        <v>57</v>
      </c>
      <c r="C58" s="7">
        <v>-0.56169331515415111</v>
      </c>
      <c r="D58" s="7">
        <f t="shared" si="0"/>
        <v>-2.6096413809133662E-3</v>
      </c>
    </row>
    <row r="59" spans="2:4" x14ac:dyDescent="0.3">
      <c r="B59" s="14">
        <v>58</v>
      </c>
      <c r="C59" s="7">
        <v>-0.43193783648596523</v>
      </c>
      <c r="D59" s="7">
        <f t="shared" si="0"/>
        <v>-0.56169331515415111</v>
      </c>
    </row>
    <row r="60" spans="2:4" x14ac:dyDescent="0.3">
      <c r="B60" s="14">
        <v>59</v>
      </c>
      <c r="C60" s="7">
        <v>-0.5247895194219615</v>
      </c>
      <c r="D60" s="7">
        <f t="shared" si="0"/>
        <v>-0.43193783648596523</v>
      </c>
    </row>
    <row r="61" spans="2:4" x14ac:dyDescent="0.3">
      <c r="B61" s="14">
        <v>60</v>
      </c>
      <c r="C61" s="7">
        <v>0.13828547226103444</v>
      </c>
      <c r="D61" s="7">
        <f t="shared" si="0"/>
        <v>-0.5247895194219615</v>
      </c>
    </row>
    <row r="62" spans="2:4" x14ac:dyDescent="0.3">
      <c r="B62" s="14">
        <v>61</v>
      </c>
      <c r="C62" s="7">
        <v>-8.099848665352781E-2</v>
      </c>
      <c r="D62" s="7">
        <f t="shared" si="0"/>
        <v>0.13828547226103444</v>
      </c>
    </row>
    <row r="63" spans="2:4" x14ac:dyDescent="0.3">
      <c r="B63" s="14">
        <v>62</v>
      </c>
      <c r="C63" s="7">
        <v>-0.39635704957447848</v>
      </c>
      <c r="D63" s="7">
        <f t="shared" si="0"/>
        <v>-8.099848665352781E-2</v>
      </c>
    </row>
    <row r="64" spans="2:4" x14ac:dyDescent="0.3">
      <c r="B64" s="14">
        <v>63</v>
      </c>
      <c r="C64" s="7">
        <v>0.17148571775208893</v>
      </c>
      <c r="D64" s="7">
        <f t="shared" si="0"/>
        <v>-0.39635704957447848</v>
      </c>
    </row>
    <row r="65" spans="2:4" x14ac:dyDescent="0.3">
      <c r="B65" s="14">
        <v>64</v>
      </c>
      <c r="C65" s="7">
        <v>-0.56542757737152127</v>
      </c>
      <c r="D65" s="7">
        <f t="shared" si="0"/>
        <v>0.17148571775208893</v>
      </c>
    </row>
    <row r="66" spans="2:4" x14ac:dyDescent="0.3">
      <c r="B66" s="14">
        <v>65</v>
      </c>
      <c r="C66" s="7">
        <v>-0.70665523649690232</v>
      </c>
      <c r="D66" s="7">
        <f t="shared" si="0"/>
        <v>-0.56542757737152127</v>
      </c>
    </row>
    <row r="67" spans="2:4" x14ac:dyDescent="0.3">
      <c r="B67" s="14">
        <v>66</v>
      </c>
      <c r="C67" s="7">
        <v>-0.13996232189085139</v>
      </c>
      <c r="D67" s="7">
        <f t="shared" si="0"/>
        <v>-0.70665523649690232</v>
      </c>
    </row>
    <row r="68" spans="2:4" x14ac:dyDescent="0.3">
      <c r="B68" s="14">
        <v>67</v>
      </c>
      <c r="C68" s="7">
        <v>0.15717490563536229</v>
      </c>
      <c r="D68" s="7">
        <f t="shared" si="0"/>
        <v>-0.13996232189085139</v>
      </c>
    </row>
    <row r="69" spans="2:4" x14ac:dyDescent="0.3">
      <c r="B69" s="14">
        <v>68</v>
      </c>
      <c r="C69" s="7">
        <v>-0.3326571160078306</v>
      </c>
      <c r="D69" s="7">
        <f t="shared" si="0"/>
        <v>0.15717490563536229</v>
      </c>
    </row>
    <row r="70" spans="2:4" x14ac:dyDescent="0.3">
      <c r="B70" s="14">
        <v>69</v>
      </c>
      <c r="C70" s="7">
        <v>-9.5896066441086614E-2</v>
      </c>
      <c r="D70" s="7">
        <f t="shared" ref="D70:D118" si="1">C69</f>
        <v>-0.3326571160078306</v>
      </c>
    </row>
    <row r="71" spans="2:4" x14ac:dyDescent="0.3">
      <c r="B71" s="14">
        <v>70</v>
      </c>
      <c r="C71" s="7">
        <v>-0.80079159592759785</v>
      </c>
      <c r="D71" s="7">
        <f t="shared" si="1"/>
        <v>-9.5896066441086614E-2</v>
      </c>
    </row>
    <row r="72" spans="2:4" x14ac:dyDescent="0.3">
      <c r="B72" s="14">
        <v>71</v>
      </c>
      <c r="C72" s="7">
        <v>0.75989541016986772</v>
      </c>
      <c r="D72" s="7">
        <f t="shared" si="1"/>
        <v>-0.80079159592759785</v>
      </c>
    </row>
    <row r="73" spans="2:4" x14ac:dyDescent="0.3">
      <c r="B73" s="14">
        <v>72</v>
      </c>
      <c r="C73" s="7">
        <v>0.46064354913881334</v>
      </c>
      <c r="D73" s="7">
        <f t="shared" si="1"/>
        <v>0.75989541016986772</v>
      </c>
    </row>
    <row r="74" spans="2:4" x14ac:dyDescent="0.3">
      <c r="B74" s="14">
        <v>73</v>
      </c>
      <c r="C74" s="7">
        <v>0.29399355838183788</v>
      </c>
      <c r="D74" s="7">
        <f t="shared" si="1"/>
        <v>0.46064354913881334</v>
      </c>
    </row>
    <row r="75" spans="2:4" x14ac:dyDescent="0.3">
      <c r="B75" s="14">
        <v>74</v>
      </c>
      <c r="C75" s="7">
        <v>-0.35705353933069162</v>
      </c>
      <c r="D75" s="7">
        <f t="shared" si="1"/>
        <v>0.29399355838183788</v>
      </c>
    </row>
    <row r="76" spans="2:4" x14ac:dyDescent="0.3">
      <c r="B76" s="14">
        <v>75</v>
      </c>
      <c r="C76" s="7">
        <v>0.8047358545996568</v>
      </c>
      <c r="D76" s="7">
        <f t="shared" si="1"/>
        <v>-0.35705353933069162</v>
      </c>
    </row>
    <row r="77" spans="2:4" x14ac:dyDescent="0.3">
      <c r="B77" s="14">
        <v>76</v>
      </c>
      <c r="C77" s="7">
        <v>-0.50878696833144987</v>
      </c>
      <c r="D77" s="7">
        <f t="shared" si="1"/>
        <v>0.8047358545996568</v>
      </c>
    </row>
    <row r="78" spans="2:4" x14ac:dyDescent="0.3">
      <c r="B78" s="14">
        <v>77</v>
      </c>
      <c r="C78" s="7">
        <v>0.67127424673306357</v>
      </c>
      <c r="D78" s="7">
        <f t="shared" si="1"/>
        <v>-0.50878696833144987</v>
      </c>
    </row>
    <row r="79" spans="2:4" x14ac:dyDescent="0.3">
      <c r="B79" s="14">
        <v>78</v>
      </c>
      <c r="C79" s="7">
        <v>0.44691400011781335</v>
      </c>
      <c r="D79" s="7">
        <f t="shared" si="1"/>
        <v>0.67127424673306357</v>
      </c>
    </row>
    <row r="80" spans="2:4" x14ac:dyDescent="0.3">
      <c r="B80" s="14">
        <v>79</v>
      </c>
      <c r="C80" s="7">
        <v>4.6554418045332766E-2</v>
      </c>
      <c r="D80" s="7">
        <f t="shared" si="1"/>
        <v>0.44691400011781335</v>
      </c>
    </row>
    <row r="81" spans="2:4" x14ac:dyDescent="0.3">
      <c r="B81" s="14">
        <v>80</v>
      </c>
      <c r="C81" s="7">
        <v>0.73397987669362219</v>
      </c>
      <c r="D81" s="7">
        <f t="shared" si="1"/>
        <v>4.6554418045332766E-2</v>
      </c>
    </row>
    <row r="82" spans="2:4" x14ac:dyDescent="0.3">
      <c r="B82" s="14">
        <v>81</v>
      </c>
      <c r="C82" s="7">
        <v>-0.49330637031118418</v>
      </c>
      <c r="D82" s="7">
        <f t="shared" si="1"/>
        <v>0.73397987669362219</v>
      </c>
    </row>
    <row r="83" spans="2:4" x14ac:dyDescent="0.3">
      <c r="B83" s="14">
        <v>82</v>
      </c>
      <c r="C83" s="7">
        <v>0.43083437949845116</v>
      </c>
      <c r="D83" s="7">
        <f t="shared" si="1"/>
        <v>-0.49330637031118418</v>
      </c>
    </row>
    <row r="84" spans="2:4" x14ac:dyDescent="0.3">
      <c r="B84" s="14">
        <v>83</v>
      </c>
      <c r="C84" s="7">
        <v>0.87991698136225183</v>
      </c>
      <c r="D84" s="7">
        <f t="shared" si="1"/>
        <v>0.43083437949845116</v>
      </c>
    </row>
    <row r="85" spans="2:4" x14ac:dyDescent="0.3">
      <c r="B85" s="14">
        <v>84</v>
      </c>
      <c r="C85" s="7">
        <v>-5.0505601312955395E-2</v>
      </c>
      <c r="D85" s="7">
        <f t="shared" si="1"/>
        <v>0.87991698136225183</v>
      </c>
    </row>
    <row r="86" spans="2:4" x14ac:dyDescent="0.3">
      <c r="B86" s="14">
        <v>85</v>
      </c>
      <c r="C86" s="7">
        <v>-0.2723568318564733</v>
      </c>
      <c r="D86" s="7">
        <f t="shared" si="1"/>
        <v>-5.0505601312955395E-2</v>
      </c>
    </row>
    <row r="87" spans="2:4" x14ac:dyDescent="0.3">
      <c r="B87" s="14">
        <v>86</v>
      </c>
      <c r="C87" s="7">
        <v>0.39938452530036478</v>
      </c>
      <c r="D87" s="7">
        <f t="shared" si="1"/>
        <v>-0.2723568318564733</v>
      </c>
    </row>
    <row r="88" spans="2:4" x14ac:dyDescent="0.3">
      <c r="B88" s="14">
        <v>87</v>
      </c>
      <c r="C88" s="7">
        <v>0.13171825495275152</v>
      </c>
      <c r="D88" s="7">
        <f t="shared" si="1"/>
        <v>0.39938452530036478</v>
      </c>
    </row>
    <row r="89" spans="2:4" x14ac:dyDescent="0.3">
      <c r="B89" s="14">
        <v>88</v>
      </c>
      <c r="C89" s="7">
        <v>0.3560179093783451</v>
      </c>
      <c r="D89" s="7">
        <f t="shared" si="1"/>
        <v>0.13171825495275152</v>
      </c>
    </row>
    <row r="90" spans="2:4" x14ac:dyDescent="0.3">
      <c r="B90" s="14">
        <v>89</v>
      </c>
      <c r="C90" s="7">
        <v>0.10785960598706404</v>
      </c>
      <c r="D90" s="7">
        <f t="shared" si="1"/>
        <v>0.3560179093783451</v>
      </c>
    </row>
    <row r="91" spans="2:4" x14ac:dyDescent="0.3">
      <c r="B91" s="14">
        <v>90</v>
      </c>
      <c r="C91" s="7">
        <v>0.66317622211879357</v>
      </c>
      <c r="D91" s="7">
        <f t="shared" si="1"/>
        <v>0.10785960598706404</v>
      </c>
    </row>
    <row r="92" spans="2:4" x14ac:dyDescent="0.3">
      <c r="B92" s="14">
        <v>91</v>
      </c>
      <c r="C92" s="7">
        <v>-0.5548311538844185</v>
      </c>
      <c r="D92" s="7">
        <f t="shared" si="1"/>
        <v>0.66317622211879357</v>
      </c>
    </row>
    <row r="93" spans="2:4" x14ac:dyDescent="0.3">
      <c r="B93" s="14">
        <v>92</v>
      </c>
      <c r="C93" s="7">
        <v>0.57005570263903804</v>
      </c>
      <c r="D93" s="7">
        <f t="shared" si="1"/>
        <v>-0.5548311538844185</v>
      </c>
    </row>
    <row r="94" spans="2:4" x14ac:dyDescent="0.3">
      <c r="B94" s="14">
        <v>93</v>
      </c>
      <c r="C94" s="7">
        <v>-0.12987908766210007</v>
      </c>
      <c r="D94" s="7">
        <f t="shared" si="1"/>
        <v>0.57005570263903804</v>
      </c>
    </row>
    <row r="95" spans="2:4" x14ac:dyDescent="0.3">
      <c r="B95" s="14">
        <v>94</v>
      </c>
      <c r="C95" s="7">
        <v>-0.47853469414822869</v>
      </c>
      <c r="D95" s="7">
        <f t="shared" si="1"/>
        <v>-0.12987908766210007</v>
      </c>
    </row>
    <row r="96" spans="2:4" x14ac:dyDescent="0.3">
      <c r="B96" s="14">
        <v>95</v>
      </c>
      <c r="C96" s="7">
        <v>-4.8668241967314563E-3</v>
      </c>
      <c r="D96" s="7">
        <f t="shared" si="1"/>
        <v>-0.47853469414822869</v>
      </c>
    </row>
    <row r="97" spans="2:4" x14ac:dyDescent="0.3">
      <c r="B97" s="14">
        <v>96</v>
      </c>
      <c r="C97" s="7">
        <v>-0.88126676874302201</v>
      </c>
      <c r="D97" s="7">
        <f t="shared" si="1"/>
        <v>-4.8668241967314563E-3</v>
      </c>
    </row>
    <row r="98" spans="2:4" x14ac:dyDescent="0.3">
      <c r="B98" s="14">
        <v>97</v>
      </c>
      <c r="C98" s="7">
        <v>-0.43919425259716527</v>
      </c>
      <c r="D98" s="7">
        <f t="shared" si="1"/>
        <v>-0.88126676874302201</v>
      </c>
    </row>
    <row r="99" spans="2:4" x14ac:dyDescent="0.3">
      <c r="B99" s="14">
        <v>98</v>
      </c>
      <c r="C99" s="7">
        <v>0.56291565235685637</v>
      </c>
      <c r="D99" s="7">
        <f t="shared" si="1"/>
        <v>-0.43919425259716527</v>
      </c>
    </row>
    <row r="100" spans="2:4" x14ac:dyDescent="0.3">
      <c r="B100" s="14">
        <v>99</v>
      </c>
      <c r="C100" s="7">
        <v>-0.19133125471136317</v>
      </c>
      <c r="D100" s="7">
        <f t="shared" si="1"/>
        <v>0.56291565235685637</v>
      </c>
    </row>
    <row r="101" spans="2:4" x14ac:dyDescent="0.3">
      <c r="B101" s="14">
        <v>100</v>
      </c>
      <c r="C101" s="7">
        <v>-0.73597580250385741</v>
      </c>
      <c r="D101" s="7">
        <f t="shared" si="1"/>
        <v>-0.19133125471136317</v>
      </c>
    </row>
    <row r="102" spans="2:4" x14ac:dyDescent="0.3">
      <c r="B102" s="14">
        <v>101</v>
      </c>
      <c r="C102" s="7">
        <v>-0.18958838371920916</v>
      </c>
      <c r="D102" s="7">
        <f t="shared" si="1"/>
        <v>-0.73597580250385741</v>
      </c>
    </row>
    <row r="103" spans="2:4" x14ac:dyDescent="0.3">
      <c r="B103" s="14">
        <v>102</v>
      </c>
      <c r="C103" s="7">
        <v>2.775532282596381E-2</v>
      </c>
      <c r="D103" s="7">
        <f t="shared" si="1"/>
        <v>-0.18958838371920916</v>
      </c>
    </row>
    <row r="104" spans="2:4" x14ac:dyDescent="0.3">
      <c r="B104" s="14">
        <v>103</v>
      </c>
      <c r="C104" s="7">
        <v>-0.18666194377090206</v>
      </c>
      <c r="D104" s="7">
        <f t="shared" si="1"/>
        <v>2.775532282596381E-2</v>
      </c>
    </row>
    <row r="105" spans="2:4" x14ac:dyDescent="0.3">
      <c r="B105" s="14">
        <v>104</v>
      </c>
      <c r="C105" s="7">
        <v>-4.2833904196591721E-2</v>
      </c>
      <c r="D105" s="7">
        <f t="shared" si="1"/>
        <v>-0.18666194377090206</v>
      </c>
    </row>
    <row r="106" spans="2:4" x14ac:dyDescent="0.3">
      <c r="B106" s="14">
        <v>105</v>
      </c>
      <c r="C106" s="7">
        <v>-0.80952389045801421</v>
      </c>
      <c r="D106" s="7">
        <f t="shared" si="1"/>
        <v>-4.2833904196591721E-2</v>
      </c>
    </row>
    <row r="107" spans="2:4" x14ac:dyDescent="0.3">
      <c r="B107" s="14">
        <v>106</v>
      </c>
      <c r="C107" s="7">
        <v>-0.32139100960531042</v>
      </c>
      <c r="D107" s="7">
        <f t="shared" si="1"/>
        <v>-0.80952389045801421</v>
      </c>
    </row>
    <row r="108" spans="2:4" x14ac:dyDescent="0.3">
      <c r="B108" s="14">
        <v>107</v>
      </c>
      <c r="C108" s="7">
        <v>6.3931976961173476E-2</v>
      </c>
      <c r="D108" s="7">
        <f t="shared" si="1"/>
        <v>-0.32139100960531042</v>
      </c>
    </row>
    <row r="109" spans="2:4" x14ac:dyDescent="0.3">
      <c r="B109" s="14">
        <v>108</v>
      </c>
      <c r="C109" s="7">
        <v>-3.1062917317943778E-2</v>
      </c>
      <c r="D109" s="7">
        <f t="shared" si="1"/>
        <v>6.3931976961173476E-2</v>
      </c>
    </row>
    <row r="110" spans="2:4" x14ac:dyDescent="0.3">
      <c r="B110" s="14">
        <v>109</v>
      </c>
      <c r="C110" s="7">
        <v>-0.85030819304528815</v>
      </c>
      <c r="D110" s="7">
        <f t="shared" si="1"/>
        <v>-3.1062917317943778E-2</v>
      </c>
    </row>
    <row r="111" spans="2:4" x14ac:dyDescent="0.3">
      <c r="B111" s="14">
        <v>110</v>
      </c>
      <c r="C111" s="7">
        <v>0.22680429915277461</v>
      </c>
      <c r="D111" s="7">
        <f t="shared" si="1"/>
        <v>-0.85030819304528815</v>
      </c>
    </row>
    <row r="112" spans="2:4" x14ac:dyDescent="0.3">
      <c r="B112" s="14">
        <v>111</v>
      </c>
      <c r="C112" s="7">
        <v>-6.9343994276213877E-2</v>
      </c>
      <c r="D112" s="7">
        <f t="shared" si="1"/>
        <v>0.22680429915277461</v>
      </c>
    </row>
    <row r="113" spans="2:4" x14ac:dyDescent="0.3">
      <c r="B113" s="14">
        <v>112</v>
      </c>
      <c r="C113" s="7">
        <v>0.7352590845809901</v>
      </c>
      <c r="D113" s="7">
        <f t="shared" si="1"/>
        <v>-6.9343994276213877E-2</v>
      </c>
    </row>
    <row r="114" spans="2:4" x14ac:dyDescent="0.3">
      <c r="B114" s="14">
        <v>113</v>
      </c>
      <c r="C114" s="7">
        <v>-0.13216479236401676</v>
      </c>
      <c r="D114" s="7">
        <f t="shared" si="1"/>
        <v>0.7352590845809901</v>
      </c>
    </row>
    <row r="115" spans="2:4" x14ac:dyDescent="0.3">
      <c r="B115" s="14">
        <v>114</v>
      </c>
      <c r="C115" s="7">
        <v>0.50378547568027732</v>
      </c>
      <c r="D115" s="7">
        <f t="shared" si="1"/>
        <v>-0.13216479236401676</v>
      </c>
    </row>
    <row r="116" spans="2:4" x14ac:dyDescent="0.3">
      <c r="B116" s="14">
        <v>115</v>
      </c>
      <c r="C116" s="7">
        <v>0.29968156941883861</v>
      </c>
      <c r="D116" s="7">
        <f t="shared" si="1"/>
        <v>0.50378547568027732</v>
      </c>
    </row>
    <row r="117" spans="2:4" x14ac:dyDescent="0.3">
      <c r="B117" s="14">
        <v>116</v>
      </c>
      <c r="C117" s="7">
        <v>0.33757772895150479</v>
      </c>
      <c r="D117" s="7">
        <f t="shared" si="1"/>
        <v>0.29968156941883861</v>
      </c>
    </row>
    <row r="118" spans="2:4" x14ac:dyDescent="0.3">
      <c r="B118" s="14">
        <v>117</v>
      </c>
      <c r="C118" s="7">
        <v>-0.22605664822518529</v>
      </c>
      <c r="D118" s="7">
        <f t="shared" si="1"/>
        <v>0.33757772895150479</v>
      </c>
    </row>
    <row r="119" spans="2:4" x14ac:dyDescent="0.3">
      <c r="B119" s="14"/>
      <c r="C119" s="8"/>
      <c r="D119" s="8"/>
    </row>
    <row r="120" spans="2:4" x14ac:dyDescent="0.3">
      <c r="B120" s="14"/>
      <c r="C120" s="8"/>
      <c r="D12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"/>
  <sheetViews>
    <sheetView workbookViewId="0">
      <selection activeCell="E4" sqref="E4"/>
    </sheetView>
  </sheetViews>
  <sheetFormatPr defaultRowHeight="14.4" x14ac:dyDescent="0.3"/>
  <cols>
    <col min="1" max="1" width="3.88671875" customWidth="1"/>
    <col min="2" max="2" width="17.44140625" bestFit="1" customWidth="1"/>
    <col min="3" max="3" width="12.6640625" bestFit="1" customWidth="1"/>
    <col min="4" max="4" width="13.44140625" bestFit="1" customWidth="1"/>
    <col min="5" max="6" width="12" bestFit="1" customWidth="1"/>
    <col min="7" max="7" width="12.6640625" bestFit="1" customWidth="1"/>
    <col min="8" max="8" width="12" bestFit="1" customWidth="1"/>
    <col min="9" max="9" width="12.6640625" bestFit="1" customWidth="1"/>
    <col min="10" max="10" width="12.109375" bestFit="1" customWidth="1"/>
  </cols>
  <sheetData>
    <row r="2" spans="2:7" x14ac:dyDescent="0.3">
      <c r="B2" t="s">
        <v>6</v>
      </c>
    </row>
    <row r="3" spans="2:7" ht="15" thickBot="1" x14ac:dyDescent="0.35"/>
    <row r="4" spans="2:7" x14ac:dyDescent="0.3">
      <c r="B4" s="13" t="s">
        <v>7</v>
      </c>
      <c r="C4" s="13"/>
    </row>
    <row r="5" spans="2:7" x14ac:dyDescent="0.3">
      <c r="B5" s="10" t="s">
        <v>8</v>
      </c>
      <c r="C5" s="10">
        <v>3.3715576020978404E-2</v>
      </c>
    </row>
    <row r="6" spans="2:7" x14ac:dyDescent="0.3">
      <c r="B6" s="10" t="s">
        <v>9</v>
      </c>
      <c r="C6" s="10">
        <v>1.1367400664263737E-3</v>
      </c>
    </row>
    <row r="7" spans="2:7" x14ac:dyDescent="0.3">
      <c r="B7" s="10" t="s">
        <v>10</v>
      </c>
      <c r="C7" s="10">
        <v>-7.7128174556975199E-3</v>
      </c>
    </row>
    <row r="8" spans="2:7" x14ac:dyDescent="0.3">
      <c r="B8" s="10" t="s">
        <v>11</v>
      </c>
      <c r="C8" s="10">
        <v>0.43975630175016939</v>
      </c>
    </row>
    <row r="9" spans="2:7" ht="15" thickBot="1" x14ac:dyDescent="0.35">
      <c r="B9" s="11" t="s">
        <v>12</v>
      </c>
      <c r="C9" s="11">
        <v>114</v>
      </c>
    </row>
    <row r="11" spans="2:7" ht="15" thickBot="1" x14ac:dyDescent="0.35">
      <c r="B11" t="s">
        <v>13</v>
      </c>
    </row>
    <row r="12" spans="2:7" x14ac:dyDescent="0.3">
      <c r="B12" s="12"/>
      <c r="C12" s="12" t="s">
        <v>17</v>
      </c>
      <c r="D12" s="12" t="s">
        <v>18</v>
      </c>
      <c r="E12" s="12" t="s">
        <v>19</v>
      </c>
      <c r="F12" s="12" t="s">
        <v>20</v>
      </c>
      <c r="G12" s="12" t="s">
        <v>21</v>
      </c>
    </row>
    <row r="13" spans="2:7" x14ac:dyDescent="0.3">
      <c r="B13" s="10" t="s">
        <v>14</v>
      </c>
      <c r="C13" s="10">
        <v>1</v>
      </c>
      <c r="D13" s="10">
        <v>2.4868965238592722E-2</v>
      </c>
      <c r="E13" s="10">
        <v>2.4868965238592722E-2</v>
      </c>
      <c r="F13" s="10">
        <v>0.12859780978902211</v>
      </c>
      <c r="G13" s="10">
        <v>0.72056540404496128</v>
      </c>
    </row>
    <row r="14" spans="2:7" x14ac:dyDescent="0.3">
      <c r="B14" s="10" t="s">
        <v>15</v>
      </c>
      <c r="C14" s="10">
        <v>113</v>
      </c>
      <c r="D14" s="10">
        <v>21.852573356975423</v>
      </c>
      <c r="E14" s="10">
        <v>0.19338560492898604</v>
      </c>
      <c r="F14" s="10"/>
      <c r="G14" s="10"/>
    </row>
    <row r="15" spans="2:7" ht="15" thickBot="1" x14ac:dyDescent="0.35">
      <c r="B15" s="11" t="s">
        <v>16</v>
      </c>
      <c r="C15" s="11">
        <v>114</v>
      </c>
      <c r="D15" s="11">
        <v>21.877442322214016</v>
      </c>
      <c r="E15" s="11"/>
      <c r="F15" s="11"/>
      <c r="G15" s="11"/>
    </row>
    <row r="16" spans="2:7" ht="15" thickBot="1" x14ac:dyDescent="0.35"/>
    <row r="17" spans="2:10" x14ac:dyDescent="0.3">
      <c r="B17" s="12"/>
      <c r="C17" s="12" t="s">
        <v>22</v>
      </c>
      <c r="D17" s="12" t="s">
        <v>11</v>
      </c>
      <c r="E17" s="12" t="s">
        <v>23</v>
      </c>
      <c r="F17" s="12" t="s">
        <v>24</v>
      </c>
      <c r="G17" s="12" t="s">
        <v>25</v>
      </c>
      <c r="H17" s="12" t="s">
        <v>26</v>
      </c>
      <c r="I17" s="12" t="s">
        <v>27</v>
      </c>
      <c r="J17" s="12" t="s">
        <v>28</v>
      </c>
    </row>
    <row r="18" spans="2:10" x14ac:dyDescent="0.3">
      <c r="B18" s="10" t="s">
        <v>5</v>
      </c>
      <c r="C18" s="10">
        <v>0</v>
      </c>
      <c r="D18" s="10" t="e">
        <v>#N/A</v>
      </c>
      <c r="E18" s="10" t="e">
        <v>#N/A</v>
      </c>
      <c r="F18" s="10" t="e">
        <v>#N/A</v>
      </c>
      <c r="G18" s="10" t="e">
        <v>#N/A</v>
      </c>
      <c r="H18" s="10" t="e">
        <v>#N/A</v>
      </c>
      <c r="I18" s="10" t="e">
        <v>#N/A</v>
      </c>
      <c r="J18" s="10" t="e">
        <v>#N/A</v>
      </c>
    </row>
    <row r="19" spans="2:10" ht="15" thickBot="1" x14ac:dyDescent="0.35">
      <c r="B19" s="11" t="s">
        <v>29</v>
      </c>
      <c r="C19" s="11">
        <v>3.3611866636986246E-2</v>
      </c>
      <c r="D19" s="11">
        <v>9.3729401895433898E-2</v>
      </c>
      <c r="E19" s="11">
        <v>0.35860536776372703</v>
      </c>
      <c r="F19" s="11">
        <v>0.72055943740935802</v>
      </c>
      <c r="G19" s="11">
        <v>-0.15208298349793081</v>
      </c>
      <c r="H19" s="11">
        <v>0.21930671677190328</v>
      </c>
      <c r="I19" s="11">
        <v>-0.15208298349793081</v>
      </c>
      <c r="J19" s="11">
        <v>0.21930671677190328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Price data</vt:lpstr>
      <vt:lpstr>First-order Differencing</vt:lpstr>
      <vt:lpstr>AR Data</vt:lpstr>
      <vt:lpstr>AR regression summary</vt:lpstr>
      <vt:lpstr>Error</vt:lpstr>
      <vt:lpstr>MA Data</vt:lpstr>
      <vt:lpstr>MA regression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2022-05-11T15:52:01Z</dcterms:modified>
</cp:coreProperties>
</file>