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cli\Desktop\"/>
    </mc:Choice>
  </mc:AlternateContent>
  <xr:revisionPtr revIDLastSave="0" documentId="13_ncr:1_{BBD546B0-CE06-40D8-9EBC-75AE1050B2F6}" xr6:coauthVersionLast="47" xr6:coauthVersionMax="47" xr10:uidLastSave="{00000000-0000-0000-0000-000000000000}"/>
  <bookViews>
    <workbookView xWindow="-108" yWindow="-108" windowWidth="23256" windowHeight="12456" activeTab="2" xr2:uid="{AC431208-7456-4DFD-B301-2727C6E8841A}"/>
  </bookViews>
  <sheets>
    <sheet name="ADF" sheetId="1" r:id="rId1"/>
    <sheet name="ACF &amp; PACF" sheetId="2" r:id="rId2"/>
    <sheet name="ARI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 a="1"/>
  <c r="AF4" i="2" s="1"/>
  <c r="S15" i="2"/>
  <c r="R15" i="2"/>
  <c r="Q15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1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5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N13" i="2"/>
  <c r="M12" i="2"/>
  <c r="L11" i="2"/>
  <c r="K10" i="2"/>
  <c r="J9" i="2"/>
  <c r="I8" i="2"/>
  <c r="H7" i="2"/>
  <c r="G6" i="2"/>
  <c r="E4" i="2"/>
  <c r="R5" i="2" s="1"/>
  <c r="S5" i="2" s="1"/>
  <c r="D3" i="2"/>
  <c r="C3" i="2"/>
  <c r="C4" i="2"/>
  <c r="R3" i="2" s="1"/>
  <c r="S3" i="2" s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2" i="2"/>
  <c r="Q3" i="2"/>
  <c r="Q4" i="2"/>
  <c r="Q5" i="2"/>
  <c r="Q6" i="2"/>
  <c r="Q7" i="2"/>
  <c r="Q8" i="2"/>
  <c r="Q9" i="2"/>
  <c r="Q10" i="2"/>
  <c r="Q11" i="2"/>
  <c r="Q12" i="2"/>
  <c r="Q13" i="2"/>
  <c r="Q14" i="2"/>
  <c r="V4" i="2" l="1" a="1"/>
  <c r="V4" i="2" s="1"/>
  <c r="R14" i="2"/>
  <c r="S14" i="2" s="1"/>
  <c r="R7" i="2"/>
  <c r="S7" i="2" s="1"/>
  <c r="R11" i="2"/>
  <c r="S11" i="2" s="1"/>
  <c r="R8" i="2"/>
  <c r="S8" i="2" s="1"/>
  <c r="R9" i="2"/>
  <c r="S9" i="2" s="1"/>
  <c r="R12" i="2"/>
  <c r="S12" i="2" s="1"/>
  <c r="R13" i="2"/>
  <c r="S13" i="2" s="1"/>
  <c r="R10" i="2"/>
  <c r="S10" i="2" s="1"/>
  <c r="R4" i="2"/>
  <c r="S4" i="2" s="1"/>
  <c r="U4" i="2" s="1"/>
  <c r="R6" i="2"/>
  <c r="S6" i="2" l="1"/>
  <c r="AC4" i="2" l="1" a="1"/>
  <c r="AC4" i="2" s="1"/>
  <c r="AB4" i="2" a="1"/>
  <c r="AB4" i="2" s="1"/>
  <c r="Y4" i="2" a="1"/>
  <c r="Y4" i="2" s="1"/>
  <c r="AA4" i="2" a="1"/>
  <c r="AA4" i="2" s="1"/>
  <c r="Z4" i="2" a="1"/>
  <c r="Z4" i="2" s="1"/>
  <c r="AD4" i="2" a="1"/>
  <c r="AD4" i="2" s="1"/>
  <c r="AE4" i="2" a="1"/>
  <c r="AE4" i="2" s="1"/>
  <c r="W4" i="2" a="1"/>
  <c r="W4" i="2" s="1"/>
  <c r="X4" i="2" a="1"/>
  <c r="X4" i="2" s="1"/>
  <c r="L149" i="1"/>
  <c r="M150" i="1" s="1"/>
  <c r="N151" i="1" s="1"/>
  <c r="O152" i="1" s="1"/>
  <c r="P153" i="1" s="1"/>
  <c r="L156" i="1"/>
  <c r="M157" i="1" s="1"/>
  <c r="N158" i="1" s="1"/>
  <c r="O159" i="1" s="1"/>
  <c r="P160" i="1" s="1"/>
  <c r="K238" i="1"/>
  <c r="L239" i="1" s="1"/>
  <c r="M240" i="1" s="1"/>
  <c r="N241" i="1" s="1"/>
  <c r="O242" i="1" s="1"/>
  <c r="P243" i="1" s="1"/>
  <c r="J39" i="1"/>
  <c r="K40" i="1" s="1"/>
  <c r="L41" i="1" s="1"/>
  <c r="M42" i="1" s="1"/>
  <c r="N43" i="1" s="1"/>
  <c r="O44" i="1" s="1"/>
  <c r="P45" i="1" s="1"/>
  <c r="J52" i="1"/>
  <c r="K53" i="1" s="1"/>
  <c r="L54" i="1" s="1"/>
  <c r="M55" i="1" s="1"/>
  <c r="N56" i="1" s="1"/>
  <c r="O57" i="1" s="1"/>
  <c r="P58" i="1" s="1"/>
  <c r="J112" i="1"/>
  <c r="K113" i="1" s="1"/>
  <c r="L114" i="1" s="1"/>
  <c r="M115" i="1" s="1"/>
  <c r="N116" i="1" s="1"/>
  <c r="O117" i="1" s="1"/>
  <c r="P118" i="1" s="1"/>
  <c r="J244" i="1"/>
  <c r="K245" i="1" s="1"/>
  <c r="L246" i="1" s="1"/>
  <c r="M247" i="1" s="1"/>
  <c r="N248" i="1" s="1"/>
  <c r="O249" i="1" s="1"/>
  <c r="P250" i="1" s="1"/>
  <c r="I50" i="1"/>
  <c r="J51" i="1" s="1"/>
  <c r="K52" i="1" s="1"/>
  <c r="L53" i="1" s="1"/>
  <c r="M54" i="1" s="1"/>
  <c r="N55" i="1" s="1"/>
  <c r="O56" i="1" s="1"/>
  <c r="P57" i="1" s="1"/>
  <c r="I118" i="1"/>
  <c r="J119" i="1" s="1"/>
  <c r="K120" i="1" s="1"/>
  <c r="L121" i="1" s="1"/>
  <c r="M122" i="1" s="1"/>
  <c r="N123" i="1" s="1"/>
  <c r="O124" i="1" s="1"/>
  <c r="P125" i="1" s="1"/>
  <c r="I153" i="1"/>
  <c r="J154" i="1" s="1"/>
  <c r="K155" i="1" s="1"/>
  <c r="I201" i="1"/>
  <c r="J202" i="1" s="1"/>
  <c r="K203" i="1" s="1"/>
  <c r="L204" i="1" s="1"/>
  <c r="M205" i="1" s="1"/>
  <c r="N206" i="1" s="1"/>
  <c r="O207" i="1" s="1"/>
  <c r="P208" i="1" s="1"/>
  <c r="I202" i="1"/>
  <c r="J203" i="1" s="1"/>
  <c r="K204" i="1" s="1"/>
  <c r="L205" i="1" s="1"/>
  <c r="M206" i="1" s="1"/>
  <c r="N207" i="1" s="1"/>
  <c r="O208" i="1" s="1"/>
  <c r="P209" i="1" s="1"/>
  <c r="I269" i="1"/>
  <c r="J270" i="1" s="1"/>
  <c r="K271" i="1" s="1"/>
  <c r="L272" i="1" s="1"/>
  <c r="M273" i="1" s="1"/>
  <c r="N274" i="1" s="1"/>
  <c r="O275" i="1" s="1"/>
  <c r="P276" i="1" s="1"/>
  <c r="I345" i="1"/>
  <c r="J346" i="1" s="1"/>
  <c r="K347" i="1" s="1"/>
  <c r="L348" i="1" s="1"/>
  <c r="M349" i="1" s="1"/>
  <c r="I346" i="1"/>
  <c r="J347" i="1" s="1"/>
  <c r="K348" i="1" s="1"/>
  <c r="L349" i="1" s="1"/>
  <c r="H56" i="1"/>
  <c r="I57" i="1" s="1"/>
  <c r="J58" i="1" s="1"/>
  <c r="K59" i="1" s="1"/>
  <c r="L60" i="1" s="1"/>
  <c r="M61" i="1" s="1"/>
  <c r="N62" i="1" s="1"/>
  <c r="O63" i="1" s="1"/>
  <c r="P64" i="1" s="1"/>
  <c r="H122" i="1"/>
  <c r="I123" i="1" s="1"/>
  <c r="J124" i="1" s="1"/>
  <c r="K125" i="1" s="1"/>
  <c r="L126" i="1" s="1"/>
  <c r="M127" i="1" s="1"/>
  <c r="N128" i="1" s="1"/>
  <c r="O129" i="1" s="1"/>
  <c r="P130" i="1" s="1"/>
  <c r="H170" i="1"/>
  <c r="I171" i="1" s="1"/>
  <c r="J172" i="1" s="1"/>
  <c r="K173" i="1" s="1"/>
  <c r="L174" i="1" s="1"/>
  <c r="M175" i="1" s="1"/>
  <c r="N176" i="1" s="1"/>
  <c r="O177" i="1" s="1"/>
  <c r="P178" i="1" s="1"/>
  <c r="H172" i="1"/>
  <c r="I173" i="1" s="1"/>
  <c r="J174" i="1" s="1"/>
  <c r="K175" i="1" s="1"/>
  <c r="L176" i="1" s="1"/>
  <c r="M177" i="1" s="1"/>
  <c r="N178" i="1" s="1"/>
  <c r="O179" i="1" s="1"/>
  <c r="P180" i="1" s="1"/>
  <c r="H188" i="1"/>
  <c r="I189" i="1" s="1"/>
  <c r="J190" i="1" s="1"/>
  <c r="K191" i="1" s="1"/>
  <c r="L192" i="1" s="1"/>
  <c r="M193" i="1" s="1"/>
  <c r="N194" i="1" s="1"/>
  <c r="O195" i="1" s="1"/>
  <c r="P196" i="1" s="1"/>
  <c r="H212" i="1"/>
  <c r="I213" i="1" s="1"/>
  <c r="J214" i="1" s="1"/>
  <c r="K215" i="1" s="1"/>
  <c r="L216" i="1" s="1"/>
  <c r="M217" i="1" s="1"/>
  <c r="N218" i="1" s="1"/>
  <c r="O219" i="1" s="1"/>
  <c r="P220" i="1" s="1"/>
  <c r="H296" i="1"/>
  <c r="I297" i="1" s="1"/>
  <c r="J298" i="1" s="1"/>
  <c r="K299" i="1" s="1"/>
  <c r="L300" i="1" s="1"/>
  <c r="M301" i="1" s="1"/>
  <c r="N302" i="1" s="1"/>
  <c r="O303" i="1" s="1"/>
  <c r="P304" i="1" s="1"/>
  <c r="H297" i="1"/>
  <c r="I298" i="1" s="1"/>
  <c r="J299" i="1" s="1"/>
  <c r="K300" i="1" s="1"/>
  <c r="L301" i="1" s="1"/>
  <c r="M302" i="1" s="1"/>
  <c r="N303" i="1" s="1"/>
  <c r="O304" i="1" s="1"/>
  <c r="P305" i="1" s="1"/>
  <c r="H302" i="1"/>
  <c r="I303" i="1" s="1"/>
  <c r="J304" i="1" s="1"/>
  <c r="K305" i="1" s="1"/>
  <c r="L306" i="1" s="1"/>
  <c r="M307" i="1" s="1"/>
  <c r="N308" i="1" s="1"/>
  <c r="O309" i="1" s="1"/>
  <c r="P310" i="1" s="1"/>
  <c r="H316" i="1"/>
  <c r="I317" i="1" s="1"/>
  <c r="J318" i="1" s="1"/>
  <c r="K319" i="1" s="1"/>
  <c r="L320" i="1" s="1"/>
  <c r="M321" i="1" s="1"/>
  <c r="N322" i="1" s="1"/>
  <c r="O323" i="1" s="1"/>
  <c r="P324" i="1" s="1"/>
  <c r="H345" i="1"/>
  <c r="G25" i="1"/>
  <c r="H26" i="1" s="1"/>
  <c r="I27" i="1" s="1"/>
  <c r="J28" i="1" s="1"/>
  <c r="K29" i="1" s="1"/>
  <c r="L30" i="1" s="1"/>
  <c r="M31" i="1" s="1"/>
  <c r="N32" i="1" s="1"/>
  <c r="O33" i="1" s="1"/>
  <c r="P34" i="1" s="1"/>
  <c r="G37" i="1"/>
  <c r="H38" i="1" s="1"/>
  <c r="I39" i="1" s="1"/>
  <c r="J40" i="1" s="1"/>
  <c r="K41" i="1" s="1"/>
  <c r="L42" i="1" s="1"/>
  <c r="M43" i="1" s="1"/>
  <c r="N44" i="1" s="1"/>
  <c r="O45" i="1" s="1"/>
  <c r="P46" i="1" s="1"/>
  <c r="G72" i="1"/>
  <c r="H73" i="1" s="1"/>
  <c r="I74" i="1" s="1"/>
  <c r="J75" i="1" s="1"/>
  <c r="K76" i="1" s="1"/>
  <c r="L77" i="1" s="1"/>
  <c r="M78" i="1" s="1"/>
  <c r="N79" i="1" s="1"/>
  <c r="O80" i="1" s="1"/>
  <c r="P81" i="1" s="1"/>
  <c r="G73" i="1"/>
  <c r="H74" i="1" s="1"/>
  <c r="I75" i="1" s="1"/>
  <c r="J76" i="1" s="1"/>
  <c r="K77" i="1" s="1"/>
  <c r="L78" i="1" s="1"/>
  <c r="M79" i="1" s="1"/>
  <c r="N80" i="1" s="1"/>
  <c r="O81" i="1" s="1"/>
  <c r="P82" i="1" s="1"/>
  <c r="G85" i="1"/>
  <c r="H86" i="1" s="1"/>
  <c r="I87" i="1" s="1"/>
  <c r="J88" i="1" s="1"/>
  <c r="K89" i="1" s="1"/>
  <c r="L90" i="1" s="1"/>
  <c r="M91" i="1" s="1"/>
  <c r="N92" i="1" s="1"/>
  <c r="O93" i="1" s="1"/>
  <c r="P94" i="1" s="1"/>
  <c r="G87" i="1"/>
  <c r="H88" i="1" s="1"/>
  <c r="I89" i="1" s="1"/>
  <c r="J90" i="1" s="1"/>
  <c r="K91" i="1" s="1"/>
  <c r="L92" i="1" s="1"/>
  <c r="M93" i="1" s="1"/>
  <c r="N94" i="1" s="1"/>
  <c r="O95" i="1" s="1"/>
  <c r="P96" i="1" s="1"/>
  <c r="G121" i="1"/>
  <c r="G133" i="1"/>
  <c r="H134" i="1" s="1"/>
  <c r="I135" i="1" s="1"/>
  <c r="J136" i="1" s="1"/>
  <c r="K137" i="1" s="1"/>
  <c r="L138" i="1" s="1"/>
  <c r="M139" i="1" s="1"/>
  <c r="N140" i="1" s="1"/>
  <c r="O141" i="1" s="1"/>
  <c r="P142" i="1" s="1"/>
  <c r="G169" i="1"/>
  <c r="G181" i="1"/>
  <c r="H182" i="1" s="1"/>
  <c r="I183" i="1" s="1"/>
  <c r="J184" i="1" s="1"/>
  <c r="K185" i="1" s="1"/>
  <c r="L186" i="1" s="1"/>
  <c r="M187" i="1" s="1"/>
  <c r="N188" i="1" s="1"/>
  <c r="O189" i="1" s="1"/>
  <c r="P190" i="1" s="1"/>
  <c r="G217" i="1"/>
  <c r="H218" i="1" s="1"/>
  <c r="I219" i="1" s="1"/>
  <c r="J220" i="1" s="1"/>
  <c r="K221" i="1" s="1"/>
  <c r="L222" i="1" s="1"/>
  <c r="M223" i="1" s="1"/>
  <c r="N224" i="1" s="1"/>
  <c r="O225" i="1" s="1"/>
  <c r="P226" i="1" s="1"/>
  <c r="G229" i="1"/>
  <c r="H230" i="1" s="1"/>
  <c r="I231" i="1" s="1"/>
  <c r="J232" i="1" s="1"/>
  <c r="K233" i="1" s="1"/>
  <c r="L234" i="1" s="1"/>
  <c r="M235" i="1" s="1"/>
  <c r="N236" i="1" s="1"/>
  <c r="O237" i="1" s="1"/>
  <c r="P238" i="1" s="1"/>
  <c r="G231" i="1"/>
  <c r="H232" i="1" s="1"/>
  <c r="I233" i="1" s="1"/>
  <c r="J234" i="1" s="1"/>
  <c r="K235" i="1" s="1"/>
  <c r="L236" i="1" s="1"/>
  <c r="M237" i="1" s="1"/>
  <c r="N238" i="1" s="1"/>
  <c r="O239" i="1" s="1"/>
  <c r="P240" i="1" s="1"/>
  <c r="G345" i="1"/>
  <c r="H346" i="1" s="1"/>
  <c r="I347" i="1" s="1"/>
  <c r="J348" i="1" s="1"/>
  <c r="K349" i="1" s="1"/>
  <c r="F31" i="1"/>
  <c r="G32" i="1" s="1"/>
  <c r="H33" i="1" s="1"/>
  <c r="I34" i="1" s="1"/>
  <c r="J35" i="1" s="1"/>
  <c r="K36" i="1" s="1"/>
  <c r="L37" i="1" s="1"/>
  <c r="M38" i="1" s="1"/>
  <c r="N39" i="1" s="1"/>
  <c r="O40" i="1" s="1"/>
  <c r="P41" i="1" s="1"/>
  <c r="F42" i="1"/>
  <c r="G43" i="1" s="1"/>
  <c r="H44" i="1" s="1"/>
  <c r="I45" i="1" s="1"/>
  <c r="J46" i="1" s="1"/>
  <c r="K47" i="1" s="1"/>
  <c r="L48" i="1" s="1"/>
  <c r="M49" i="1" s="1"/>
  <c r="N50" i="1" s="1"/>
  <c r="O51" i="1" s="1"/>
  <c r="P52" i="1" s="1"/>
  <c r="F44" i="1"/>
  <c r="G45" i="1" s="1"/>
  <c r="H46" i="1" s="1"/>
  <c r="I47" i="1" s="1"/>
  <c r="J48" i="1" s="1"/>
  <c r="K49" i="1" s="1"/>
  <c r="L50" i="1" s="1"/>
  <c r="M51" i="1" s="1"/>
  <c r="N52" i="1" s="1"/>
  <c r="O53" i="1" s="1"/>
  <c r="P54" i="1" s="1"/>
  <c r="F77" i="1"/>
  <c r="G78" i="1" s="1"/>
  <c r="H79" i="1" s="1"/>
  <c r="I80" i="1" s="1"/>
  <c r="J81" i="1" s="1"/>
  <c r="K82" i="1" s="1"/>
  <c r="L83" i="1" s="1"/>
  <c r="M84" i="1" s="1"/>
  <c r="N85" i="1" s="1"/>
  <c r="O86" i="1" s="1"/>
  <c r="P87" i="1" s="1"/>
  <c r="F78" i="1"/>
  <c r="G79" i="1" s="1"/>
  <c r="H80" i="1" s="1"/>
  <c r="I81" i="1" s="1"/>
  <c r="J82" i="1" s="1"/>
  <c r="K83" i="1" s="1"/>
  <c r="L84" i="1" s="1"/>
  <c r="M85" i="1" s="1"/>
  <c r="N86" i="1" s="1"/>
  <c r="O87" i="1" s="1"/>
  <c r="P88" i="1" s="1"/>
  <c r="F90" i="1"/>
  <c r="G91" i="1" s="1"/>
  <c r="H92" i="1" s="1"/>
  <c r="I93" i="1" s="1"/>
  <c r="J94" i="1" s="1"/>
  <c r="K95" i="1" s="1"/>
  <c r="L96" i="1" s="1"/>
  <c r="M97" i="1" s="1"/>
  <c r="N98" i="1" s="1"/>
  <c r="O99" i="1" s="1"/>
  <c r="P100" i="1" s="1"/>
  <c r="F92" i="1"/>
  <c r="G93" i="1" s="1"/>
  <c r="H94" i="1" s="1"/>
  <c r="I95" i="1" s="1"/>
  <c r="J96" i="1" s="1"/>
  <c r="K97" i="1" s="1"/>
  <c r="L98" i="1" s="1"/>
  <c r="M99" i="1" s="1"/>
  <c r="N100" i="1" s="1"/>
  <c r="O101" i="1" s="1"/>
  <c r="P102" i="1" s="1"/>
  <c r="F123" i="1"/>
  <c r="G124" i="1" s="1"/>
  <c r="H125" i="1" s="1"/>
  <c r="I126" i="1" s="1"/>
  <c r="J127" i="1" s="1"/>
  <c r="K128" i="1" s="1"/>
  <c r="L129" i="1" s="1"/>
  <c r="M130" i="1" s="1"/>
  <c r="N131" i="1" s="1"/>
  <c r="O132" i="1" s="1"/>
  <c r="P133" i="1" s="1"/>
  <c r="F126" i="1"/>
  <c r="G127" i="1" s="1"/>
  <c r="H128" i="1" s="1"/>
  <c r="I129" i="1" s="1"/>
  <c r="J130" i="1" s="1"/>
  <c r="K131" i="1" s="1"/>
  <c r="L132" i="1" s="1"/>
  <c r="M133" i="1" s="1"/>
  <c r="N134" i="1" s="1"/>
  <c r="O135" i="1" s="1"/>
  <c r="P136" i="1" s="1"/>
  <c r="F158" i="1"/>
  <c r="G159" i="1" s="1"/>
  <c r="H160" i="1" s="1"/>
  <c r="I161" i="1" s="1"/>
  <c r="J162" i="1" s="1"/>
  <c r="K163" i="1" s="1"/>
  <c r="L164" i="1" s="1"/>
  <c r="M165" i="1" s="1"/>
  <c r="N166" i="1" s="1"/>
  <c r="O167" i="1" s="1"/>
  <c r="P168" i="1" s="1"/>
  <c r="F181" i="1"/>
  <c r="G182" i="1" s="1"/>
  <c r="H183" i="1" s="1"/>
  <c r="I184" i="1" s="1"/>
  <c r="J185" i="1" s="1"/>
  <c r="K186" i="1" s="1"/>
  <c r="L187" i="1" s="1"/>
  <c r="M188" i="1" s="1"/>
  <c r="N189" i="1" s="1"/>
  <c r="O190" i="1" s="1"/>
  <c r="P191" i="1" s="1"/>
  <c r="F186" i="1"/>
  <c r="G187" i="1" s="1"/>
  <c r="F188" i="1"/>
  <c r="G189" i="1" s="1"/>
  <c r="H190" i="1" s="1"/>
  <c r="I191" i="1" s="1"/>
  <c r="J192" i="1" s="1"/>
  <c r="K193" i="1" s="1"/>
  <c r="L194" i="1" s="1"/>
  <c r="M195" i="1" s="1"/>
  <c r="N196" i="1" s="1"/>
  <c r="O197" i="1" s="1"/>
  <c r="P198" i="1" s="1"/>
  <c r="F210" i="1"/>
  <c r="G211" i="1" s="1"/>
  <c r="F219" i="1"/>
  <c r="G220" i="1" s="1"/>
  <c r="H221" i="1" s="1"/>
  <c r="I222" i="1" s="1"/>
  <c r="J223" i="1" s="1"/>
  <c r="K224" i="1" s="1"/>
  <c r="L225" i="1" s="1"/>
  <c r="M226" i="1" s="1"/>
  <c r="N227" i="1" s="1"/>
  <c r="O228" i="1" s="1"/>
  <c r="P229" i="1" s="1"/>
  <c r="F242" i="1"/>
  <c r="G243" i="1" s="1"/>
  <c r="H244" i="1" s="1"/>
  <c r="I245" i="1" s="1"/>
  <c r="J246" i="1" s="1"/>
  <c r="K247" i="1" s="1"/>
  <c r="L248" i="1" s="1"/>
  <c r="M249" i="1" s="1"/>
  <c r="N250" i="1" s="1"/>
  <c r="O251" i="1" s="1"/>
  <c r="P252" i="1" s="1"/>
  <c r="F243" i="1"/>
  <c r="G244" i="1" s="1"/>
  <c r="H245" i="1" s="1"/>
  <c r="I246" i="1" s="1"/>
  <c r="J247" i="1" s="1"/>
  <c r="K248" i="1" s="1"/>
  <c r="L249" i="1" s="1"/>
  <c r="M250" i="1" s="1"/>
  <c r="N251" i="1" s="1"/>
  <c r="O252" i="1" s="1"/>
  <c r="P253" i="1" s="1"/>
  <c r="F258" i="1"/>
  <c r="G259" i="1" s="1"/>
  <c r="H260" i="1" s="1"/>
  <c r="I261" i="1" s="1"/>
  <c r="J262" i="1" s="1"/>
  <c r="K263" i="1" s="1"/>
  <c r="L264" i="1" s="1"/>
  <c r="M265" i="1" s="1"/>
  <c r="N266" i="1" s="1"/>
  <c r="O267" i="1" s="1"/>
  <c r="P268" i="1" s="1"/>
  <c r="F290" i="1"/>
  <c r="G291" i="1" s="1"/>
  <c r="H292" i="1" s="1"/>
  <c r="I293" i="1" s="1"/>
  <c r="J294" i="1" s="1"/>
  <c r="K295" i="1" s="1"/>
  <c r="L296" i="1" s="1"/>
  <c r="M297" i="1" s="1"/>
  <c r="N298" i="1" s="1"/>
  <c r="O299" i="1" s="1"/>
  <c r="P300" i="1" s="1"/>
  <c r="F326" i="1"/>
  <c r="G327" i="1" s="1"/>
  <c r="H328" i="1" s="1"/>
  <c r="I329" i="1" s="1"/>
  <c r="J330" i="1" s="1"/>
  <c r="K331" i="1" s="1"/>
  <c r="L332" i="1" s="1"/>
  <c r="M333" i="1" s="1"/>
  <c r="N334" i="1" s="1"/>
  <c r="O335" i="1" s="1"/>
  <c r="P336" i="1" s="1"/>
  <c r="F338" i="1"/>
  <c r="G339" i="1" s="1"/>
  <c r="H340" i="1" s="1"/>
  <c r="I341" i="1" s="1"/>
  <c r="J342" i="1" s="1"/>
  <c r="K343" i="1" s="1"/>
  <c r="L344" i="1" s="1"/>
  <c r="M345" i="1" s="1"/>
  <c r="N346" i="1" s="1"/>
  <c r="O347" i="1" s="1"/>
  <c r="P348" i="1" s="1"/>
  <c r="E5" i="1"/>
  <c r="F6" i="1" s="1"/>
  <c r="G7" i="1" s="1"/>
  <c r="H8" i="1" s="1"/>
  <c r="I9" i="1" s="1"/>
  <c r="J10" i="1" s="1"/>
  <c r="K11" i="1" s="1"/>
  <c r="L12" i="1" s="1"/>
  <c r="M13" i="1" s="1"/>
  <c r="N14" i="1" s="1"/>
  <c r="O15" i="1" s="1"/>
  <c r="P16" i="1" s="1"/>
  <c r="E6" i="1"/>
  <c r="F7" i="1" s="1"/>
  <c r="G8" i="1" s="1"/>
  <c r="H9" i="1" s="1"/>
  <c r="I10" i="1" s="1"/>
  <c r="J11" i="1" s="1"/>
  <c r="K12" i="1" s="1"/>
  <c r="L13" i="1" s="1"/>
  <c r="M14" i="1" s="1"/>
  <c r="N15" i="1" s="1"/>
  <c r="O16" i="1" s="1"/>
  <c r="P17" i="1" s="1"/>
  <c r="E7" i="1"/>
  <c r="F8" i="1" s="1"/>
  <c r="G9" i="1" s="1"/>
  <c r="H10" i="1" s="1"/>
  <c r="I11" i="1" s="1"/>
  <c r="J12" i="1" s="1"/>
  <c r="K13" i="1" s="1"/>
  <c r="L14" i="1" s="1"/>
  <c r="M15" i="1" s="1"/>
  <c r="N16" i="1" s="1"/>
  <c r="O17" i="1" s="1"/>
  <c r="P18" i="1" s="1"/>
  <c r="E17" i="1"/>
  <c r="F18" i="1" s="1"/>
  <c r="G19" i="1" s="1"/>
  <c r="H20" i="1" s="1"/>
  <c r="I21" i="1" s="1"/>
  <c r="J22" i="1" s="1"/>
  <c r="K23" i="1" s="1"/>
  <c r="L24" i="1" s="1"/>
  <c r="M25" i="1" s="1"/>
  <c r="N26" i="1" s="1"/>
  <c r="O27" i="1" s="1"/>
  <c r="P28" i="1" s="1"/>
  <c r="E19" i="1"/>
  <c r="F20" i="1" s="1"/>
  <c r="G21" i="1" s="1"/>
  <c r="H22" i="1" s="1"/>
  <c r="I23" i="1" s="1"/>
  <c r="J24" i="1" s="1"/>
  <c r="K25" i="1" s="1"/>
  <c r="L26" i="1" s="1"/>
  <c r="M27" i="1" s="1"/>
  <c r="N28" i="1" s="1"/>
  <c r="O29" i="1" s="1"/>
  <c r="P30" i="1" s="1"/>
  <c r="E24" i="1"/>
  <c r="F25" i="1" s="1"/>
  <c r="G26" i="1" s="1"/>
  <c r="H27" i="1" s="1"/>
  <c r="I28" i="1" s="1"/>
  <c r="J29" i="1" s="1"/>
  <c r="K30" i="1" s="1"/>
  <c r="L31" i="1" s="1"/>
  <c r="M32" i="1" s="1"/>
  <c r="N33" i="1" s="1"/>
  <c r="O34" i="1" s="1"/>
  <c r="P35" i="1" s="1"/>
  <c r="E25" i="1"/>
  <c r="F26" i="1" s="1"/>
  <c r="G27" i="1" s="1"/>
  <c r="H28" i="1" s="1"/>
  <c r="I29" i="1" s="1"/>
  <c r="J30" i="1" s="1"/>
  <c r="K31" i="1" s="1"/>
  <c r="L32" i="1" s="1"/>
  <c r="M33" i="1" s="1"/>
  <c r="N34" i="1" s="1"/>
  <c r="O35" i="1" s="1"/>
  <c r="P36" i="1" s="1"/>
  <c r="E29" i="1"/>
  <c r="F30" i="1" s="1"/>
  <c r="G31" i="1" s="1"/>
  <c r="H32" i="1" s="1"/>
  <c r="I33" i="1" s="1"/>
  <c r="J34" i="1" s="1"/>
  <c r="K35" i="1" s="1"/>
  <c r="L36" i="1" s="1"/>
  <c r="M37" i="1" s="1"/>
  <c r="N38" i="1" s="1"/>
  <c r="O39" i="1" s="1"/>
  <c r="P40" i="1" s="1"/>
  <c r="E30" i="1"/>
  <c r="E31" i="1"/>
  <c r="F32" i="1" s="1"/>
  <c r="G33" i="1" s="1"/>
  <c r="H34" i="1" s="1"/>
  <c r="I35" i="1" s="1"/>
  <c r="J36" i="1" s="1"/>
  <c r="K37" i="1" s="1"/>
  <c r="L38" i="1" s="1"/>
  <c r="M39" i="1" s="1"/>
  <c r="N40" i="1" s="1"/>
  <c r="O41" i="1" s="1"/>
  <c r="P42" i="1" s="1"/>
  <c r="E40" i="1"/>
  <c r="F41" i="1" s="1"/>
  <c r="G42" i="1" s="1"/>
  <c r="H43" i="1" s="1"/>
  <c r="I44" i="1" s="1"/>
  <c r="J45" i="1" s="1"/>
  <c r="K46" i="1" s="1"/>
  <c r="L47" i="1" s="1"/>
  <c r="M48" i="1" s="1"/>
  <c r="N49" i="1" s="1"/>
  <c r="O50" i="1" s="1"/>
  <c r="P51" i="1" s="1"/>
  <c r="E48" i="1"/>
  <c r="F49" i="1" s="1"/>
  <c r="G50" i="1" s="1"/>
  <c r="H51" i="1" s="1"/>
  <c r="I52" i="1" s="1"/>
  <c r="J53" i="1" s="1"/>
  <c r="K54" i="1" s="1"/>
  <c r="L55" i="1" s="1"/>
  <c r="M56" i="1" s="1"/>
  <c r="N57" i="1" s="1"/>
  <c r="O58" i="1" s="1"/>
  <c r="P59" i="1" s="1"/>
  <c r="E49" i="1"/>
  <c r="F50" i="1" s="1"/>
  <c r="G51" i="1" s="1"/>
  <c r="H52" i="1" s="1"/>
  <c r="I53" i="1" s="1"/>
  <c r="J54" i="1" s="1"/>
  <c r="K55" i="1" s="1"/>
  <c r="L56" i="1" s="1"/>
  <c r="M57" i="1" s="1"/>
  <c r="N58" i="1" s="1"/>
  <c r="O59" i="1" s="1"/>
  <c r="P60" i="1" s="1"/>
  <c r="E52" i="1"/>
  <c r="F53" i="1" s="1"/>
  <c r="G54" i="1" s="1"/>
  <c r="H55" i="1" s="1"/>
  <c r="I56" i="1" s="1"/>
  <c r="J57" i="1" s="1"/>
  <c r="K58" i="1" s="1"/>
  <c r="L59" i="1" s="1"/>
  <c r="M60" i="1" s="1"/>
  <c r="N61" i="1" s="1"/>
  <c r="O62" i="1" s="1"/>
  <c r="P63" i="1" s="1"/>
  <c r="E53" i="1"/>
  <c r="F54" i="1" s="1"/>
  <c r="G55" i="1" s="1"/>
  <c r="E64" i="1"/>
  <c r="F65" i="1" s="1"/>
  <c r="G66" i="1" s="1"/>
  <c r="H67" i="1" s="1"/>
  <c r="I68" i="1" s="1"/>
  <c r="J69" i="1" s="1"/>
  <c r="K70" i="1" s="1"/>
  <c r="L71" i="1" s="1"/>
  <c r="M72" i="1" s="1"/>
  <c r="N73" i="1" s="1"/>
  <c r="O74" i="1" s="1"/>
  <c r="P75" i="1" s="1"/>
  <c r="E65" i="1"/>
  <c r="F66" i="1" s="1"/>
  <c r="G67" i="1" s="1"/>
  <c r="H68" i="1" s="1"/>
  <c r="I69" i="1" s="1"/>
  <c r="J70" i="1" s="1"/>
  <c r="K71" i="1" s="1"/>
  <c r="L72" i="1" s="1"/>
  <c r="M73" i="1" s="1"/>
  <c r="N74" i="1" s="1"/>
  <c r="O75" i="1" s="1"/>
  <c r="P76" i="1" s="1"/>
  <c r="E66" i="1"/>
  <c r="F67" i="1" s="1"/>
  <c r="G68" i="1" s="1"/>
  <c r="H69" i="1" s="1"/>
  <c r="I70" i="1" s="1"/>
  <c r="J71" i="1" s="1"/>
  <c r="K72" i="1" s="1"/>
  <c r="L73" i="1" s="1"/>
  <c r="M74" i="1" s="1"/>
  <c r="N75" i="1" s="1"/>
  <c r="O76" i="1" s="1"/>
  <c r="P77" i="1" s="1"/>
  <c r="E67" i="1"/>
  <c r="F68" i="1" s="1"/>
  <c r="G69" i="1" s="1"/>
  <c r="H70" i="1" s="1"/>
  <c r="I71" i="1" s="1"/>
  <c r="J72" i="1" s="1"/>
  <c r="K73" i="1" s="1"/>
  <c r="L74" i="1" s="1"/>
  <c r="M75" i="1" s="1"/>
  <c r="N76" i="1" s="1"/>
  <c r="O77" i="1" s="1"/>
  <c r="P78" i="1" s="1"/>
  <c r="E72" i="1"/>
  <c r="F73" i="1" s="1"/>
  <c r="G74" i="1" s="1"/>
  <c r="H75" i="1" s="1"/>
  <c r="I76" i="1" s="1"/>
  <c r="J77" i="1" s="1"/>
  <c r="K78" i="1" s="1"/>
  <c r="L79" i="1" s="1"/>
  <c r="M80" i="1" s="1"/>
  <c r="N81" i="1" s="1"/>
  <c r="O82" i="1" s="1"/>
  <c r="P83" i="1" s="1"/>
  <c r="E73" i="1"/>
  <c r="F74" i="1" s="1"/>
  <c r="G75" i="1" s="1"/>
  <c r="H76" i="1" s="1"/>
  <c r="I77" i="1" s="1"/>
  <c r="J78" i="1" s="1"/>
  <c r="K79" i="1" s="1"/>
  <c r="L80" i="1" s="1"/>
  <c r="M81" i="1" s="1"/>
  <c r="N82" i="1" s="1"/>
  <c r="O83" i="1" s="1"/>
  <c r="P84" i="1" s="1"/>
  <c r="E77" i="1"/>
  <c r="E85" i="1"/>
  <c r="F86" i="1" s="1"/>
  <c r="E88" i="1"/>
  <c r="F89" i="1" s="1"/>
  <c r="G90" i="1" s="1"/>
  <c r="H91" i="1" s="1"/>
  <c r="I92" i="1" s="1"/>
  <c r="J93" i="1" s="1"/>
  <c r="K94" i="1" s="1"/>
  <c r="L95" i="1" s="1"/>
  <c r="M96" i="1" s="1"/>
  <c r="N97" i="1" s="1"/>
  <c r="O98" i="1" s="1"/>
  <c r="P99" i="1" s="1"/>
  <c r="E96" i="1"/>
  <c r="F97" i="1" s="1"/>
  <c r="G98" i="1" s="1"/>
  <c r="H99" i="1" s="1"/>
  <c r="I100" i="1" s="1"/>
  <c r="J101" i="1" s="1"/>
  <c r="K102" i="1" s="1"/>
  <c r="L103" i="1" s="1"/>
  <c r="M104" i="1" s="1"/>
  <c r="N105" i="1" s="1"/>
  <c r="O106" i="1" s="1"/>
  <c r="P107" i="1" s="1"/>
  <c r="E97" i="1"/>
  <c r="F98" i="1" s="1"/>
  <c r="G99" i="1" s="1"/>
  <c r="H100" i="1" s="1"/>
  <c r="I101" i="1" s="1"/>
  <c r="J102" i="1" s="1"/>
  <c r="K103" i="1" s="1"/>
  <c r="L104" i="1" s="1"/>
  <c r="M105" i="1" s="1"/>
  <c r="N106" i="1" s="1"/>
  <c r="O107" i="1" s="1"/>
  <c r="P108" i="1" s="1"/>
  <c r="E101" i="1"/>
  <c r="F102" i="1" s="1"/>
  <c r="G103" i="1" s="1"/>
  <c r="H104" i="1" s="1"/>
  <c r="I105" i="1" s="1"/>
  <c r="J106" i="1" s="1"/>
  <c r="K107" i="1" s="1"/>
  <c r="L108" i="1" s="1"/>
  <c r="M109" i="1" s="1"/>
  <c r="N110" i="1" s="1"/>
  <c r="O111" i="1" s="1"/>
  <c r="P112" i="1" s="1"/>
  <c r="E103" i="1"/>
  <c r="F104" i="1" s="1"/>
  <c r="G105" i="1" s="1"/>
  <c r="H106" i="1" s="1"/>
  <c r="I107" i="1" s="1"/>
  <c r="J108" i="1" s="1"/>
  <c r="K109" i="1" s="1"/>
  <c r="L110" i="1" s="1"/>
  <c r="M111" i="1" s="1"/>
  <c r="N112" i="1" s="1"/>
  <c r="O113" i="1" s="1"/>
  <c r="P114" i="1" s="1"/>
  <c r="E112" i="1"/>
  <c r="F113" i="1" s="1"/>
  <c r="G114" i="1" s="1"/>
  <c r="H115" i="1" s="1"/>
  <c r="I116" i="1" s="1"/>
  <c r="J117" i="1" s="1"/>
  <c r="K118" i="1" s="1"/>
  <c r="L119" i="1" s="1"/>
  <c r="M120" i="1" s="1"/>
  <c r="N121" i="1" s="1"/>
  <c r="O122" i="1" s="1"/>
  <c r="P123" i="1" s="1"/>
  <c r="E113" i="1"/>
  <c r="F114" i="1" s="1"/>
  <c r="G115" i="1" s="1"/>
  <c r="H116" i="1" s="1"/>
  <c r="I117" i="1" s="1"/>
  <c r="J118" i="1" s="1"/>
  <c r="K119" i="1" s="1"/>
  <c r="L120" i="1" s="1"/>
  <c r="M121" i="1" s="1"/>
  <c r="N122" i="1" s="1"/>
  <c r="O123" i="1" s="1"/>
  <c r="P124" i="1" s="1"/>
  <c r="E114" i="1"/>
  <c r="F115" i="1" s="1"/>
  <c r="G116" i="1" s="1"/>
  <c r="H117" i="1" s="1"/>
  <c r="E115" i="1"/>
  <c r="F116" i="1" s="1"/>
  <c r="G117" i="1" s="1"/>
  <c r="H118" i="1" s="1"/>
  <c r="I119" i="1" s="1"/>
  <c r="J120" i="1" s="1"/>
  <c r="K121" i="1" s="1"/>
  <c r="L122" i="1" s="1"/>
  <c r="M123" i="1" s="1"/>
  <c r="N124" i="1" s="1"/>
  <c r="O125" i="1" s="1"/>
  <c r="P126" i="1" s="1"/>
  <c r="E125" i="1"/>
  <c r="E127" i="1"/>
  <c r="F128" i="1" s="1"/>
  <c r="G129" i="1" s="1"/>
  <c r="H130" i="1" s="1"/>
  <c r="I131" i="1" s="1"/>
  <c r="J132" i="1" s="1"/>
  <c r="K133" i="1" s="1"/>
  <c r="L134" i="1" s="1"/>
  <c r="M135" i="1" s="1"/>
  <c r="N136" i="1" s="1"/>
  <c r="O137" i="1" s="1"/>
  <c r="P138" i="1" s="1"/>
  <c r="E132" i="1"/>
  <c r="F133" i="1" s="1"/>
  <c r="G134" i="1" s="1"/>
  <c r="H135" i="1" s="1"/>
  <c r="I136" i="1" s="1"/>
  <c r="J137" i="1" s="1"/>
  <c r="K138" i="1" s="1"/>
  <c r="L139" i="1" s="1"/>
  <c r="M140" i="1" s="1"/>
  <c r="N141" i="1" s="1"/>
  <c r="O142" i="1" s="1"/>
  <c r="P143" i="1" s="1"/>
  <c r="E133" i="1"/>
  <c r="F134" i="1" s="1"/>
  <c r="G135" i="1" s="1"/>
  <c r="H136" i="1" s="1"/>
  <c r="I137" i="1" s="1"/>
  <c r="J138" i="1" s="1"/>
  <c r="K139" i="1" s="1"/>
  <c r="L140" i="1" s="1"/>
  <c r="M141" i="1" s="1"/>
  <c r="N142" i="1" s="1"/>
  <c r="O143" i="1" s="1"/>
  <c r="P144" i="1" s="1"/>
  <c r="E136" i="1"/>
  <c r="F137" i="1" s="1"/>
  <c r="G138" i="1" s="1"/>
  <c r="H139" i="1" s="1"/>
  <c r="I140" i="1" s="1"/>
  <c r="J141" i="1" s="1"/>
  <c r="K142" i="1" s="1"/>
  <c r="L143" i="1" s="1"/>
  <c r="M144" i="1" s="1"/>
  <c r="N145" i="1" s="1"/>
  <c r="O146" i="1" s="1"/>
  <c r="P147" i="1" s="1"/>
  <c r="E148" i="1"/>
  <c r="F149" i="1" s="1"/>
  <c r="G150" i="1" s="1"/>
  <c r="H151" i="1" s="1"/>
  <c r="I152" i="1" s="1"/>
  <c r="J153" i="1" s="1"/>
  <c r="K154" i="1" s="1"/>
  <c r="L155" i="1" s="1"/>
  <c r="M156" i="1" s="1"/>
  <c r="N157" i="1" s="1"/>
  <c r="O158" i="1" s="1"/>
  <c r="P159" i="1" s="1"/>
  <c r="E149" i="1"/>
  <c r="F150" i="1" s="1"/>
  <c r="G151" i="1" s="1"/>
  <c r="H152" i="1" s="1"/>
  <c r="E150" i="1"/>
  <c r="F151" i="1" s="1"/>
  <c r="G152" i="1" s="1"/>
  <c r="H153" i="1" s="1"/>
  <c r="I154" i="1" s="1"/>
  <c r="J155" i="1" s="1"/>
  <c r="K156" i="1" s="1"/>
  <c r="L157" i="1" s="1"/>
  <c r="M158" i="1" s="1"/>
  <c r="N159" i="1" s="1"/>
  <c r="O160" i="1" s="1"/>
  <c r="P161" i="1" s="1"/>
  <c r="E151" i="1"/>
  <c r="F152" i="1" s="1"/>
  <c r="G153" i="1" s="1"/>
  <c r="H154" i="1" s="1"/>
  <c r="I155" i="1" s="1"/>
  <c r="J156" i="1" s="1"/>
  <c r="K157" i="1" s="1"/>
  <c r="L158" i="1" s="1"/>
  <c r="M159" i="1" s="1"/>
  <c r="N160" i="1" s="1"/>
  <c r="O161" i="1" s="1"/>
  <c r="P162" i="1" s="1"/>
  <c r="E160" i="1"/>
  <c r="F161" i="1" s="1"/>
  <c r="G162" i="1" s="1"/>
  <c r="H163" i="1" s="1"/>
  <c r="I164" i="1" s="1"/>
  <c r="J165" i="1" s="1"/>
  <c r="K166" i="1" s="1"/>
  <c r="L167" i="1" s="1"/>
  <c r="M168" i="1" s="1"/>
  <c r="N169" i="1" s="1"/>
  <c r="O170" i="1" s="1"/>
  <c r="P171" i="1" s="1"/>
  <c r="E161" i="1"/>
  <c r="F162" i="1" s="1"/>
  <c r="G163" i="1" s="1"/>
  <c r="H164" i="1" s="1"/>
  <c r="I165" i="1" s="1"/>
  <c r="J166" i="1" s="1"/>
  <c r="K167" i="1" s="1"/>
  <c r="L168" i="1" s="1"/>
  <c r="M169" i="1" s="1"/>
  <c r="N170" i="1" s="1"/>
  <c r="O171" i="1" s="1"/>
  <c r="P172" i="1" s="1"/>
  <c r="E169" i="1"/>
  <c r="F170" i="1" s="1"/>
  <c r="G171" i="1" s="1"/>
  <c r="E173" i="1"/>
  <c r="F174" i="1" s="1"/>
  <c r="G175" i="1" s="1"/>
  <c r="H176" i="1" s="1"/>
  <c r="I177" i="1" s="1"/>
  <c r="J178" i="1" s="1"/>
  <c r="K179" i="1" s="1"/>
  <c r="L180" i="1" s="1"/>
  <c r="M181" i="1" s="1"/>
  <c r="N182" i="1" s="1"/>
  <c r="O183" i="1" s="1"/>
  <c r="P184" i="1" s="1"/>
  <c r="E174" i="1"/>
  <c r="F175" i="1" s="1"/>
  <c r="G176" i="1" s="1"/>
  <c r="H177" i="1" s="1"/>
  <c r="I178" i="1" s="1"/>
  <c r="J179" i="1" s="1"/>
  <c r="K180" i="1" s="1"/>
  <c r="L181" i="1" s="1"/>
  <c r="M182" i="1" s="1"/>
  <c r="N183" i="1" s="1"/>
  <c r="O184" i="1" s="1"/>
  <c r="P185" i="1" s="1"/>
  <c r="E175" i="1"/>
  <c r="F176" i="1" s="1"/>
  <c r="G177" i="1" s="1"/>
  <c r="H178" i="1" s="1"/>
  <c r="I179" i="1" s="1"/>
  <c r="J180" i="1" s="1"/>
  <c r="K181" i="1" s="1"/>
  <c r="L182" i="1" s="1"/>
  <c r="M183" i="1" s="1"/>
  <c r="N184" i="1" s="1"/>
  <c r="O185" i="1" s="1"/>
  <c r="P186" i="1" s="1"/>
  <c r="E180" i="1"/>
  <c r="E181" i="1"/>
  <c r="F182" i="1" s="1"/>
  <c r="G183" i="1" s="1"/>
  <c r="H184" i="1" s="1"/>
  <c r="I185" i="1" s="1"/>
  <c r="J186" i="1" s="1"/>
  <c r="K187" i="1" s="1"/>
  <c r="L188" i="1" s="1"/>
  <c r="M189" i="1" s="1"/>
  <c r="N190" i="1" s="1"/>
  <c r="O191" i="1" s="1"/>
  <c r="P192" i="1" s="1"/>
  <c r="E193" i="1"/>
  <c r="F194" i="1" s="1"/>
  <c r="G195" i="1" s="1"/>
  <c r="H196" i="1" s="1"/>
  <c r="I197" i="1" s="1"/>
  <c r="J198" i="1" s="1"/>
  <c r="K199" i="1" s="1"/>
  <c r="L200" i="1" s="1"/>
  <c r="M201" i="1" s="1"/>
  <c r="N202" i="1" s="1"/>
  <c r="O203" i="1" s="1"/>
  <c r="P204" i="1" s="1"/>
  <c r="E196" i="1"/>
  <c r="F197" i="1" s="1"/>
  <c r="G198" i="1" s="1"/>
  <c r="H199" i="1" s="1"/>
  <c r="I200" i="1" s="1"/>
  <c r="J201" i="1" s="1"/>
  <c r="K202" i="1" s="1"/>
  <c r="L203" i="1" s="1"/>
  <c r="M204" i="1" s="1"/>
  <c r="N205" i="1" s="1"/>
  <c r="O206" i="1" s="1"/>
  <c r="P207" i="1" s="1"/>
  <c r="E197" i="1"/>
  <c r="F198" i="1" s="1"/>
  <c r="G199" i="1" s="1"/>
  <c r="H200" i="1" s="1"/>
  <c r="E198" i="1"/>
  <c r="F199" i="1" s="1"/>
  <c r="G200" i="1" s="1"/>
  <c r="H201" i="1" s="1"/>
  <c r="E199" i="1"/>
  <c r="F200" i="1" s="1"/>
  <c r="G201" i="1" s="1"/>
  <c r="H202" i="1" s="1"/>
  <c r="I203" i="1" s="1"/>
  <c r="J204" i="1" s="1"/>
  <c r="K205" i="1" s="1"/>
  <c r="L206" i="1" s="1"/>
  <c r="M207" i="1" s="1"/>
  <c r="N208" i="1" s="1"/>
  <c r="O209" i="1" s="1"/>
  <c r="P210" i="1" s="1"/>
  <c r="E209" i="1"/>
  <c r="E211" i="1"/>
  <c r="F212" i="1" s="1"/>
  <c r="G213" i="1" s="1"/>
  <c r="H214" i="1" s="1"/>
  <c r="I215" i="1" s="1"/>
  <c r="J216" i="1" s="1"/>
  <c r="K217" i="1" s="1"/>
  <c r="L218" i="1" s="1"/>
  <c r="M219" i="1" s="1"/>
  <c r="N220" i="1" s="1"/>
  <c r="O221" i="1" s="1"/>
  <c r="P222" i="1" s="1"/>
  <c r="E214" i="1"/>
  <c r="F215" i="1" s="1"/>
  <c r="G216" i="1" s="1"/>
  <c r="H217" i="1" s="1"/>
  <c r="I218" i="1" s="1"/>
  <c r="J219" i="1" s="1"/>
  <c r="K220" i="1" s="1"/>
  <c r="L221" i="1" s="1"/>
  <c r="M222" i="1" s="1"/>
  <c r="N223" i="1" s="1"/>
  <c r="O224" i="1" s="1"/>
  <c r="P225" i="1" s="1"/>
  <c r="E216" i="1"/>
  <c r="F217" i="1" s="1"/>
  <c r="G218" i="1" s="1"/>
  <c r="H219" i="1" s="1"/>
  <c r="I220" i="1" s="1"/>
  <c r="J221" i="1" s="1"/>
  <c r="K222" i="1" s="1"/>
  <c r="L223" i="1" s="1"/>
  <c r="M224" i="1" s="1"/>
  <c r="N225" i="1" s="1"/>
  <c r="O226" i="1" s="1"/>
  <c r="P227" i="1" s="1"/>
  <c r="E221" i="1"/>
  <c r="F222" i="1" s="1"/>
  <c r="G223" i="1" s="1"/>
  <c r="H224" i="1" s="1"/>
  <c r="I225" i="1" s="1"/>
  <c r="J226" i="1" s="1"/>
  <c r="K227" i="1" s="1"/>
  <c r="L228" i="1" s="1"/>
  <c r="M229" i="1" s="1"/>
  <c r="N230" i="1" s="1"/>
  <c r="O231" i="1" s="1"/>
  <c r="P232" i="1" s="1"/>
  <c r="E222" i="1"/>
  <c r="F223" i="1" s="1"/>
  <c r="G224" i="1" s="1"/>
  <c r="H225" i="1" s="1"/>
  <c r="I226" i="1" s="1"/>
  <c r="J227" i="1" s="1"/>
  <c r="K228" i="1" s="1"/>
  <c r="L229" i="1" s="1"/>
  <c r="M230" i="1" s="1"/>
  <c r="N231" i="1" s="1"/>
  <c r="O232" i="1" s="1"/>
  <c r="P233" i="1" s="1"/>
  <c r="E227" i="1"/>
  <c r="F228" i="1" s="1"/>
  <c r="E228" i="1"/>
  <c r="F229" i="1" s="1"/>
  <c r="G230" i="1" s="1"/>
  <c r="H231" i="1" s="1"/>
  <c r="I232" i="1" s="1"/>
  <c r="J233" i="1" s="1"/>
  <c r="K234" i="1" s="1"/>
  <c r="L235" i="1" s="1"/>
  <c r="M236" i="1" s="1"/>
  <c r="N237" i="1" s="1"/>
  <c r="O238" i="1" s="1"/>
  <c r="P239" i="1" s="1"/>
  <c r="E232" i="1"/>
  <c r="F233" i="1" s="1"/>
  <c r="G234" i="1" s="1"/>
  <c r="H235" i="1" s="1"/>
  <c r="I236" i="1" s="1"/>
  <c r="J237" i="1" s="1"/>
  <c r="E233" i="1"/>
  <c r="F234" i="1" s="1"/>
  <c r="G235" i="1" s="1"/>
  <c r="H236" i="1" s="1"/>
  <c r="I237" i="1" s="1"/>
  <c r="J238" i="1" s="1"/>
  <c r="K239" i="1" s="1"/>
  <c r="L240" i="1" s="1"/>
  <c r="M241" i="1" s="1"/>
  <c r="N242" i="1" s="1"/>
  <c r="O243" i="1" s="1"/>
  <c r="P244" i="1" s="1"/>
  <c r="E234" i="1"/>
  <c r="F235" i="1" s="1"/>
  <c r="G236" i="1" s="1"/>
  <c r="H237" i="1" s="1"/>
  <c r="I238" i="1" s="1"/>
  <c r="J239" i="1" s="1"/>
  <c r="K240" i="1" s="1"/>
  <c r="L241" i="1" s="1"/>
  <c r="M242" i="1" s="1"/>
  <c r="N243" i="1" s="1"/>
  <c r="O244" i="1" s="1"/>
  <c r="P245" i="1" s="1"/>
  <c r="E239" i="1"/>
  <c r="F240" i="1" s="1"/>
  <c r="G241" i="1" s="1"/>
  <c r="H242" i="1" s="1"/>
  <c r="I243" i="1" s="1"/>
  <c r="E245" i="1"/>
  <c r="F246" i="1" s="1"/>
  <c r="G247" i="1" s="1"/>
  <c r="H248" i="1" s="1"/>
  <c r="I249" i="1" s="1"/>
  <c r="J250" i="1" s="1"/>
  <c r="K251" i="1" s="1"/>
  <c r="L252" i="1" s="1"/>
  <c r="M253" i="1" s="1"/>
  <c r="N254" i="1" s="1"/>
  <c r="O255" i="1" s="1"/>
  <c r="P256" i="1" s="1"/>
  <c r="E246" i="1"/>
  <c r="F247" i="1" s="1"/>
  <c r="G248" i="1" s="1"/>
  <c r="H249" i="1" s="1"/>
  <c r="I250" i="1" s="1"/>
  <c r="J251" i="1" s="1"/>
  <c r="K252" i="1" s="1"/>
  <c r="L253" i="1" s="1"/>
  <c r="M254" i="1" s="1"/>
  <c r="N255" i="1" s="1"/>
  <c r="O256" i="1" s="1"/>
  <c r="P257" i="1" s="1"/>
  <c r="E247" i="1"/>
  <c r="F248" i="1" s="1"/>
  <c r="G249" i="1" s="1"/>
  <c r="H250" i="1" s="1"/>
  <c r="I251" i="1" s="1"/>
  <c r="J252" i="1" s="1"/>
  <c r="K253" i="1" s="1"/>
  <c r="L254" i="1" s="1"/>
  <c r="M255" i="1" s="1"/>
  <c r="N256" i="1" s="1"/>
  <c r="O257" i="1" s="1"/>
  <c r="P258" i="1" s="1"/>
  <c r="E248" i="1"/>
  <c r="F249" i="1" s="1"/>
  <c r="G250" i="1" s="1"/>
  <c r="H251" i="1" s="1"/>
  <c r="I252" i="1" s="1"/>
  <c r="J253" i="1" s="1"/>
  <c r="K254" i="1" s="1"/>
  <c r="L255" i="1" s="1"/>
  <c r="M256" i="1" s="1"/>
  <c r="N257" i="1" s="1"/>
  <c r="O258" i="1" s="1"/>
  <c r="P259" i="1" s="1"/>
  <c r="E251" i="1"/>
  <c r="F252" i="1" s="1"/>
  <c r="G253" i="1" s="1"/>
  <c r="H254" i="1" s="1"/>
  <c r="I255" i="1" s="1"/>
  <c r="J256" i="1" s="1"/>
  <c r="K257" i="1" s="1"/>
  <c r="L258" i="1" s="1"/>
  <c r="M259" i="1" s="1"/>
  <c r="N260" i="1" s="1"/>
  <c r="O261" i="1" s="1"/>
  <c r="P262" i="1" s="1"/>
  <c r="E252" i="1"/>
  <c r="F253" i="1" s="1"/>
  <c r="G254" i="1" s="1"/>
  <c r="H255" i="1" s="1"/>
  <c r="I256" i="1" s="1"/>
  <c r="J257" i="1" s="1"/>
  <c r="K258" i="1" s="1"/>
  <c r="L259" i="1" s="1"/>
  <c r="M260" i="1" s="1"/>
  <c r="N261" i="1" s="1"/>
  <c r="O262" i="1" s="1"/>
  <c r="P263" i="1" s="1"/>
  <c r="E257" i="1"/>
  <c r="E262" i="1"/>
  <c r="F263" i="1" s="1"/>
  <c r="G264" i="1" s="1"/>
  <c r="H265" i="1" s="1"/>
  <c r="I266" i="1" s="1"/>
  <c r="J267" i="1" s="1"/>
  <c r="K268" i="1" s="1"/>
  <c r="L269" i="1" s="1"/>
  <c r="M270" i="1" s="1"/>
  <c r="N271" i="1" s="1"/>
  <c r="O272" i="1" s="1"/>
  <c r="P273" i="1" s="1"/>
  <c r="E263" i="1"/>
  <c r="F264" i="1" s="1"/>
  <c r="G265" i="1" s="1"/>
  <c r="H266" i="1" s="1"/>
  <c r="I267" i="1" s="1"/>
  <c r="J268" i="1" s="1"/>
  <c r="K269" i="1" s="1"/>
  <c r="L270" i="1" s="1"/>
  <c r="M271" i="1" s="1"/>
  <c r="N272" i="1" s="1"/>
  <c r="O273" i="1" s="1"/>
  <c r="P274" i="1" s="1"/>
  <c r="E264" i="1"/>
  <c r="F265" i="1" s="1"/>
  <c r="G266" i="1" s="1"/>
  <c r="H267" i="1" s="1"/>
  <c r="I268" i="1" s="1"/>
  <c r="J269" i="1" s="1"/>
  <c r="K270" i="1" s="1"/>
  <c r="L271" i="1" s="1"/>
  <c r="M272" i="1" s="1"/>
  <c r="N273" i="1" s="1"/>
  <c r="O274" i="1" s="1"/>
  <c r="P275" i="1" s="1"/>
  <c r="E269" i="1"/>
  <c r="F270" i="1" s="1"/>
  <c r="G271" i="1" s="1"/>
  <c r="H272" i="1" s="1"/>
  <c r="I273" i="1" s="1"/>
  <c r="J274" i="1" s="1"/>
  <c r="K275" i="1" s="1"/>
  <c r="L276" i="1" s="1"/>
  <c r="M277" i="1" s="1"/>
  <c r="N278" i="1" s="1"/>
  <c r="O279" i="1" s="1"/>
  <c r="P280" i="1" s="1"/>
  <c r="E270" i="1"/>
  <c r="F271" i="1" s="1"/>
  <c r="G272" i="1" s="1"/>
  <c r="H273" i="1" s="1"/>
  <c r="I274" i="1" s="1"/>
  <c r="J275" i="1" s="1"/>
  <c r="K276" i="1" s="1"/>
  <c r="L277" i="1" s="1"/>
  <c r="M278" i="1" s="1"/>
  <c r="N279" i="1" s="1"/>
  <c r="O280" i="1" s="1"/>
  <c r="P281" i="1" s="1"/>
  <c r="E275" i="1"/>
  <c r="F276" i="1" s="1"/>
  <c r="G277" i="1" s="1"/>
  <c r="H278" i="1" s="1"/>
  <c r="I279" i="1" s="1"/>
  <c r="J280" i="1" s="1"/>
  <c r="K281" i="1" s="1"/>
  <c r="L282" i="1" s="1"/>
  <c r="M283" i="1" s="1"/>
  <c r="N284" i="1" s="1"/>
  <c r="O285" i="1" s="1"/>
  <c r="P286" i="1" s="1"/>
  <c r="E276" i="1"/>
  <c r="F277" i="1" s="1"/>
  <c r="G278" i="1" s="1"/>
  <c r="H279" i="1" s="1"/>
  <c r="I280" i="1" s="1"/>
  <c r="J281" i="1" s="1"/>
  <c r="K282" i="1" s="1"/>
  <c r="L283" i="1" s="1"/>
  <c r="M284" i="1" s="1"/>
  <c r="N285" i="1" s="1"/>
  <c r="O286" i="1" s="1"/>
  <c r="P287" i="1" s="1"/>
  <c r="E280" i="1"/>
  <c r="F281" i="1" s="1"/>
  <c r="G282" i="1" s="1"/>
  <c r="H283" i="1" s="1"/>
  <c r="I284" i="1" s="1"/>
  <c r="J285" i="1" s="1"/>
  <c r="K286" i="1" s="1"/>
  <c r="L287" i="1" s="1"/>
  <c r="M288" i="1" s="1"/>
  <c r="N289" i="1" s="1"/>
  <c r="O290" i="1" s="1"/>
  <c r="P291" i="1" s="1"/>
  <c r="E281" i="1"/>
  <c r="F282" i="1" s="1"/>
  <c r="G283" i="1" s="1"/>
  <c r="H284" i="1" s="1"/>
  <c r="I285" i="1" s="1"/>
  <c r="J286" i="1" s="1"/>
  <c r="K287" i="1" s="1"/>
  <c r="L288" i="1" s="1"/>
  <c r="M289" i="1" s="1"/>
  <c r="N290" i="1" s="1"/>
  <c r="O291" i="1" s="1"/>
  <c r="P292" i="1" s="1"/>
  <c r="E282" i="1"/>
  <c r="F283" i="1" s="1"/>
  <c r="G284" i="1" s="1"/>
  <c r="H285" i="1" s="1"/>
  <c r="I286" i="1" s="1"/>
  <c r="J287" i="1" s="1"/>
  <c r="K288" i="1" s="1"/>
  <c r="L289" i="1" s="1"/>
  <c r="M290" i="1" s="1"/>
  <c r="N291" i="1" s="1"/>
  <c r="O292" i="1" s="1"/>
  <c r="P293" i="1" s="1"/>
  <c r="E293" i="1"/>
  <c r="F294" i="1" s="1"/>
  <c r="G295" i="1" s="1"/>
  <c r="E294" i="1"/>
  <c r="F295" i="1" s="1"/>
  <c r="G296" i="1" s="1"/>
  <c r="E295" i="1"/>
  <c r="F296" i="1" s="1"/>
  <c r="G297" i="1" s="1"/>
  <c r="H298" i="1" s="1"/>
  <c r="I299" i="1" s="1"/>
  <c r="J300" i="1" s="1"/>
  <c r="K301" i="1" s="1"/>
  <c r="L302" i="1" s="1"/>
  <c r="M303" i="1" s="1"/>
  <c r="N304" i="1" s="1"/>
  <c r="O305" i="1" s="1"/>
  <c r="P306" i="1" s="1"/>
  <c r="E296" i="1"/>
  <c r="F297" i="1" s="1"/>
  <c r="G298" i="1" s="1"/>
  <c r="H299" i="1" s="1"/>
  <c r="I300" i="1" s="1"/>
  <c r="J301" i="1" s="1"/>
  <c r="K302" i="1" s="1"/>
  <c r="L303" i="1" s="1"/>
  <c r="M304" i="1" s="1"/>
  <c r="N305" i="1" s="1"/>
  <c r="O306" i="1" s="1"/>
  <c r="P307" i="1" s="1"/>
  <c r="E299" i="1"/>
  <c r="F300" i="1" s="1"/>
  <c r="G301" i="1" s="1"/>
  <c r="E300" i="1"/>
  <c r="F301" i="1" s="1"/>
  <c r="G302" i="1" s="1"/>
  <c r="H303" i="1" s="1"/>
  <c r="I304" i="1" s="1"/>
  <c r="J305" i="1" s="1"/>
  <c r="K306" i="1" s="1"/>
  <c r="L307" i="1" s="1"/>
  <c r="M308" i="1" s="1"/>
  <c r="N309" i="1" s="1"/>
  <c r="O310" i="1" s="1"/>
  <c r="P311" i="1" s="1"/>
  <c r="E310" i="1"/>
  <c r="F311" i="1" s="1"/>
  <c r="G312" i="1" s="1"/>
  <c r="H313" i="1" s="1"/>
  <c r="I314" i="1" s="1"/>
  <c r="J315" i="1" s="1"/>
  <c r="K316" i="1" s="1"/>
  <c r="L317" i="1" s="1"/>
  <c r="M318" i="1" s="1"/>
  <c r="N319" i="1" s="1"/>
  <c r="O320" i="1" s="1"/>
  <c r="P321" i="1" s="1"/>
  <c r="E311" i="1"/>
  <c r="F312" i="1" s="1"/>
  <c r="G313" i="1" s="1"/>
  <c r="H314" i="1" s="1"/>
  <c r="I315" i="1" s="1"/>
  <c r="J316" i="1" s="1"/>
  <c r="K317" i="1" s="1"/>
  <c r="L318" i="1" s="1"/>
  <c r="M319" i="1" s="1"/>
  <c r="N320" i="1" s="1"/>
  <c r="O321" i="1" s="1"/>
  <c r="P322" i="1" s="1"/>
  <c r="E312" i="1"/>
  <c r="F313" i="1" s="1"/>
  <c r="G314" i="1" s="1"/>
  <c r="H315" i="1" s="1"/>
  <c r="I316" i="1" s="1"/>
  <c r="J317" i="1" s="1"/>
  <c r="K318" i="1" s="1"/>
  <c r="L319" i="1" s="1"/>
  <c r="M320" i="1" s="1"/>
  <c r="N321" i="1" s="1"/>
  <c r="O322" i="1" s="1"/>
  <c r="P323" i="1" s="1"/>
  <c r="E317" i="1"/>
  <c r="F318" i="1" s="1"/>
  <c r="G319" i="1" s="1"/>
  <c r="H320" i="1" s="1"/>
  <c r="I321" i="1" s="1"/>
  <c r="J322" i="1" s="1"/>
  <c r="K323" i="1" s="1"/>
  <c r="L324" i="1" s="1"/>
  <c r="M325" i="1" s="1"/>
  <c r="N326" i="1" s="1"/>
  <c r="O327" i="1" s="1"/>
  <c r="P328" i="1" s="1"/>
  <c r="E318" i="1"/>
  <c r="F319" i="1" s="1"/>
  <c r="G320" i="1" s="1"/>
  <c r="H321" i="1" s="1"/>
  <c r="I322" i="1" s="1"/>
  <c r="J323" i="1" s="1"/>
  <c r="K324" i="1" s="1"/>
  <c r="L325" i="1" s="1"/>
  <c r="M326" i="1" s="1"/>
  <c r="N327" i="1" s="1"/>
  <c r="O328" i="1" s="1"/>
  <c r="P329" i="1" s="1"/>
  <c r="E323" i="1"/>
  <c r="F324" i="1" s="1"/>
  <c r="G325" i="1" s="1"/>
  <c r="H326" i="1" s="1"/>
  <c r="I327" i="1" s="1"/>
  <c r="J328" i="1" s="1"/>
  <c r="K329" i="1" s="1"/>
  <c r="L330" i="1" s="1"/>
  <c r="M331" i="1" s="1"/>
  <c r="N332" i="1" s="1"/>
  <c r="O333" i="1" s="1"/>
  <c r="P334" i="1" s="1"/>
  <c r="E324" i="1"/>
  <c r="F325" i="1" s="1"/>
  <c r="G326" i="1" s="1"/>
  <c r="H327" i="1" s="1"/>
  <c r="I328" i="1" s="1"/>
  <c r="J329" i="1" s="1"/>
  <c r="K330" i="1" s="1"/>
  <c r="L331" i="1" s="1"/>
  <c r="M332" i="1" s="1"/>
  <c r="N333" i="1" s="1"/>
  <c r="O334" i="1" s="1"/>
  <c r="P335" i="1" s="1"/>
  <c r="E328" i="1"/>
  <c r="F329" i="1" s="1"/>
  <c r="G330" i="1" s="1"/>
  <c r="H331" i="1" s="1"/>
  <c r="I332" i="1" s="1"/>
  <c r="J333" i="1" s="1"/>
  <c r="K334" i="1" s="1"/>
  <c r="L335" i="1" s="1"/>
  <c r="M336" i="1" s="1"/>
  <c r="N337" i="1" s="1"/>
  <c r="O338" i="1" s="1"/>
  <c r="P339" i="1" s="1"/>
  <c r="E329" i="1"/>
  <c r="F330" i="1" s="1"/>
  <c r="G331" i="1" s="1"/>
  <c r="H332" i="1" s="1"/>
  <c r="I333" i="1" s="1"/>
  <c r="J334" i="1" s="1"/>
  <c r="K335" i="1" s="1"/>
  <c r="L336" i="1" s="1"/>
  <c r="M337" i="1" s="1"/>
  <c r="N338" i="1" s="1"/>
  <c r="O339" i="1" s="1"/>
  <c r="P340" i="1" s="1"/>
  <c r="E330" i="1"/>
  <c r="F331" i="1" s="1"/>
  <c r="G332" i="1" s="1"/>
  <c r="H333" i="1" s="1"/>
  <c r="I334" i="1" s="1"/>
  <c r="J335" i="1" s="1"/>
  <c r="K336" i="1" s="1"/>
  <c r="L337" i="1" s="1"/>
  <c r="M338" i="1" s="1"/>
  <c r="N339" i="1" s="1"/>
  <c r="O340" i="1" s="1"/>
  <c r="P341" i="1" s="1"/>
  <c r="E341" i="1"/>
  <c r="F342" i="1" s="1"/>
  <c r="G343" i="1" s="1"/>
  <c r="H344" i="1" s="1"/>
  <c r="E342" i="1"/>
  <c r="F343" i="1" s="1"/>
  <c r="G344" i="1" s="1"/>
  <c r="E343" i="1"/>
  <c r="F344" i="1" s="1"/>
  <c r="E344" i="1"/>
  <c r="F345" i="1" s="1"/>
  <c r="G346" i="1" s="1"/>
  <c r="H347" i="1" s="1"/>
  <c r="I348" i="1" s="1"/>
  <c r="J349" i="1" s="1"/>
  <c r="E347" i="1"/>
  <c r="F348" i="1" s="1"/>
  <c r="G349" i="1" s="1"/>
  <c r="E348" i="1"/>
  <c r="F349" i="1" s="1"/>
  <c r="C4" i="1"/>
  <c r="D4" i="1"/>
  <c r="C5" i="1"/>
  <c r="D5" i="1"/>
  <c r="C6" i="1"/>
  <c r="D6" i="1"/>
  <c r="C7" i="1"/>
  <c r="E8" i="1" s="1"/>
  <c r="F9" i="1" s="1"/>
  <c r="G10" i="1" s="1"/>
  <c r="H11" i="1" s="1"/>
  <c r="I12" i="1" s="1"/>
  <c r="J13" i="1" s="1"/>
  <c r="K14" i="1" s="1"/>
  <c r="L15" i="1" s="1"/>
  <c r="M16" i="1" s="1"/>
  <c r="N17" i="1" s="1"/>
  <c r="O18" i="1" s="1"/>
  <c r="P19" i="1" s="1"/>
  <c r="D7" i="1"/>
  <c r="C8" i="1"/>
  <c r="E9" i="1" s="1"/>
  <c r="F10" i="1" s="1"/>
  <c r="G11" i="1" s="1"/>
  <c r="H12" i="1" s="1"/>
  <c r="I13" i="1" s="1"/>
  <c r="J14" i="1" s="1"/>
  <c r="K15" i="1" s="1"/>
  <c r="L16" i="1" s="1"/>
  <c r="M17" i="1" s="1"/>
  <c r="N18" i="1" s="1"/>
  <c r="O19" i="1" s="1"/>
  <c r="P20" i="1" s="1"/>
  <c r="D8" i="1"/>
  <c r="C9" i="1"/>
  <c r="E10" i="1" s="1"/>
  <c r="F11" i="1" s="1"/>
  <c r="G12" i="1" s="1"/>
  <c r="H13" i="1" s="1"/>
  <c r="I14" i="1" s="1"/>
  <c r="J15" i="1" s="1"/>
  <c r="K16" i="1" s="1"/>
  <c r="L17" i="1" s="1"/>
  <c r="M18" i="1" s="1"/>
  <c r="N19" i="1" s="1"/>
  <c r="O20" i="1" s="1"/>
  <c r="P21" i="1" s="1"/>
  <c r="D9" i="1"/>
  <c r="C10" i="1"/>
  <c r="E11" i="1" s="1"/>
  <c r="F12" i="1" s="1"/>
  <c r="G13" i="1" s="1"/>
  <c r="H14" i="1" s="1"/>
  <c r="I15" i="1" s="1"/>
  <c r="J16" i="1" s="1"/>
  <c r="K17" i="1" s="1"/>
  <c r="L18" i="1" s="1"/>
  <c r="M19" i="1" s="1"/>
  <c r="N20" i="1" s="1"/>
  <c r="O21" i="1" s="1"/>
  <c r="P22" i="1" s="1"/>
  <c r="D10" i="1"/>
  <c r="C11" i="1"/>
  <c r="E12" i="1" s="1"/>
  <c r="F13" i="1" s="1"/>
  <c r="G14" i="1" s="1"/>
  <c r="H15" i="1" s="1"/>
  <c r="I16" i="1" s="1"/>
  <c r="J17" i="1" s="1"/>
  <c r="K18" i="1" s="1"/>
  <c r="L19" i="1" s="1"/>
  <c r="M20" i="1" s="1"/>
  <c r="N21" i="1" s="1"/>
  <c r="O22" i="1" s="1"/>
  <c r="P23" i="1" s="1"/>
  <c r="D11" i="1"/>
  <c r="C12" i="1"/>
  <c r="E13" i="1" s="1"/>
  <c r="F14" i="1" s="1"/>
  <c r="G15" i="1" s="1"/>
  <c r="H16" i="1" s="1"/>
  <c r="I17" i="1" s="1"/>
  <c r="J18" i="1" s="1"/>
  <c r="K19" i="1" s="1"/>
  <c r="L20" i="1" s="1"/>
  <c r="M21" i="1" s="1"/>
  <c r="N22" i="1" s="1"/>
  <c r="O23" i="1" s="1"/>
  <c r="P24" i="1" s="1"/>
  <c r="D12" i="1"/>
  <c r="C13" i="1"/>
  <c r="E14" i="1" s="1"/>
  <c r="F15" i="1" s="1"/>
  <c r="G16" i="1" s="1"/>
  <c r="H17" i="1" s="1"/>
  <c r="I18" i="1" s="1"/>
  <c r="J19" i="1" s="1"/>
  <c r="K20" i="1" s="1"/>
  <c r="L21" i="1" s="1"/>
  <c r="M22" i="1" s="1"/>
  <c r="N23" i="1" s="1"/>
  <c r="O24" i="1" s="1"/>
  <c r="P25" i="1" s="1"/>
  <c r="D13" i="1"/>
  <c r="C14" i="1"/>
  <c r="E15" i="1" s="1"/>
  <c r="F16" i="1" s="1"/>
  <c r="G17" i="1" s="1"/>
  <c r="H18" i="1" s="1"/>
  <c r="I19" i="1" s="1"/>
  <c r="J20" i="1" s="1"/>
  <c r="K21" i="1" s="1"/>
  <c r="L22" i="1" s="1"/>
  <c r="M23" i="1" s="1"/>
  <c r="N24" i="1" s="1"/>
  <c r="O25" i="1" s="1"/>
  <c r="P26" i="1" s="1"/>
  <c r="D14" i="1"/>
  <c r="C15" i="1"/>
  <c r="E16" i="1" s="1"/>
  <c r="F17" i="1" s="1"/>
  <c r="G18" i="1" s="1"/>
  <c r="H19" i="1" s="1"/>
  <c r="I20" i="1" s="1"/>
  <c r="J21" i="1" s="1"/>
  <c r="K22" i="1" s="1"/>
  <c r="L23" i="1" s="1"/>
  <c r="M24" i="1" s="1"/>
  <c r="N25" i="1" s="1"/>
  <c r="O26" i="1" s="1"/>
  <c r="P27" i="1" s="1"/>
  <c r="D15" i="1"/>
  <c r="C16" i="1"/>
  <c r="D16" i="1"/>
  <c r="C17" i="1"/>
  <c r="E18" i="1" s="1"/>
  <c r="F19" i="1" s="1"/>
  <c r="G20" i="1" s="1"/>
  <c r="H21" i="1" s="1"/>
  <c r="I22" i="1" s="1"/>
  <c r="J23" i="1" s="1"/>
  <c r="K24" i="1" s="1"/>
  <c r="L25" i="1" s="1"/>
  <c r="M26" i="1" s="1"/>
  <c r="N27" i="1" s="1"/>
  <c r="O28" i="1" s="1"/>
  <c r="P29" i="1" s="1"/>
  <c r="D17" i="1"/>
  <c r="C18" i="1"/>
  <c r="D18" i="1"/>
  <c r="C19" i="1"/>
  <c r="E20" i="1" s="1"/>
  <c r="F21" i="1" s="1"/>
  <c r="G22" i="1" s="1"/>
  <c r="H23" i="1" s="1"/>
  <c r="I24" i="1" s="1"/>
  <c r="J25" i="1" s="1"/>
  <c r="K26" i="1" s="1"/>
  <c r="L27" i="1" s="1"/>
  <c r="M28" i="1" s="1"/>
  <c r="N29" i="1" s="1"/>
  <c r="O30" i="1" s="1"/>
  <c r="P31" i="1" s="1"/>
  <c r="D19" i="1"/>
  <c r="C20" i="1"/>
  <c r="E21" i="1" s="1"/>
  <c r="F22" i="1" s="1"/>
  <c r="G23" i="1" s="1"/>
  <c r="H24" i="1" s="1"/>
  <c r="I25" i="1" s="1"/>
  <c r="J26" i="1" s="1"/>
  <c r="K27" i="1" s="1"/>
  <c r="L28" i="1" s="1"/>
  <c r="M29" i="1" s="1"/>
  <c r="N30" i="1" s="1"/>
  <c r="O31" i="1" s="1"/>
  <c r="P32" i="1" s="1"/>
  <c r="D20" i="1"/>
  <c r="C21" i="1"/>
  <c r="E22" i="1" s="1"/>
  <c r="F23" i="1" s="1"/>
  <c r="G24" i="1" s="1"/>
  <c r="H25" i="1" s="1"/>
  <c r="I26" i="1" s="1"/>
  <c r="J27" i="1" s="1"/>
  <c r="K28" i="1" s="1"/>
  <c r="L29" i="1" s="1"/>
  <c r="M30" i="1" s="1"/>
  <c r="N31" i="1" s="1"/>
  <c r="O32" i="1" s="1"/>
  <c r="P33" i="1" s="1"/>
  <c r="D21" i="1"/>
  <c r="C22" i="1"/>
  <c r="E23" i="1" s="1"/>
  <c r="F24" i="1" s="1"/>
  <c r="D22" i="1"/>
  <c r="C23" i="1"/>
  <c r="D23" i="1"/>
  <c r="C24" i="1"/>
  <c r="D24" i="1"/>
  <c r="C25" i="1"/>
  <c r="E26" i="1" s="1"/>
  <c r="F27" i="1" s="1"/>
  <c r="G28" i="1" s="1"/>
  <c r="H29" i="1" s="1"/>
  <c r="I30" i="1" s="1"/>
  <c r="J31" i="1" s="1"/>
  <c r="K32" i="1" s="1"/>
  <c r="L33" i="1" s="1"/>
  <c r="M34" i="1" s="1"/>
  <c r="N35" i="1" s="1"/>
  <c r="O36" i="1" s="1"/>
  <c r="P37" i="1" s="1"/>
  <c r="D25" i="1"/>
  <c r="C26" i="1"/>
  <c r="E27" i="1" s="1"/>
  <c r="F28" i="1" s="1"/>
  <c r="G29" i="1" s="1"/>
  <c r="H30" i="1" s="1"/>
  <c r="I31" i="1" s="1"/>
  <c r="J32" i="1" s="1"/>
  <c r="K33" i="1" s="1"/>
  <c r="L34" i="1" s="1"/>
  <c r="M35" i="1" s="1"/>
  <c r="N36" i="1" s="1"/>
  <c r="O37" i="1" s="1"/>
  <c r="P38" i="1" s="1"/>
  <c r="D26" i="1"/>
  <c r="C27" i="1"/>
  <c r="E28" i="1" s="1"/>
  <c r="F29" i="1" s="1"/>
  <c r="G30" i="1" s="1"/>
  <c r="H31" i="1" s="1"/>
  <c r="I32" i="1" s="1"/>
  <c r="J33" i="1" s="1"/>
  <c r="K34" i="1" s="1"/>
  <c r="L35" i="1" s="1"/>
  <c r="M36" i="1" s="1"/>
  <c r="N37" i="1" s="1"/>
  <c r="O38" i="1" s="1"/>
  <c r="P39" i="1" s="1"/>
  <c r="D27" i="1"/>
  <c r="C28" i="1"/>
  <c r="D28" i="1"/>
  <c r="C29" i="1"/>
  <c r="D29" i="1"/>
  <c r="C30" i="1"/>
  <c r="D30" i="1"/>
  <c r="C31" i="1"/>
  <c r="E32" i="1" s="1"/>
  <c r="F33" i="1" s="1"/>
  <c r="G34" i="1" s="1"/>
  <c r="H35" i="1" s="1"/>
  <c r="I36" i="1" s="1"/>
  <c r="J37" i="1" s="1"/>
  <c r="K38" i="1" s="1"/>
  <c r="L39" i="1" s="1"/>
  <c r="M40" i="1" s="1"/>
  <c r="N41" i="1" s="1"/>
  <c r="O42" i="1" s="1"/>
  <c r="P43" i="1" s="1"/>
  <c r="D31" i="1"/>
  <c r="C32" i="1"/>
  <c r="E33" i="1" s="1"/>
  <c r="F34" i="1" s="1"/>
  <c r="G35" i="1" s="1"/>
  <c r="H36" i="1" s="1"/>
  <c r="I37" i="1" s="1"/>
  <c r="J38" i="1" s="1"/>
  <c r="K39" i="1" s="1"/>
  <c r="L40" i="1" s="1"/>
  <c r="M41" i="1" s="1"/>
  <c r="N42" i="1" s="1"/>
  <c r="O43" i="1" s="1"/>
  <c r="P44" i="1" s="1"/>
  <c r="D32" i="1"/>
  <c r="C33" i="1"/>
  <c r="E34" i="1" s="1"/>
  <c r="F35" i="1" s="1"/>
  <c r="G36" i="1" s="1"/>
  <c r="H37" i="1" s="1"/>
  <c r="I38" i="1" s="1"/>
  <c r="D33" i="1"/>
  <c r="C34" i="1"/>
  <c r="E35" i="1" s="1"/>
  <c r="F36" i="1" s="1"/>
  <c r="D34" i="1"/>
  <c r="C35" i="1"/>
  <c r="E36" i="1" s="1"/>
  <c r="F37" i="1" s="1"/>
  <c r="G38" i="1" s="1"/>
  <c r="H39" i="1" s="1"/>
  <c r="I40" i="1" s="1"/>
  <c r="J41" i="1" s="1"/>
  <c r="K42" i="1" s="1"/>
  <c r="L43" i="1" s="1"/>
  <c r="M44" i="1" s="1"/>
  <c r="N45" i="1" s="1"/>
  <c r="O46" i="1" s="1"/>
  <c r="P47" i="1" s="1"/>
  <c r="D35" i="1"/>
  <c r="C36" i="1"/>
  <c r="E37" i="1" s="1"/>
  <c r="F38" i="1" s="1"/>
  <c r="G39" i="1" s="1"/>
  <c r="H40" i="1" s="1"/>
  <c r="I41" i="1" s="1"/>
  <c r="J42" i="1" s="1"/>
  <c r="K43" i="1" s="1"/>
  <c r="L44" i="1" s="1"/>
  <c r="M45" i="1" s="1"/>
  <c r="N46" i="1" s="1"/>
  <c r="O47" i="1" s="1"/>
  <c r="P48" i="1" s="1"/>
  <c r="D36" i="1"/>
  <c r="C37" i="1"/>
  <c r="E38" i="1" s="1"/>
  <c r="F39" i="1" s="1"/>
  <c r="G40" i="1" s="1"/>
  <c r="H41" i="1" s="1"/>
  <c r="I42" i="1" s="1"/>
  <c r="J43" i="1" s="1"/>
  <c r="K44" i="1" s="1"/>
  <c r="L45" i="1" s="1"/>
  <c r="M46" i="1" s="1"/>
  <c r="N47" i="1" s="1"/>
  <c r="O48" i="1" s="1"/>
  <c r="P49" i="1" s="1"/>
  <c r="D37" i="1"/>
  <c r="C38" i="1"/>
  <c r="E39" i="1" s="1"/>
  <c r="F40" i="1" s="1"/>
  <c r="G41" i="1" s="1"/>
  <c r="H42" i="1" s="1"/>
  <c r="I43" i="1" s="1"/>
  <c r="J44" i="1" s="1"/>
  <c r="K45" i="1" s="1"/>
  <c r="L46" i="1" s="1"/>
  <c r="M47" i="1" s="1"/>
  <c r="N48" i="1" s="1"/>
  <c r="O49" i="1" s="1"/>
  <c r="P50" i="1" s="1"/>
  <c r="D38" i="1"/>
  <c r="C39" i="1"/>
  <c r="D39" i="1"/>
  <c r="C40" i="1"/>
  <c r="E41" i="1" s="1"/>
  <c r="D40" i="1"/>
  <c r="C41" i="1"/>
  <c r="E42" i="1" s="1"/>
  <c r="F43" i="1" s="1"/>
  <c r="G44" i="1" s="1"/>
  <c r="H45" i="1" s="1"/>
  <c r="I46" i="1" s="1"/>
  <c r="J47" i="1" s="1"/>
  <c r="K48" i="1" s="1"/>
  <c r="L49" i="1" s="1"/>
  <c r="M50" i="1" s="1"/>
  <c r="N51" i="1" s="1"/>
  <c r="O52" i="1" s="1"/>
  <c r="P53" i="1" s="1"/>
  <c r="D41" i="1"/>
  <c r="C42" i="1"/>
  <c r="E43" i="1" s="1"/>
  <c r="D42" i="1"/>
  <c r="C43" i="1"/>
  <c r="E44" i="1" s="1"/>
  <c r="F45" i="1" s="1"/>
  <c r="G46" i="1" s="1"/>
  <c r="H47" i="1" s="1"/>
  <c r="I48" i="1" s="1"/>
  <c r="J49" i="1" s="1"/>
  <c r="K50" i="1" s="1"/>
  <c r="L51" i="1" s="1"/>
  <c r="M52" i="1" s="1"/>
  <c r="N53" i="1" s="1"/>
  <c r="O54" i="1" s="1"/>
  <c r="P55" i="1" s="1"/>
  <c r="D43" i="1"/>
  <c r="C44" i="1"/>
  <c r="E45" i="1" s="1"/>
  <c r="F46" i="1" s="1"/>
  <c r="G47" i="1" s="1"/>
  <c r="H48" i="1" s="1"/>
  <c r="I49" i="1" s="1"/>
  <c r="J50" i="1" s="1"/>
  <c r="K51" i="1" s="1"/>
  <c r="L52" i="1" s="1"/>
  <c r="M53" i="1" s="1"/>
  <c r="N54" i="1" s="1"/>
  <c r="O55" i="1" s="1"/>
  <c r="P56" i="1" s="1"/>
  <c r="D44" i="1"/>
  <c r="C45" i="1"/>
  <c r="E46" i="1" s="1"/>
  <c r="F47" i="1" s="1"/>
  <c r="G48" i="1" s="1"/>
  <c r="H49" i="1" s="1"/>
  <c r="D45" i="1"/>
  <c r="C46" i="1"/>
  <c r="E47" i="1" s="1"/>
  <c r="F48" i="1" s="1"/>
  <c r="G49" i="1" s="1"/>
  <c r="H50" i="1" s="1"/>
  <c r="I51" i="1" s="1"/>
  <c r="D46" i="1"/>
  <c r="C47" i="1"/>
  <c r="D47" i="1"/>
  <c r="C48" i="1"/>
  <c r="D48" i="1"/>
  <c r="C49" i="1"/>
  <c r="E50" i="1" s="1"/>
  <c r="F51" i="1" s="1"/>
  <c r="G52" i="1" s="1"/>
  <c r="H53" i="1" s="1"/>
  <c r="I54" i="1" s="1"/>
  <c r="J55" i="1" s="1"/>
  <c r="K56" i="1" s="1"/>
  <c r="L57" i="1" s="1"/>
  <c r="M58" i="1" s="1"/>
  <c r="N59" i="1" s="1"/>
  <c r="O60" i="1" s="1"/>
  <c r="P61" i="1" s="1"/>
  <c r="D49" i="1"/>
  <c r="C50" i="1"/>
  <c r="E51" i="1" s="1"/>
  <c r="F52" i="1" s="1"/>
  <c r="G53" i="1" s="1"/>
  <c r="H54" i="1" s="1"/>
  <c r="I55" i="1" s="1"/>
  <c r="J56" i="1" s="1"/>
  <c r="K57" i="1" s="1"/>
  <c r="L58" i="1" s="1"/>
  <c r="M59" i="1" s="1"/>
  <c r="N60" i="1" s="1"/>
  <c r="O61" i="1" s="1"/>
  <c r="P62" i="1" s="1"/>
  <c r="D50" i="1"/>
  <c r="C51" i="1"/>
  <c r="D51" i="1"/>
  <c r="C52" i="1"/>
  <c r="D52" i="1"/>
  <c r="C53" i="1"/>
  <c r="E54" i="1" s="1"/>
  <c r="F55" i="1" s="1"/>
  <c r="G56" i="1" s="1"/>
  <c r="H57" i="1" s="1"/>
  <c r="I58" i="1" s="1"/>
  <c r="J59" i="1" s="1"/>
  <c r="K60" i="1" s="1"/>
  <c r="L61" i="1" s="1"/>
  <c r="M62" i="1" s="1"/>
  <c r="N63" i="1" s="1"/>
  <c r="O64" i="1" s="1"/>
  <c r="P65" i="1" s="1"/>
  <c r="D53" i="1"/>
  <c r="C54" i="1"/>
  <c r="E55" i="1" s="1"/>
  <c r="F56" i="1" s="1"/>
  <c r="G57" i="1" s="1"/>
  <c r="H58" i="1" s="1"/>
  <c r="I59" i="1" s="1"/>
  <c r="J60" i="1" s="1"/>
  <c r="K61" i="1" s="1"/>
  <c r="L62" i="1" s="1"/>
  <c r="M63" i="1" s="1"/>
  <c r="N64" i="1" s="1"/>
  <c r="O65" i="1" s="1"/>
  <c r="P66" i="1" s="1"/>
  <c r="D54" i="1"/>
  <c r="C55" i="1"/>
  <c r="E56" i="1" s="1"/>
  <c r="F57" i="1" s="1"/>
  <c r="G58" i="1" s="1"/>
  <c r="H59" i="1" s="1"/>
  <c r="I60" i="1" s="1"/>
  <c r="J61" i="1" s="1"/>
  <c r="K62" i="1" s="1"/>
  <c r="L63" i="1" s="1"/>
  <c r="M64" i="1" s="1"/>
  <c r="N65" i="1" s="1"/>
  <c r="O66" i="1" s="1"/>
  <c r="P67" i="1" s="1"/>
  <c r="D55" i="1"/>
  <c r="C56" i="1"/>
  <c r="E57" i="1" s="1"/>
  <c r="F58" i="1" s="1"/>
  <c r="G59" i="1" s="1"/>
  <c r="H60" i="1" s="1"/>
  <c r="I61" i="1" s="1"/>
  <c r="J62" i="1" s="1"/>
  <c r="K63" i="1" s="1"/>
  <c r="L64" i="1" s="1"/>
  <c r="M65" i="1" s="1"/>
  <c r="N66" i="1" s="1"/>
  <c r="O67" i="1" s="1"/>
  <c r="P68" i="1" s="1"/>
  <c r="D56" i="1"/>
  <c r="C57" i="1"/>
  <c r="E58" i="1" s="1"/>
  <c r="F59" i="1" s="1"/>
  <c r="G60" i="1" s="1"/>
  <c r="H61" i="1" s="1"/>
  <c r="I62" i="1" s="1"/>
  <c r="J63" i="1" s="1"/>
  <c r="K64" i="1" s="1"/>
  <c r="L65" i="1" s="1"/>
  <c r="M66" i="1" s="1"/>
  <c r="N67" i="1" s="1"/>
  <c r="O68" i="1" s="1"/>
  <c r="P69" i="1" s="1"/>
  <c r="D57" i="1"/>
  <c r="C58" i="1"/>
  <c r="E59" i="1" s="1"/>
  <c r="F60" i="1" s="1"/>
  <c r="G61" i="1" s="1"/>
  <c r="H62" i="1" s="1"/>
  <c r="I63" i="1" s="1"/>
  <c r="J64" i="1" s="1"/>
  <c r="K65" i="1" s="1"/>
  <c r="L66" i="1" s="1"/>
  <c r="M67" i="1" s="1"/>
  <c r="N68" i="1" s="1"/>
  <c r="O69" i="1" s="1"/>
  <c r="P70" i="1" s="1"/>
  <c r="D58" i="1"/>
  <c r="C59" i="1"/>
  <c r="E60" i="1" s="1"/>
  <c r="F61" i="1" s="1"/>
  <c r="G62" i="1" s="1"/>
  <c r="H63" i="1" s="1"/>
  <c r="I64" i="1" s="1"/>
  <c r="J65" i="1" s="1"/>
  <c r="K66" i="1" s="1"/>
  <c r="L67" i="1" s="1"/>
  <c r="M68" i="1" s="1"/>
  <c r="N69" i="1" s="1"/>
  <c r="O70" i="1" s="1"/>
  <c r="P71" i="1" s="1"/>
  <c r="D59" i="1"/>
  <c r="C60" i="1"/>
  <c r="E61" i="1" s="1"/>
  <c r="F62" i="1" s="1"/>
  <c r="G63" i="1" s="1"/>
  <c r="H64" i="1" s="1"/>
  <c r="I65" i="1" s="1"/>
  <c r="J66" i="1" s="1"/>
  <c r="K67" i="1" s="1"/>
  <c r="L68" i="1" s="1"/>
  <c r="M69" i="1" s="1"/>
  <c r="N70" i="1" s="1"/>
  <c r="O71" i="1" s="1"/>
  <c r="P72" i="1" s="1"/>
  <c r="D60" i="1"/>
  <c r="C61" i="1"/>
  <c r="E62" i="1" s="1"/>
  <c r="F63" i="1" s="1"/>
  <c r="G64" i="1" s="1"/>
  <c r="H65" i="1" s="1"/>
  <c r="I66" i="1" s="1"/>
  <c r="J67" i="1" s="1"/>
  <c r="K68" i="1" s="1"/>
  <c r="L69" i="1" s="1"/>
  <c r="M70" i="1" s="1"/>
  <c r="N71" i="1" s="1"/>
  <c r="O72" i="1" s="1"/>
  <c r="P73" i="1" s="1"/>
  <c r="D61" i="1"/>
  <c r="C62" i="1"/>
  <c r="E63" i="1" s="1"/>
  <c r="F64" i="1" s="1"/>
  <c r="G65" i="1" s="1"/>
  <c r="H66" i="1" s="1"/>
  <c r="I67" i="1" s="1"/>
  <c r="J68" i="1" s="1"/>
  <c r="K69" i="1" s="1"/>
  <c r="L70" i="1" s="1"/>
  <c r="M71" i="1" s="1"/>
  <c r="N72" i="1" s="1"/>
  <c r="O73" i="1" s="1"/>
  <c r="P74" i="1" s="1"/>
  <c r="D62" i="1"/>
  <c r="C63" i="1"/>
  <c r="D63" i="1"/>
  <c r="C64" i="1"/>
  <c r="D64" i="1"/>
  <c r="C65" i="1"/>
  <c r="D65" i="1"/>
  <c r="C66" i="1"/>
  <c r="D66" i="1"/>
  <c r="C67" i="1"/>
  <c r="E68" i="1" s="1"/>
  <c r="F69" i="1" s="1"/>
  <c r="G70" i="1" s="1"/>
  <c r="H71" i="1" s="1"/>
  <c r="I72" i="1" s="1"/>
  <c r="J73" i="1" s="1"/>
  <c r="K74" i="1" s="1"/>
  <c r="L75" i="1" s="1"/>
  <c r="M76" i="1" s="1"/>
  <c r="N77" i="1" s="1"/>
  <c r="O78" i="1" s="1"/>
  <c r="P79" i="1" s="1"/>
  <c r="D67" i="1"/>
  <c r="C68" i="1"/>
  <c r="E69" i="1" s="1"/>
  <c r="F70" i="1" s="1"/>
  <c r="G71" i="1" s="1"/>
  <c r="H72" i="1" s="1"/>
  <c r="I73" i="1" s="1"/>
  <c r="J74" i="1" s="1"/>
  <c r="K75" i="1" s="1"/>
  <c r="L76" i="1" s="1"/>
  <c r="M77" i="1" s="1"/>
  <c r="N78" i="1" s="1"/>
  <c r="O79" i="1" s="1"/>
  <c r="P80" i="1" s="1"/>
  <c r="D68" i="1"/>
  <c r="C69" i="1"/>
  <c r="E70" i="1" s="1"/>
  <c r="F71" i="1" s="1"/>
  <c r="D69" i="1"/>
  <c r="C70" i="1"/>
  <c r="E71" i="1" s="1"/>
  <c r="F72" i="1" s="1"/>
  <c r="D70" i="1"/>
  <c r="C71" i="1"/>
  <c r="D71" i="1"/>
  <c r="C72" i="1"/>
  <c r="D72" i="1"/>
  <c r="C73" i="1"/>
  <c r="E74" i="1" s="1"/>
  <c r="F75" i="1" s="1"/>
  <c r="G76" i="1" s="1"/>
  <c r="H77" i="1" s="1"/>
  <c r="I78" i="1" s="1"/>
  <c r="J79" i="1" s="1"/>
  <c r="K80" i="1" s="1"/>
  <c r="L81" i="1" s="1"/>
  <c r="M82" i="1" s="1"/>
  <c r="N83" i="1" s="1"/>
  <c r="O84" i="1" s="1"/>
  <c r="P85" i="1" s="1"/>
  <c r="D73" i="1"/>
  <c r="C74" i="1"/>
  <c r="E75" i="1" s="1"/>
  <c r="F76" i="1" s="1"/>
  <c r="G77" i="1" s="1"/>
  <c r="H78" i="1" s="1"/>
  <c r="I79" i="1" s="1"/>
  <c r="J80" i="1" s="1"/>
  <c r="K81" i="1" s="1"/>
  <c r="L82" i="1" s="1"/>
  <c r="M83" i="1" s="1"/>
  <c r="N84" i="1" s="1"/>
  <c r="O85" i="1" s="1"/>
  <c r="P86" i="1" s="1"/>
  <c r="D74" i="1"/>
  <c r="C75" i="1"/>
  <c r="E76" i="1" s="1"/>
  <c r="D75" i="1"/>
  <c r="C76" i="1"/>
  <c r="D76" i="1"/>
  <c r="C77" i="1"/>
  <c r="E78" i="1" s="1"/>
  <c r="F79" i="1" s="1"/>
  <c r="G80" i="1" s="1"/>
  <c r="H81" i="1" s="1"/>
  <c r="I82" i="1" s="1"/>
  <c r="J83" i="1" s="1"/>
  <c r="K84" i="1" s="1"/>
  <c r="L85" i="1" s="1"/>
  <c r="M86" i="1" s="1"/>
  <c r="N87" i="1" s="1"/>
  <c r="O88" i="1" s="1"/>
  <c r="P89" i="1" s="1"/>
  <c r="D77" i="1"/>
  <c r="C78" i="1"/>
  <c r="E79" i="1" s="1"/>
  <c r="F80" i="1" s="1"/>
  <c r="G81" i="1" s="1"/>
  <c r="H82" i="1" s="1"/>
  <c r="I83" i="1" s="1"/>
  <c r="J84" i="1" s="1"/>
  <c r="K85" i="1" s="1"/>
  <c r="L86" i="1" s="1"/>
  <c r="M87" i="1" s="1"/>
  <c r="N88" i="1" s="1"/>
  <c r="O89" i="1" s="1"/>
  <c r="P90" i="1" s="1"/>
  <c r="D78" i="1"/>
  <c r="C79" i="1"/>
  <c r="E80" i="1" s="1"/>
  <c r="F81" i="1" s="1"/>
  <c r="G82" i="1" s="1"/>
  <c r="H83" i="1" s="1"/>
  <c r="I84" i="1" s="1"/>
  <c r="J85" i="1" s="1"/>
  <c r="K86" i="1" s="1"/>
  <c r="L87" i="1" s="1"/>
  <c r="M88" i="1" s="1"/>
  <c r="N89" i="1" s="1"/>
  <c r="O90" i="1" s="1"/>
  <c r="P91" i="1" s="1"/>
  <c r="D79" i="1"/>
  <c r="C80" i="1"/>
  <c r="E81" i="1" s="1"/>
  <c r="F82" i="1" s="1"/>
  <c r="G83" i="1" s="1"/>
  <c r="H84" i="1" s="1"/>
  <c r="I85" i="1" s="1"/>
  <c r="J86" i="1" s="1"/>
  <c r="K87" i="1" s="1"/>
  <c r="L88" i="1" s="1"/>
  <c r="M89" i="1" s="1"/>
  <c r="N90" i="1" s="1"/>
  <c r="O91" i="1" s="1"/>
  <c r="P92" i="1" s="1"/>
  <c r="D80" i="1"/>
  <c r="C81" i="1"/>
  <c r="E82" i="1" s="1"/>
  <c r="F83" i="1" s="1"/>
  <c r="G84" i="1" s="1"/>
  <c r="H85" i="1" s="1"/>
  <c r="I86" i="1" s="1"/>
  <c r="J87" i="1" s="1"/>
  <c r="K88" i="1" s="1"/>
  <c r="L89" i="1" s="1"/>
  <c r="M90" i="1" s="1"/>
  <c r="N91" i="1" s="1"/>
  <c r="O92" i="1" s="1"/>
  <c r="P93" i="1" s="1"/>
  <c r="D81" i="1"/>
  <c r="C82" i="1"/>
  <c r="E83" i="1" s="1"/>
  <c r="F84" i="1" s="1"/>
  <c r="D82" i="1"/>
  <c r="C83" i="1"/>
  <c r="E84" i="1" s="1"/>
  <c r="F85" i="1" s="1"/>
  <c r="G86" i="1" s="1"/>
  <c r="H87" i="1" s="1"/>
  <c r="I88" i="1" s="1"/>
  <c r="J89" i="1" s="1"/>
  <c r="K90" i="1" s="1"/>
  <c r="L91" i="1" s="1"/>
  <c r="M92" i="1" s="1"/>
  <c r="N93" i="1" s="1"/>
  <c r="O94" i="1" s="1"/>
  <c r="P95" i="1" s="1"/>
  <c r="D83" i="1"/>
  <c r="C84" i="1"/>
  <c r="D84" i="1"/>
  <c r="C85" i="1"/>
  <c r="E86" i="1" s="1"/>
  <c r="F87" i="1" s="1"/>
  <c r="G88" i="1" s="1"/>
  <c r="H89" i="1" s="1"/>
  <c r="I90" i="1" s="1"/>
  <c r="J91" i="1" s="1"/>
  <c r="K92" i="1" s="1"/>
  <c r="L93" i="1" s="1"/>
  <c r="M94" i="1" s="1"/>
  <c r="N95" i="1" s="1"/>
  <c r="O96" i="1" s="1"/>
  <c r="P97" i="1" s="1"/>
  <c r="D85" i="1"/>
  <c r="C86" i="1"/>
  <c r="E87" i="1" s="1"/>
  <c r="F88" i="1" s="1"/>
  <c r="G89" i="1" s="1"/>
  <c r="H90" i="1" s="1"/>
  <c r="I91" i="1" s="1"/>
  <c r="J92" i="1" s="1"/>
  <c r="K93" i="1" s="1"/>
  <c r="L94" i="1" s="1"/>
  <c r="M95" i="1" s="1"/>
  <c r="N96" i="1" s="1"/>
  <c r="O97" i="1" s="1"/>
  <c r="P98" i="1" s="1"/>
  <c r="D86" i="1"/>
  <c r="C87" i="1"/>
  <c r="D87" i="1"/>
  <c r="C88" i="1"/>
  <c r="E89" i="1" s="1"/>
  <c r="D88" i="1"/>
  <c r="C89" i="1"/>
  <c r="E90" i="1" s="1"/>
  <c r="F91" i="1" s="1"/>
  <c r="G92" i="1" s="1"/>
  <c r="H93" i="1" s="1"/>
  <c r="I94" i="1" s="1"/>
  <c r="J95" i="1" s="1"/>
  <c r="K96" i="1" s="1"/>
  <c r="L97" i="1" s="1"/>
  <c r="M98" i="1" s="1"/>
  <c r="N99" i="1" s="1"/>
  <c r="O100" i="1" s="1"/>
  <c r="P101" i="1" s="1"/>
  <c r="D89" i="1"/>
  <c r="C90" i="1"/>
  <c r="E91" i="1" s="1"/>
  <c r="D90" i="1"/>
  <c r="C91" i="1"/>
  <c r="E92" i="1" s="1"/>
  <c r="F93" i="1" s="1"/>
  <c r="G94" i="1" s="1"/>
  <c r="H95" i="1" s="1"/>
  <c r="I96" i="1" s="1"/>
  <c r="J97" i="1" s="1"/>
  <c r="K98" i="1" s="1"/>
  <c r="L99" i="1" s="1"/>
  <c r="M100" i="1" s="1"/>
  <c r="N101" i="1" s="1"/>
  <c r="O102" i="1" s="1"/>
  <c r="P103" i="1" s="1"/>
  <c r="D91" i="1"/>
  <c r="C92" i="1"/>
  <c r="E93" i="1" s="1"/>
  <c r="F94" i="1" s="1"/>
  <c r="G95" i="1" s="1"/>
  <c r="H96" i="1" s="1"/>
  <c r="I97" i="1" s="1"/>
  <c r="J98" i="1" s="1"/>
  <c r="K99" i="1" s="1"/>
  <c r="L100" i="1" s="1"/>
  <c r="M101" i="1" s="1"/>
  <c r="N102" i="1" s="1"/>
  <c r="O103" i="1" s="1"/>
  <c r="P104" i="1" s="1"/>
  <c r="D92" i="1"/>
  <c r="C93" i="1"/>
  <c r="E94" i="1" s="1"/>
  <c r="F95" i="1" s="1"/>
  <c r="G96" i="1" s="1"/>
  <c r="H97" i="1" s="1"/>
  <c r="I98" i="1" s="1"/>
  <c r="J99" i="1" s="1"/>
  <c r="K100" i="1" s="1"/>
  <c r="L101" i="1" s="1"/>
  <c r="M102" i="1" s="1"/>
  <c r="N103" i="1" s="1"/>
  <c r="O104" i="1" s="1"/>
  <c r="P105" i="1" s="1"/>
  <c r="D93" i="1"/>
  <c r="C94" i="1"/>
  <c r="E95" i="1" s="1"/>
  <c r="F96" i="1" s="1"/>
  <c r="G97" i="1" s="1"/>
  <c r="H98" i="1" s="1"/>
  <c r="I99" i="1" s="1"/>
  <c r="J100" i="1" s="1"/>
  <c r="K101" i="1" s="1"/>
  <c r="L102" i="1" s="1"/>
  <c r="M103" i="1" s="1"/>
  <c r="N104" i="1" s="1"/>
  <c r="O105" i="1" s="1"/>
  <c r="P106" i="1" s="1"/>
  <c r="D94" i="1"/>
  <c r="C95" i="1"/>
  <c r="D95" i="1"/>
  <c r="C96" i="1"/>
  <c r="D96" i="1"/>
  <c r="C97" i="1"/>
  <c r="E98" i="1" s="1"/>
  <c r="F99" i="1" s="1"/>
  <c r="G100" i="1" s="1"/>
  <c r="H101" i="1" s="1"/>
  <c r="I102" i="1" s="1"/>
  <c r="J103" i="1" s="1"/>
  <c r="K104" i="1" s="1"/>
  <c r="L105" i="1" s="1"/>
  <c r="M106" i="1" s="1"/>
  <c r="N107" i="1" s="1"/>
  <c r="O108" i="1" s="1"/>
  <c r="P109" i="1" s="1"/>
  <c r="D97" i="1"/>
  <c r="C98" i="1"/>
  <c r="E99" i="1" s="1"/>
  <c r="F100" i="1" s="1"/>
  <c r="G101" i="1" s="1"/>
  <c r="H102" i="1" s="1"/>
  <c r="I103" i="1" s="1"/>
  <c r="J104" i="1" s="1"/>
  <c r="K105" i="1" s="1"/>
  <c r="L106" i="1" s="1"/>
  <c r="M107" i="1" s="1"/>
  <c r="N108" i="1" s="1"/>
  <c r="O109" i="1" s="1"/>
  <c r="P110" i="1" s="1"/>
  <c r="D98" i="1"/>
  <c r="C99" i="1"/>
  <c r="E100" i="1" s="1"/>
  <c r="F101" i="1" s="1"/>
  <c r="G102" i="1" s="1"/>
  <c r="H103" i="1" s="1"/>
  <c r="I104" i="1" s="1"/>
  <c r="J105" i="1" s="1"/>
  <c r="K106" i="1" s="1"/>
  <c r="L107" i="1" s="1"/>
  <c r="M108" i="1" s="1"/>
  <c r="N109" i="1" s="1"/>
  <c r="O110" i="1" s="1"/>
  <c r="P111" i="1" s="1"/>
  <c r="D99" i="1"/>
  <c r="C100" i="1"/>
  <c r="D100" i="1"/>
  <c r="C101" i="1"/>
  <c r="E102" i="1" s="1"/>
  <c r="F103" i="1" s="1"/>
  <c r="G104" i="1" s="1"/>
  <c r="H105" i="1" s="1"/>
  <c r="I106" i="1" s="1"/>
  <c r="J107" i="1" s="1"/>
  <c r="K108" i="1" s="1"/>
  <c r="L109" i="1" s="1"/>
  <c r="M110" i="1" s="1"/>
  <c r="N111" i="1" s="1"/>
  <c r="O112" i="1" s="1"/>
  <c r="P113" i="1" s="1"/>
  <c r="D101" i="1"/>
  <c r="C102" i="1"/>
  <c r="D102" i="1"/>
  <c r="C103" i="1"/>
  <c r="E104" i="1" s="1"/>
  <c r="F105" i="1" s="1"/>
  <c r="G106" i="1" s="1"/>
  <c r="H107" i="1" s="1"/>
  <c r="I108" i="1" s="1"/>
  <c r="J109" i="1" s="1"/>
  <c r="K110" i="1" s="1"/>
  <c r="L111" i="1" s="1"/>
  <c r="M112" i="1" s="1"/>
  <c r="N113" i="1" s="1"/>
  <c r="O114" i="1" s="1"/>
  <c r="P115" i="1" s="1"/>
  <c r="D103" i="1"/>
  <c r="C104" i="1"/>
  <c r="E105" i="1" s="1"/>
  <c r="F106" i="1" s="1"/>
  <c r="G107" i="1" s="1"/>
  <c r="H108" i="1" s="1"/>
  <c r="I109" i="1" s="1"/>
  <c r="J110" i="1" s="1"/>
  <c r="K111" i="1" s="1"/>
  <c r="L112" i="1" s="1"/>
  <c r="M113" i="1" s="1"/>
  <c r="N114" i="1" s="1"/>
  <c r="O115" i="1" s="1"/>
  <c r="P116" i="1" s="1"/>
  <c r="D104" i="1"/>
  <c r="C105" i="1"/>
  <c r="E106" i="1" s="1"/>
  <c r="F107" i="1" s="1"/>
  <c r="G108" i="1" s="1"/>
  <c r="H109" i="1" s="1"/>
  <c r="I110" i="1" s="1"/>
  <c r="J111" i="1" s="1"/>
  <c r="K112" i="1" s="1"/>
  <c r="L113" i="1" s="1"/>
  <c r="M114" i="1" s="1"/>
  <c r="N115" i="1" s="1"/>
  <c r="O116" i="1" s="1"/>
  <c r="P117" i="1" s="1"/>
  <c r="D105" i="1"/>
  <c r="C106" i="1"/>
  <c r="E107" i="1" s="1"/>
  <c r="F108" i="1" s="1"/>
  <c r="G109" i="1" s="1"/>
  <c r="H110" i="1" s="1"/>
  <c r="I111" i="1" s="1"/>
  <c r="D106" i="1"/>
  <c r="C107" i="1"/>
  <c r="E108" i="1" s="1"/>
  <c r="F109" i="1" s="1"/>
  <c r="G110" i="1" s="1"/>
  <c r="H111" i="1" s="1"/>
  <c r="I112" i="1" s="1"/>
  <c r="J113" i="1" s="1"/>
  <c r="K114" i="1" s="1"/>
  <c r="L115" i="1" s="1"/>
  <c r="M116" i="1" s="1"/>
  <c r="N117" i="1" s="1"/>
  <c r="O118" i="1" s="1"/>
  <c r="P119" i="1" s="1"/>
  <c r="D107" i="1"/>
  <c r="C108" i="1"/>
  <c r="E109" i="1" s="1"/>
  <c r="F110" i="1" s="1"/>
  <c r="G111" i="1" s="1"/>
  <c r="H112" i="1" s="1"/>
  <c r="I113" i="1" s="1"/>
  <c r="J114" i="1" s="1"/>
  <c r="K115" i="1" s="1"/>
  <c r="L116" i="1" s="1"/>
  <c r="M117" i="1" s="1"/>
  <c r="N118" i="1" s="1"/>
  <c r="O119" i="1" s="1"/>
  <c r="P120" i="1" s="1"/>
  <c r="D108" i="1"/>
  <c r="C109" i="1"/>
  <c r="E110" i="1" s="1"/>
  <c r="F111" i="1" s="1"/>
  <c r="G112" i="1" s="1"/>
  <c r="H113" i="1" s="1"/>
  <c r="I114" i="1" s="1"/>
  <c r="J115" i="1" s="1"/>
  <c r="K116" i="1" s="1"/>
  <c r="L117" i="1" s="1"/>
  <c r="M118" i="1" s="1"/>
  <c r="N119" i="1" s="1"/>
  <c r="O120" i="1" s="1"/>
  <c r="P121" i="1" s="1"/>
  <c r="D109" i="1"/>
  <c r="C110" i="1"/>
  <c r="E111" i="1" s="1"/>
  <c r="F112" i="1" s="1"/>
  <c r="G113" i="1" s="1"/>
  <c r="H114" i="1" s="1"/>
  <c r="I115" i="1" s="1"/>
  <c r="J116" i="1" s="1"/>
  <c r="K117" i="1" s="1"/>
  <c r="L118" i="1" s="1"/>
  <c r="M119" i="1" s="1"/>
  <c r="N120" i="1" s="1"/>
  <c r="O121" i="1" s="1"/>
  <c r="P122" i="1" s="1"/>
  <c r="D110" i="1"/>
  <c r="C111" i="1"/>
  <c r="D111" i="1"/>
  <c r="C112" i="1"/>
  <c r="D112" i="1"/>
  <c r="C113" i="1"/>
  <c r="D113" i="1"/>
  <c r="C114" i="1"/>
  <c r="D114" i="1"/>
  <c r="C115" i="1"/>
  <c r="E116" i="1" s="1"/>
  <c r="F117" i="1" s="1"/>
  <c r="G118" i="1" s="1"/>
  <c r="H119" i="1" s="1"/>
  <c r="I120" i="1" s="1"/>
  <c r="J121" i="1" s="1"/>
  <c r="K122" i="1" s="1"/>
  <c r="L123" i="1" s="1"/>
  <c r="M124" i="1" s="1"/>
  <c r="N125" i="1" s="1"/>
  <c r="O126" i="1" s="1"/>
  <c r="P127" i="1" s="1"/>
  <c r="D115" i="1"/>
  <c r="C116" i="1"/>
  <c r="E117" i="1" s="1"/>
  <c r="F118" i="1" s="1"/>
  <c r="G119" i="1" s="1"/>
  <c r="H120" i="1" s="1"/>
  <c r="I121" i="1" s="1"/>
  <c r="J122" i="1" s="1"/>
  <c r="K123" i="1" s="1"/>
  <c r="L124" i="1" s="1"/>
  <c r="M125" i="1" s="1"/>
  <c r="N126" i="1" s="1"/>
  <c r="O127" i="1" s="1"/>
  <c r="P128" i="1" s="1"/>
  <c r="D116" i="1"/>
  <c r="C117" i="1"/>
  <c r="E118" i="1" s="1"/>
  <c r="F119" i="1" s="1"/>
  <c r="G120" i="1" s="1"/>
  <c r="H121" i="1" s="1"/>
  <c r="I122" i="1" s="1"/>
  <c r="J123" i="1" s="1"/>
  <c r="K124" i="1" s="1"/>
  <c r="L125" i="1" s="1"/>
  <c r="M126" i="1" s="1"/>
  <c r="N127" i="1" s="1"/>
  <c r="O128" i="1" s="1"/>
  <c r="P129" i="1" s="1"/>
  <c r="D117" i="1"/>
  <c r="C118" i="1"/>
  <c r="E119" i="1" s="1"/>
  <c r="F120" i="1" s="1"/>
  <c r="D118" i="1"/>
  <c r="C119" i="1"/>
  <c r="E120" i="1" s="1"/>
  <c r="F121" i="1" s="1"/>
  <c r="G122" i="1" s="1"/>
  <c r="H123" i="1" s="1"/>
  <c r="I124" i="1" s="1"/>
  <c r="J125" i="1" s="1"/>
  <c r="K126" i="1" s="1"/>
  <c r="L127" i="1" s="1"/>
  <c r="M128" i="1" s="1"/>
  <c r="N129" i="1" s="1"/>
  <c r="O130" i="1" s="1"/>
  <c r="P131" i="1" s="1"/>
  <c r="D119" i="1"/>
  <c r="C120" i="1"/>
  <c r="E121" i="1" s="1"/>
  <c r="F122" i="1" s="1"/>
  <c r="G123" i="1" s="1"/>
  <c r="H124" i="1" s="1"/>
  <c r="I125" i="1" s="1"/>
  <c r="J126" i="1" s="1"/>
  <c r="K127" i="1" s="1"/>
  <c r="L128" i="1" s="1"/>
  <c r="M129" i="1" s="1"/>
  <c r="N130" i="1" s="1"/>
  <c r="O131" i="1" s="1"/>
  <c r="P132" i="1" s="1"/>
  <c r="D120" i="1"/>
  <c r="C121" i="1"/>
  <c r="E122" i="1" s="1"/>
  <c r="D121" i="1"/>
  <c r="C122" i="1"/>
  <c r="E123" i="1" s="1"/>
  <c r="F124" i="1" s="1"/>
  <c r="G125" i="1" s="1"/>
  <c r="H126" i="1" s="1"/>
  <c r="I127" i="1" s="1"/>
  <c r="J128" i="1" s="1"/>
  <c r="K129" i="1" s="1"/>
  <c r="L130" i="1" s="1"/>
  <c r="M131" i="1" s="1"/>
  <c r="N132" i="1" s="1"/>
  <c r="O133" i="1" s="1"/>
  <c r="P134" i="1" s="1"/>
  <c r="D122" i="1"/>
  <c r="C123" i="1"/>
  <c r="E124" i="1" s="1"/>
  <c r="F125" i="1" s="1"/>
  <c r="G126" i="1" s="1"/>
  <c r="H127" i="1" s="1"/>
  <c r="I128" i="1" s="1"/>
  <c r="J129" i="1" s="1"/>
  <c r="K130" i="1" s="1"/>
  <c r="L131" i="1" s="1"/>
  <c r="M132" i="1" s="1"/>
  <c r="N133" i="1" s="1"/>
  <c r="O134" i="1" s="1"/>
  <c r="P135" i="1" s="1"/>
  <c r="D123" i="1"/>
  <c r="C124" i="1"/>
  <c r="D124" i="1"/>
  <c r="C125" i="1"/>
  <c r="E126" i="1" s="1"/>
  <c r="F127" i="1" s="1"/>
  <c r="G128" i="1" s="1"/>
  <c r="H129" i="1" s="1"/>
  <c r="I130" i="1" s="1"/>
  <c r="J131" i="1" s="1"/>
  <c r="K132" i="1" s="1"/>
  <c r="L133" i="1" s="1"/>
  <c r="M134" i="1" s="1"/>
  <c r="N135" i="1" s="1"/>
  <c r="O136" i="1" s="1"/>
  <c r="P137" i="1" s="1"/>
  <c r="D125" i="1"/>
  <c r="C126" i="1"/>
  <c r="D126" i="1"/>
  <c r="C127" i="1"/>
  <c r="E128" i="1" s="1"/>
  <c r="F129" i="1" s="1"/>
  <c r="G130" i="1" s="1"/>
  <c r="H131" i="1" s="1"/>
  <c r="I132" i="1" s="1"/>
  <c r="J133" i="1" s="1"/>
  <c r="K134" i="1" s="1"/>
  <c r="L135" i="1" s="1"/>
  <c r="M136" i="1" s="1"/>
  <c r="N137" i="1" s="1"/>
  <c r="O138" i="1" s="1"/>
  <c r="P139" i="1" s="1"/>
  <c r="D127" i="1"/>
  <c r="C128" i="1"/>
  <c r="E129" i="1" s="1"/>
  <c r="F130" i="1" s="1"/>
  <c r="G131" i="1" s="1"/>
  <c r="H132" i="1" s="1"/>
  <c r="I133" i="1" s="1"/>
  <c r="J134" i="1" s="1"/>
  <c r="K135" i="1" s="1"/>
  <c r="L136" i="1" s="1"/>
  <c r="M137" i="1" s="1"/>
  <c r="N138" i="1" s="1"/>
  <c r="O139" i="1" s="1"/>
  <c r="P140" i="1" s="1"/>
  <c r="D128" i="1"/>
  <c r="C129" i="1"/>
  <c r="E130" i="1" s="1"/>
  <c r="F131" i="1" s="1"/>
  <c r="G132" i="1" s="1"/>
  <c r="H133" i="1" s="1"/>
  <c r="I134" i="1" s="1"/>
  <c r="J135" i="1" s="1"/>
  <c r="K136" i="1" s="1"/>
  <c r="L137" i="1" s="1"/>
  <c r="M138" i="1" s="1"/>
  <c r="N139" i="1" s="1"/>
  <c r="O140" i="1" s="1"/>
  <c r="P141" i="1" s="1"/>
  <c r="D129" i="1"/>
  <c r="C130" i="1"/>
  <c r="E131" i="1" s="1"/>
  <c r="F132" i="1" s="1"/>
  <c r="D130" i="1"/>
  <c r="C131" i="1"/>
  <c r="D131" i="1"/>
  <c r="C132" i="1"/>
  <c r="D132" i="1"/>
  <c r="C133" i="1"/>
  <c r="E134" i="1" s="1"/>
  <c r="F135" i="1" s="1"/>
  <c r="G136" i="1" s="1"/>
  <c r="H137" i="1" s="1"/>
  <c r="I138" i="1" s="1"/>
  <c r="J139" i="1" s="1"/>
  <c r="K140" i="1" s="1"/>
  <c r="L141" i="1" s="1"/>
  <c r="M142" i="1" s="1"/>
  <c r="N143" i="1" s="1"/>
  <c r="O144" i="1" s="1"/>
  <c r="P145" i="1" s="1"/>
  <c r="D133" i="1"/>
  <c r="C134" i="1"/>
  <c r="E135" i="1" s="1"/>
  <c r="F136" i="1" s="1"/>
  <c r="G137" i="1" s="1"/>
  <c r="H138" i="1" s="1"/>
  <c r="I139" i="1" s="1"/>
  <c r="J140" i="1" s="1"/>
  <c r="K141" i="1" s="1"/>
  <c r="L142" i="1" s="1"/>
  <c r="M143" i="1" s="1"/>
  <c r="N144" i="1" s="1"/>
  <c r="O145" i="1" s="1"/>
  <c r="P146" i="1" s="1"/>
  <c r="D134" i="1"/>
  <c r="C135" i="1"/>
  <c r="D135" i="1"/>
  <c r="C136" i="1"/>
  <c r="E137" i="1" s="1"/>
  <c r="F138" i="1" s="1"/>
  <c r="G139" i="1" s="1"/>
  <c r="H140" i="1" s="1"/>
  <c r="I141" i="1" s="1"/>
  <c r="J142" i="1" s="1"/>
  <c r="K143" i="1" s="1"/>
  <c r="L144" i="1" s="1"/>
  <c r="M145" i="1" s="1"/>
  <c r="N146" i="1" s="1"/>
  <c r="O147" i="1" s="1"/>
  <c r="P148" i="1" s="1"/>
  <c r="D136" i="1"/>
  <c r="C137" i="1"/>
  <c r="E138" i="1" s="1"/>
  <c r="F139" i="1" s="1"/>
  <c r="G140" i="1" s="1"/>
  <c r="H141" i="1" s="1"/>
  <c r="I142" i="1" s="1"/>
  <c r="J143" i="1" s="1"/>
  <c r="K144" i="1" s="1"/>
  <c r="L145" i="1" s="1"/>
  <c r="M146" i="1" s="1"/>
  <c r="N147" i="1" s="1"/>
  <c r="O148" i="1" s="1"/>
  <c r="P149" i="1" s="1"/>
  <c r="D137" i="1"/>
  <c r="C138" i="1"/>
  <c r="E139" i="1" s="1"/>
  <c r="F140" i="1" s="1"/>
  <c r="G141" i="1" s="1"/>
  <c r="H142" i="1" s="1"/>
  <c r="I143" i="1" s="1"/>
  <c r="J144" i="1" s="1"/>
  <c r="K145" i="1" s="1"/>
  <c r="L146" i="1" s="1"/>
  <c r="M147" i="1" s="1"/>
  <c r="N148" i="1" s="1"/>
  <c r="O149" i="1" s="1"/>
  <c r="P150" i="1" s="1"/>
  <c r="D138" i="1"/>
  <c r="C139" i="1"/>
  <c r="E140" i="1" s="1"/>
  <c r="F141" i="1" s="1"/>
  <c r="G142" i="1" s="1"/>
  <c r="H143" i="1" s="1"/>
  <c r="I144" i="1" s="1"/>
  <c r="J145" i="1" s="1"/>
  <c r="K146" i="1" s="1"/>
  <c r="L147" i="1" s="1"/>
  <c r="M148" i="1" s="1"/>
  <c r="N149" i="1" s="1"/>
  <c r="O150" i="1" s="1"/>
  <c r="P151" i="1" s="1"/>
  <c r="D139" i="1"/>
  <c r="C140" i="1"/>
  <c r="E141" i="1" s="1"/>
  <c r="F142" i="1" s="1"/>
  <c r="G143" i="1" s="1"/>
  <c r="H144" i="1" s="1"/>
  <c r="I145" i="1" s="1"/>
  <c r="J146" i="1" s="1"/>
  <c r="K147" i="1" s="1"/>
  <c r="L148" i="1" s="1"/>
  <c r="M149" i="1" s="1"/>
  <c r="N150" i="1" s="1"/>
  <c r="O151" i="1" s="1"/>
  <c r="P152" i="1" s="1"/>
  <c r="D140" i="1"/>
  <c r="C141" i="1"/>
  <c r="E142" i="1" s="1"/>
  <c r="F143" i="1" s="1"/>
  <c r="G144" i="1" s="1"/>
  <c r="H145" i="1" s="1"/>
  <c r="I146" i="1" s="1"/>
  <c r="J147" i="1" s="1"/>
  <c r="K148" i="1" s="1"/>
  <c r="D141" i="1"/>
  <c r="C142" i="1"/>
  <c r="E143" i="1" s="1"/>
  <c r="F144" i="1" s="1"/>
  <c r="G145" i="1" s="1"/>
  <c r="H146" i="1" s="1"/>
  <c r="I147" i="1" s="1"/>
  <c r="J148" i="1" s="1"/>
  <c r="K149" i="1" s="1"/>
  <c r="L150" i="1" s="1"/>
  <c r="M151" i="1" s="1"/>
  <c r="N152" i="1" s="1"/>
  <c r="O153" i="1" s="1"/>
  <c r="P154" i="1" s="1"/>
  <c r="D142" i="1"/>
  <c r="C143" i="1"/>
  <c r="E144" i="1" s="1"/>
  <c r="F145" i="1" s="1"/>
  <c r="G146" i="1" s="1"/>
  <c r="H147" i="1" s="1"/>
  <c r="I148" i="1" s="1"/>
  <c r="J149" i="1" s="1"/>
  <c r="K150" i="1" s="1"/>
  <c r="L151" i="1" s="1"/>
  <c r="M152" i="1" s="1"/>
  <c r="N153" i="1" s="1"/>
  <c r="O154" i="1" s="1"/>
  <c r="P155" i="1" s="1"/>
  <c r="D143" i="1"/>
  <c r="C144" i="1"/>
  <c r="E145" i="1" s="1"/>
  <c r="F146" i="1" s="1"/>
  <c r="G147" i="1" s="1"/>
  <c r="H148" i="1" s="1"/>
  <c r="I149" i="1" s="1"/>
  <c r="J150" i="1" s="1"/>
  <c r="K151" i="1" s="1"/>
  <c r="L152" i="1" s="1"/>
  <c r="M153" i="1" s="1"/>
  <c r="N154" i="1" s="1"/>
  <c r="O155" i="1" s="1"/>
  <c r="P156" i="1" s="1"/>
  <c r="D144" i="1"/>
  <c r="C145" i="1"/>
  <c r="E146" i="1" s="1"/>
  <c r="F147" i="1" s="1"/>
  <c r="G148" i="1" s="1"/>
  <c r="H149" i="1" s="1"/>
  <c r="I150" i="1" s="1"/>
  <c r="J151" i="1" s="1"/>
  <c r="K152" i="1" s="1"/>
  <c r="L153" i="1" s="1"/>
  <c r="M154" i="1" s="1"/>
  <c r="N155" i="1" s="1"/>
  <c r="O156" i="1" s="1"/>
  <c r="P157" i="1" s="1"/>
  <c r="D145" i="1"/>
  <c r="C146" i="1"/>
  <c r="E147" i="1" s="1"/>
  <c r="F148" i="1" s="1"/>
  <c r="G149" i="1" s="1"/>
  <c r="H150" i="1" s="1"/>
  <c r="I151" i="1" s="1"/>
  <c r="J152" i="1" s="1"/>
  <c r="K153" i="1" s="1"/>
  <c r="L154" i="1" s="1"/>
  <c r="M155" i="1" s="1"/>
  <c r="N156" i="1" s="1"/>
  <c r="O157" i="1" s="1"/>
  <c r="P158" i="1" s="1"/>
  <c r="D146" i="1"/>
  <c r="C147" i="1"/>
  <c r="D147" i="1"/>
  <c r="C148" i="1"/>
  <c r="D148" i="1"/>
  <c r="C149" i="1"/>
  <c r="D149" i="1"/>
  <c r="C150" i="1"/>
  <c r="D150" i="1"/>
  <c r="C151" i="1"/>
  <c r="E152" i="1" s="1"/>
  <c r="F153" i="1" s="1"/>
  <c r="G154" i="1" s="1"/>
  <c r="H155" i="1" s="1"/>
  <c r="I156" i="1" s="1"/>
  <c r="J157" i="1" s="1"/>
  <c r="K158" i="1" s="1"/>
  <c r="L159" i="1" s="1"/>
  <c r="M160" i="1" s="1"/>
  <c r="N161" i="1" s="1"/>
  <c r="O162" i="1" s="1"/>
  <c r="P163" i="1" s="1"/>
  <c r="D151" i="1"/>
  <c r="C152" i="1"/>
  <c r="E153" i="1" s="1"/>
  <c r="F154" i="1" s="1"/>
  <c r="G155" i="1" s="1"/>
  <c r="H156" i="1" s="1"/>
  <c r="I157" i="1" s="1"/>
  <c r="J158" i="1" s="1"/>
  <c r="K159" i="1" s="1"/>
  <c r="L160" i="1" s="1"/>
  <c r="M161" i="1" s="1"/>
  <c r="N162" i="1" s="1"/>
  <c r="O163" i="1" s="1"/>
  <c r="P164" i="1" s="1"/>
  <c r="D152" i="1"/>
  <c r="C153" i="1"/>
  <c r="E154" i="1" s="1"/>
  <c r="F155" i="1" s="1"/>
  <c r="G156" i="1" s="1"/>
  <c r="H157" i="1" s="1"/>
  <c r="I158" i="1" s="1"/>
  <c r="J159" i="1" s="1"/>
  <c r="K160" i="1" s="1"/>
  <c r="L161" i="1" s="1"/>
  <c r="M162" i="1" s="1"/>
  <c r="N163" i="1" s="1"/>
  <c r="O164" i="1" s="1"/>
  <c r="P165" i="1" s="1"/>
  <c r="D153" i="1"/>
  <c r="C154" i="1"/>
  <c r="E155" i="1" s="1"/>
  <c r="F156" i="1" s="1"/>
  <c r="G157" i="1" s="1"/>
  <c r="H158" i="1" s="1"/>
  <c r="I159" i="1" s="1"/>
  <c r="J160" i="1" s="1"/>
  <c r="K161" i="1" s="1"/>
  <c r="L162" i="1" s="1"/>
  <c r="M163" i="1" s="1"/>
  <c r="N164" i="1" s="1"/>
  <c r="O165" i="1" s="1"/>
  <c r="P166" i="1" s="1"/>
  <c r="D154" i="1"/>
  <c r="C155" i="1"/>
  <c r="E156" i="1" s="1"/>
  <c r="F157" i="1" s="1"/>
  <c r="G158" i="1" s="1"/>
  <c r="H159" i="1" s="1"/>
  <c r="I160" i="1" s="1"/>
  <c r="J161" i="1" s="1"/>
  <c r="K162" i="1" s="1"/>
  <c r="L163" i="1" s="1"/>
  <c r="M164" i="1" s="1"/>
  <c r="N165" i="1" s="1"/>
  <c r="O166" i="1" s="1"/>
  <c r="P167" i="1" s="1"/>
  <c r="D155" i="1"/>
  <c r="C156" i="1"/>
  <c r="E157" i="1" s="1"/>
  <c r="D156" i="1"/>
  <c r="C157" i="1"/>
  <c r="E158" i="1" s="1"/>
  <c r="F159" i="1" s="1"/>
  <c r="G160" i="1" s="1"/>
  <c r="H161" i="1" s="1"/>
  <c r="I162" i="1" s="1"/>
  <c r="J163" i="1" s="1"/>
  <c r="K164" i="1" s="1"/>
  <c r="L165" i="1" s="1"/>
  <c r="M166" i="1" s="1"/>
  <c r="N167" i="1" s="1"/>
  <c r="O168" i="1" s="1"/>
  <c r="P169" i="1" s="1"/>
  <c r="D157" i="1"/>
  <c r="C158" i="1"/>
  <c r="E159" i="1" s="1"/>
  <c r="F160" i="1" s="1"/>
  <c r="G161" i="1" s="1"/>
  <c r="H162" i="1" s="1"/>
  <c r="I163" i="1" s="1"/>
  <c r="J164" i="1" s="1"/>
  <c r="K165" i="1" s="1"/>
  <c r="L166" i="1" s="1"/>
  <c r="M167" i="1" s="1"/>
  <c r="N168" i="1" s="1"/>
  <c r="O169" i="1" s="1"/>
  <c r="P170" i="1" s="1"/>
  <c r="D158" i="1"/>
  <c r="C159" i="1"/>
  <c r="D159" i="1"/>
  <c r="C160" i="1"/>
  <c r="D160" i="1"/>
  <c r="C161" i="1"/>
  <c r="E162" i="1" s="1"/>
  <c r="F163" i="1" s="1"/>
  <c r="G164" i="1" s="1"/>
  <c r="H165" i="1" s="1"/>
  <c r="I166" i="1" s="1"/>
  <c r="J167" i="1" s="1"/>
  <c r="K168" i="1" s="1"/>
  <c r="L169" i="1" s="1"/>
  <c r="M170" i="1" s="1"/>
  <c r="N171" i="1" s="1"/>
  <c r="O172" i="1" s="1"/>
  <c r="P173" i="1" s="1"/>
  <c r="D161" i="1"/>
  <c r="C162" i="1"/>
  <c r="E163" i="1" s="1"/>
  <c r="F164" i="1" s="1"/>
  <c r="G165" i="1" s="1"/>
  <c r="H166" i="1" s="1"/>
  <c r="I167" i="1" s="1"/>
  <c r="J168" i="1" s="1"/>
  <c r="K169" i="1" s="1"/>
  <c r="L170" i="1" s="1"/>
  <c r="M171" i="1" s="1"/>
  <c r="N172" i="1" s="1"/>
  <c r="O173" i="1" s="1"/>
  <c r="P174" i="1" s="1"/>
  <c r="D162" i="1"/>
  <c r="C163" i="1"/>
  <c r="E164" i="1" s="1"/>
  <c r="F165" i="1" s="1"/>
  <c r="G166" i="1" s="1"/>
  <c r="H167" i="1" s="1"/>
  <c r="I168" i="1" s="1"/>
  <c r="J169" i="1" s="1"/>
  <c r="K170" i="1" s="1"/>
  <c r="L171" i="1" s="1"/>
  <c r="M172" i="1" s="1"/>
  <c r="N173" i="1" s="1"/>
  <c r="O174" i="1" s="1"/>
  <c r="P175" i="1" s="1"/>
  <c r="D163" i="1"/>
  <c r="C164" i="1"/>
  <c r="E165" i="1" s="1"/>
  <c r="F166" i="1" s="1"/>
  <c r="G167" i="1" s="1"/>
  <c r="H168" i="1" s="1"/>
  <c r="I169" i="1" s="1"/>
  <c r="J170" i="1" s="1"/>
  <c r="K171" i="1" s="1"/>
  <c r="L172" i="1" s="1"/>
  <c r="M173" i="1" s="1"/>
  <c r="N174" i="1" s="1"/>
  <c r="O175" i="1" s="1"/>
  <c r="P176" i="1" s="1"/>
  <c r="D164" i="1"/>
  <c r="C165" i="1"/>
  <c r="E166" i="1" s="1"/>
  <c r="F167" i="1" s="1"/>
  <c r="G168" i="1" s="1"/>
  <c r="H169" i="1" s="1"/>
  <c r="I170" i="1" s="1"/>
  <c r="J171" i="1" s="1"/>
  <c r="K172" i="1" s="1"/>
  <c r="L173" i="1" s="1"/>
  <c r="M174" i="1" s="1"/>
  <c r="N175" i="1" s="1"/>
  <c r="O176" i="1" s="1"/>
  <c r="P177" i="1" s="1"/>
  <c r="D165" i="1"/>
  <c r="C166" i="1"/>
  <c r="E167" i="1" s="1"/>
  <c r="F168" i="1" s="1"/>
  <c r="D166" i="1"/>
  <c r="C167" i="1"/>
  <c r="E168" i="1" s="1"/>
  <c r="F169" i="1" s="1"/>
  <c r="G170" i="1" s="1"/>
  <c r="H171" i="1" s="1"/>
  <c r="I172" i="1" s="1"/>
  <c r="J173" i="1" s="1"/>
  <c r="K174" i="1" s="1"/>
  <c r="L175" i="1" s="1"/>
  <c r="M176" i="1" s="1"/>
  <c r="N177" i="1" s="1"/>
  <c r="O178" i="1" s="1"/>
  <c r="P179" i="1" s="1"/>
  <c r="D167" i="1"/>
  <c r="C168" i="1"/>
  <c r="D168" i="1"/>
  <c r="C169" i="1"/>
  <c r="E170" i="1" s="1"/>
  <c r="F171" i="1" s="1"/>
  <c r="G172" i="1" s="1"/>
  <c r="H173" i="1" s="1"/>
  <c r="I174" i="1" s="1"/>
  <c r="J175" i="1" s="1"/>
  <c r="K176" i="1" s="1"/>
  <c r="L177" i="1" s="1"/>
  <c r="M178" i="1" s="1"/>
  <c r="N179" i="1" s="1"/>
  <c r="O180" i="1" s="1"/>
  <c r="P181" i="1" s="1"/>
  <c r="D169" i="1"/>
  <c r="C170" i="1"/>
  <c r="E171" i="1" s="1"/>
  <c r="F172" i="1" s="1"/>
  <c r="G173" i="1" s="1"/>
  <c r="H174" i="1" s="1"/>
  <c r="I175" i="1" s="1"/>
  <c r="J176" i="1" s="1"/>
  <c r="K177" i="1" s="1"/>
  <c r="L178" i="1" s="1"/>
  <c r="M179" i="1" s="1"/>
  <c r="N180" i="1" s="1"/>
  <c r="O181" i="1" s="1"/>
  <c r="P182" i="1" s="1"/>
  <c r="D170" i="1"/>
  <c r="C171" i="1"/>
  <c r="E172" i="1" s="1"/>
  <c r="F173" i="1" s="1"/>
  <c r="G174" i="1" s="1"/>
  <c r="H175" i="1" s="1"/>
  <c r="I176" i="1" s="1"/>
  <c r="J177" i="1" s="1"/>
  <c r="K178" i="1" s="1"/>
  <c r="L179" i="1" s="1"/>
  <c r="M180" i="1" s="1"/>
  <c r="N181" i="1" s="1"/>
  <c r="O182" i="1" s="1"/>
  <c r="P183" i="1" s="1"/>
  <c r="D171" i="1"/>
  <c r="C172" i="1"/>
  <c r="D172" i="1"/>
  <c r="C173" i="1"/>
  <c r="D173" i="1"/>
  <c r="C174" i="1"/>
  <c r="D174" i="1"/>
  <c r="C175" i="1"/>
  <c r="E176" i="1" s="1"/>
  <c r="F177" i="1" s="1"/>
  <c r="G178" i="1" s="1"/>
  <c r="H179" i="1" s="1"/>
  <c r="I180" i="1" s="1"/>
  <c r="J181" i="1" s="1"/>
  <c r="K182" i="1" s="1"/>
  <c r="L183" i="1" s="1"/>
  <c r="M184" i="1" s="1"/>
  <c r="N185" i="1" s="1"/>
  <c r="O186" i="1" s="1"/>
  <c r="P187" i="1" s="1"/>
  <c r="D175" i="1"/>
  <c r="C176" i="1"/>
  <c r="E177" i="1" s="1"/>
  <c r="F178" i="1" s="1"/>
  <c r="G179" i="1" s="1"/>
  <c r="H180" i="1" s="1"/>
  <c r="I181" i="1" s="1"/>
  <c r="J182" i="1" s="1"/>
  <c r="K183" i="1" s="1"/>
  <c r="L184" i="1" s="1"/>
  <c r="M185" i="1" s="1"/>
  <c r="N186" i="1" s="1"/>
  <c r="O187" i="1" s="1"/>
  <c r="P188" i="1" s="1"/>
  <c r="D176" i="1"/>
  <c r="C177" i="1"/>
  <c r="E178" i="1" s="1"/>
  <c r="F179" i="1" s="1"/>
  <c r="G180" i="1" s="1"/>
  <c r="H181" i="1" s="1"/>
  <c r="I182" i="1" s="1"/>
  <c r="J183" i="1" s="1"/>
  <c r="K184" i="1" s="1"/>
  <c r="L185" i="1" s="1"/>
  <c r="M186" i="1" s="1"/>
  <c r="N187" i="1" s="1"/>
  <c r="O188" i="1" s="1"/>
  <c r="P189" i="1" s="1"/>
  <c r="D177" i="1"/>
  <c r="C178" i="1"/>
  <c r="E179" i="1" s="1"/>
  <c r="F180" i="1" s="1"/>
  <c r="D178" i="1"/>
  <c r="C179" i="1"/>
  <c r="D179" i="1"/>
  <c r="C180" i="1"/>
  <c r="D180" i="1"/>
  <c r="C181" i="1"/>
  <c r="E182" i="1" s="1"/>
  <c r="F183" i="1" s="1"/>
  <c r="G184" i="1" s="1"/>
  <c r="H185" i="1" s="1"/>
  <c r="I186" i="1" s="1"/>
  <c r="J187" i="1" s="1"/>
  <c r="K188" i="1" s="1"/>
  <c r="L189" i="1" s="1"/>
  <c r="M190" i="1" s="1"/>
  <c r="N191" i="1" s="1"/>
  <c r="O192" i="1" s="1"/>
  <c r="P193" i="1" s="1"/>
  <c r="D181" i="1"/>
  <c r="C182" i="1"/>
  <c r="E183" i="1" s="1"/>
  <c r="F184" i="1" s="1"/>
  <c r="G185" i="1" s="1"/>
  <c r="H186" i="1" s="1"/>
  <c r="I187" i="1" s="1"/>
  <c r="J188" i="1" s="1"/>
  <c r="K189" i="1" s="1"/>
  <c r="L190" i="1" s="1"/>
  <c r="M191" i="1" s="1"/>
  <c r="N192" i="1" s="1"/>
  <c r="O193" i="1" s="1"/>
  <c r="P194" i="1" s="1"/>
  <c r="D182" i="1"/>
  <c r="C183" i="1"/>
  <c r="E184" i="1" s="1"/>
  <c r="F185" i="1" s="1"/>
  <c r="G186" i="1" s="1"/>
  <c r="H187" i="1" s="1"/>
  <c r="I188" i="1" s="1"/>
  <c r="J189" i="1" s="1"/>
  <c r="K190" i="1" s="1"/>
  <c r="L191" i="1" s="1"/>
  <c r="M192" i="1" s="1"/>
  <c r="N193" i="1" s="1"/>
  <c r="O194" i="1" s="1"/>
  <c r="P195" i="1" s="1"/>
  <c r="D183" i="1"/>
  <c r="C184" i="1"/>
  <c r="E185" i="1" s="1"/>
  <c r="D184" i="1"/>
  <c r="C185" i="1"/>
  <c r="E186" i="1" s="1"/>
  <c r="F187" i="1" s="1"/>
  <c r="G188" i="1" s="1"/>
  <c r="H189" i="1" s="1"/>
  <c r="I190" i="1" s="1"/>
  <c r="J191" i="1" s="1"/>
  <c r="K192" i="1" s="1"/>
  <c r="L193" i="1" s="1"/>
  <c r="M194" i="1" s="1"/>
  <c r="N195" i="1" s="1"/>
  <c r="O196" i="1" s="1"/>
  <c r="P197" i="1" s="1"/>
  <c r="D185" i="1"/>
  <c r="C186" i="1"/>
  <c r="E187" i="1" s="1"/>
  <c r="D186" i="1"/>
  <c r="C187" i="1"/>
  <c r="E188" i="1" s="1"/>
  <c r="F189" i="1" s="1"/>
  <c r="G190" i="1" s="1"/>
  <c r="H191" i="1" s="1"/>
  <c r="I192" i="1" s="1"/>
  <c r="J193" i="1" s="1"/>
  <c r="K194" i="1" s="1"/>
  <c r="L195" i="1" s="1"/>
  <c r="M196" i="1" s="1"/>
  <c r="N197" i="1" s="1"/>
  <c r="O198" i="1" s="1"/>
  <c r="P199" i="1" s="1"/>
  <c r="D187" i="1"/>
  <c r="C188" i="1"/>
  <c r="E189" i="1" s="1"/>
  <c r="F190" i="1" s="1"/>
  <c r="G191" i="1" s="1"/>
  <c r="H192" i="1" s="1"/>
  <c r="I193" i="1" s="1"/>
  <c r="J194" i="1" s="1"/>
  <c r="K195" i="1" s="1"/>
  <c r="L196" i="1" s="1"/>
  <c r="M197" i="1" s="1"/>
  <c r="N198" i="1" s="1"/>
  <c r="O199" i="1" s="1"/>
  <c r="P200" i="1" s="1"/>
  <c r="D188" i="1"/>
  <c r="C189" i="1"/>
  <c r="E190" i="1" s="1"/>
  <c r="F191" i="1" s="1"/>
  <c r="G192" i="1" s="1"/>
  <c r="H193" i="1" s="1"/>
  <c r="I194" i="1" s="1"/>
  <c r="J195" i="1" s="1"/>
  <c r="K196" i="1" s="1"/>
  <c r="L197" i="1" s="1"/>
  <c r="M198" i="1" s="1"/>
  <c r="N199" i="1" s="1"/>
  <c r="O200" i="1" s="1"/>
  <c r="P201" i="1" s="1"/>
  <c r="D189" i="1"/>
  <c r="C190" i="1"/>
  <c r="E191" i="1" s="1"/>
  <c r="F192" i="1" s="1"/>
  <c r="G193" i="1" s="1"/>
  <c r="H194" i="1" s="1"/>
  <c r="I195" i="1" s="1"/>
  <c r="J196" i="1" s="1"/>
  <c r="K197" i="1" s="1"/>
  <c r="L198" i="1" s="1"/>
  <c r="M199" i="1" s="1"/>
  <c r="N200" i="1" s="1"/>
  <c r="O201" i="1" s="1"/>
  <c r="P202" i="1" s="1"/>
  <c r="D190" i="1"/>
  <c r="C191" i="1"/>
  <c r="E192" i="1" s="1"/>
  <c r="F193" i="1" s="1"/>
  <c r="G194" i="1" s="1"/>
  <c r="H195" i="1" s="1"/>
  <c r="I196" i="1" s="1"/>
  <c r="J197" i="1" s="1"/>
  <c r="K198" i="1" s="1"/>
  <c r="L199" i="1" s="1"/>
  <c r="M200" i="1" s="1"/>
  <c r="N201" i="1" s="1"/>
  <c r="O202" i="1" s="1"/>
  <c r="P203" i="1" s="1"/>
  <c r="D191" i="1"/>
  <c r="C192" i="1"/>
  <c r="D192" i="1"/>
  <c r="C193" i="1"/>
  <c r="E194" i="1" s="1"/>
  <c r="F195" i="1" s="1"/>
  <c r="G196" i="1" s="1"/>
  <c r="H197" i="1" s="1"/>
  <c r="I198" i="1" s="1"/>
  <c r="J199" i="1" s="1"/>
  <c r="K200" i="1" s="1"/>
  <c r="L201" i="1" s="1"/>
  <c r="M202" i="1" s="1"/>
  <c r="N203" i="1" s="1"/>
  <c r="O204" i="1" s="1"/>
  <c r="P205" i="1" s="1"/>
  <c r="D193" i="1"/>
  <c r="C194" i="1"/>
  <c r="E195" i="1" s="1"/>
  <c r="F196" i="1" s="1"/>
  <c r="G197" i="1" s="1"/>
  <c r="H198" i="1" s="1"/>
  <c r="I199" i="1" s="1"/>
  <c r="J200" i="1" s="1"/>
  <c r="K201" i="1" s="1"/>
  <c r="L202" i="1" s="1"/>
  <c r="M203" i="1" s="1"/>
  <c r="N204" i="1" s="1"/>
  <c r="O205" i="1" s="1"/>
  <c r="P206" i="1" s="1"/>
  <c r="D194" i="1"/>
  <c r="C195" i="1"/>
  <c r="D195" i="1"/>
  <c r="C196" i="1"/>
  <c r="D196" i="1"/>
  <c r="C197" i="1"/>
  <c r="D197" i="1"/>
  <c r="C198" i="1"/>
  <c r="D198" i="1"/>
  <c r="C199" i="1"/>
  <c r="E200" i="1" s="1"/>
  <c r="F201" i="1" s="1"/>
  <c r="G202" i="1" s="1"/>
  <c r="H203" i="1" s="1"/>
  <c r="I204" i="1" s="1"/>
  <c r="J205" i="1" s="1"/>
  <c r="K206" i="1" s="1"/>
  <c r="L207" i="1" s="1"/>
  <c r="M208" i="1" s="1"/>
  <c r="N209" i="1" s="1"/>
  <c r="O210" i="1" s="1"/>
  <c r="P211" i="1" s="1"/>
  <c r="D199" i="1"/>
  <c r="C200" i="1"/>
  <c r="E201" i="1" s="1"/>
  <c r="F202" i="1" s="1"/>
  <c r="G203" i="1" s="1"/>
  <c r="H204" i="1" s="1"/>
  <c r="I205" i="1" s="1"/>
  <c r="J206" i="1" s="1"/>
  <c r="K207" i="1" s="1"/>
  <c r="L208" i="1" s="1"/>
  <c r="M209" i="1" s="1"/>
  <c r="N210" i="1" s="1"/>
  <c r="O211" i="1" s="1"/>
  <c r="P212" i="1" s="1"/>
  <c r="D200" i="1"/>
  <c r="C201" i="1"/>
  <c r="E202" i="1" s="1"/>
  <c r="F203" i="1" s="1"/>
  <c r="G204" i="1" s="1"/>
  <c r="H205" i="1" s="1"/>
  <c r="I206" i="1" s="1"/>
  <c r="J207" i="1" s="1"/>
  <c r="K208" i="1" s="1"/>
  <c r="L209" i="1" s="1"/>
  <c r="M210" i="1" s="1"/>
  <c r="N211" i="1" s="1"/>
  <c r="O212" i="1" s="1"/>
  <c r="P213" i="1" s="1"/>
  <c r="D201" i="1"/>
  <c r="C202" i="1"/>
  <c r="E203" i="1" s="1"/>
  <c r="F204" i="1" s="1"/>
  <c r="G205" i="1" s="1"/>
  <c r="H206" i="1" s="1"/>
  <c r="I207" i="1" s="1"/>
  <c r="J208" i="1" s="1"/>
  <c r="K209" i="1" s="1"/>
  <c r="L210" i="1" s="1"/>
  <c r="M211" i="1" s="1"/>
  <c r="N212" i="1" s="1"/>
  <c r="O213" i="1" s="1"/>
  <c r="P214" i="1" s="1"/>
  <c r="D202" i="1"/>
  <c r="C203" i="1"/>
  <c r="E204" i="1" s="1"/>
  <c r="F205" i="1" s="1"/>
  <c r="G206" i="1" s="1"/>
  <c r="H207" i="1" s="1"/>
  <c r="I208" i="1" s="1"/>
  <c r="J209" i="1" s="1"/>
  <c r="K210" i="1" s="1"/>
  <c r="L211" i="1" s="1"/>
  <c r="M212" i="1" s="1"/>
  <c r="N213" i="1" s="1"/>
  <c r="O214" i="1" s="1"/>
  <c r="P215" i="1" s="1"/>
  <c r="D203" i="1"/>
  <c r="C204" i="1"/>
  <c r="E205" i="1" s="1"/>
  <c r="F206" i="1" s="1"/>
  <c r="G207" i="1" s="1"/>
  <c r="H208" i="1" s="1"/>
  <c r="I209" i="1" s="1"/>
  <c r="J210" i="1" s="1"/>
  <c r="K211" i="1" s="1"/>
  <c r="L212" i="1" s="1"/>
  <c r="M213" i="1" s="1"/>
  <c r="N214" i="1" s="1"/>
  <c r="O215" i="1" s="1"/>
  <c r="P216" i="1" s="1"/>
  <c r="D204" i="1"/>
  <c r="C205" i="1"/>
  <c r="E206" i="1" s="1"/>
  <c r="F207" i="1" s="1"/>
  <c r="G208" i="1" s="1"/>
  <c r="H209" i="1" s="1"/>
  <c r="I210" i="1" s="1"/>
  <c r="J211" i="1" s="1"/>
  <c r="K212" i="1" s="1"/>
  <c r="L213" i="1" s="1"/>
  <c r="M214" i="1" s="1"/>
  <c r="N215" i="1" s="1"/>
  <c r="O216" i="1" s="1"/>
  <c r="P217" i="1" s="1"/>
  <c r="D205" i="1"/>
  <c r="C206" i="1"/>
  <c r="E207" i="1" s="1"/>
  <c r="F208" i="1" s="1"/>
  <c r="G209" i="1" s="1"/>
  <c r="H210" i="1" s="1"/>
  <c r="I211" i="1" s="1"/>
  <c r="J212" i="1" s="1"/>
  <c r="K213" i="1" s="1"/>
  <c r="L214" i="1" s="1"/>
  <c r="M215" i="1" s="1"/>
  <c r="N216" i="1" s="1"/>
  <c r="O217" i="1" s="1"/>
  <c r="P218" i="1" s="1"/>
  <c r="D206" i="1"/>
  <c r="C207" i="1"/>
  <c r="E208" i="1" s="1"/>
  <c r="F209" i="1" s="1"/>
  <c r="G210" i="1" s="1"/>
  <c r="H211" i="1" s="1"/>
  <c r="I212" i="1" s="1"/>
  <c r="J213" i="1" s="1"/>
  <c r="K214" i="1" s="1"/>
  <c r="L215" i="1" s="1"/>
  <c r="M216" i="1" s="1"/>
  <c r="N217" i="1" s="1"/>
  <c r="O218" i="1" s="1"/>
  <c r="P219" i="1" s="1"/>
  <c r="D207" i="1"/>
  <c r="C208" i="1"/>
  <c r="D208" i="1"/>
  <c r="C209" i="1"/>
  <c r="E210" i="1" s="1"/>
  <c r="F211" i="1" s="1"/>
  <c r="G212" i="1" s="1"/>
  <c r="H213" i="1" s="1"/>
  <c r="I214" i="1" s="1"/>
  <c r="J215" i="1" s="1"/>
  <c r="K216" i="1" s="1"/>
  <c r="L217" i="1" s="1"/>
  <c r="M218" i="1" s="1"/>
  <c r="N219" i="1" s="1"/>
  <c r="O220" i="1" s="1"/>
  <c r="P221" i="1" s="1"/>
  <c r="D209" i="1"/>
  <c r="C210" i="1"/>
  <c r="D210" i="1"/>
  <c r="C211" i="1"/>
  <c r="E212" i="1" s="1"/>
  <c r="F213" i="1" s="1"/>
  <c r="G214" i="1" s="1"/>
  <c r="H215" i="1" s="1"/>
  <c r="I216" i="1" s="1"/>
  <c r="J217" i="1" s="1"/>
  <c r="K218" i="1" s="1"/>
  <c r="L219" i="1" s="1"/>
  <c r="M220" i="1" s="1"/>
  <c r="N221" i="1" s="1"/>
  <c r="O222" i="1" s="1"/>
  <c r="P223" i="1" s="1"/>
  <c r="D211" i="1"/>
  <c r="C212" i="1"/>
  <c r="E213" i="1" s="1"/>
  <c r="F214" i="1" s="1"/>
  <c r="G215" i="1" s="1"/>
  <c r="H216" i="1" s="1"/>
  <c r="I217" i="1" s="1"/>
  <c r="J218" i="1" s="1"/>
  <c r="K219" i="1" s="1"/>
  <c r="L220" i="1" s="1"/>
  <c r="M221" i="1" s="1"/>
  <c r="N222" i="1" s="1"/>
  <c r="O223" i="1" s="1"/>
  <c r="P224" i="1" s="1"/>
  <c r="D212" i="1"/>
  <c r="C213" i="1"/>
  <c r="D213" i="1"/>
  <c r="C214" i="1"/>
  <c r="E215" i="1" s="1"/>
  <c r="F216" i="1" s="1"/>
  <c r="D214" i="1"/>
  <c r="C215" i="1"/>
  <c r="D215" i="1"/>
  <c r="C216" i="1"/>
  <c r="E217" i="1" s="1"/>
  <c r="F218" i="1" s="1"/>
  <c r="G219" i="1" s="1"/>
  <c r="H220" i="1" s="1"/>
  <c r="I221" i="1" s="1"/>
  <c r="J222" i="1" s="1"/>
  <c r="K223" i="1" s="1"/>
  <c r="L224" i="1" s="1"/>
  <c r="M225" i="1" s="1"/>
  <c r="N226" i="1" s="1"/>
  <c r="O227" i="1" s="1"/>
  <c r="P228" i="1" s="1"/>
  <c r="D216" i="1"/>
  <c r="C217" i="1"/>
  <c r="E218" i="1" s="1"/>
  <c r="D217" i="1"/>
  <c r="C218" i="1"/>
  <c r="E219" i="1" s="1"/>
  <c r="F220" i="1" s="1"/>
  <c r="G221" i="1" s="1"/>
  <c r="H222" i="1" s="1"/>
  <c r="I223" i="1" s="1"/>
  <c r="J224" i="1" s="1"/>
  <c r="K225" i="1" s="1"/>
  <c r="L226" i="1" s="1"/>
  <c r="M227" i="1" s="1"/>
  <c r="N228" i="1" s="1"/>
  <c r="O229" i="1" s="1"/>
  <c r="P230" i="1" s="1"/>
  <c r="D218" i="1"/>
  <c r="C219" i="1"/>
  <c r="E220" i="1" s="1"/>
  <c r="F221" i="1" s="1"/>
  <c r="G222" i="1" s="1"/>
  <c r="H223" i="1" s="1"/>
  <c r="I224" i="1" s="1"/>
  <c r="J225" i="1" s="1"/>
  <c r="K226" i="1" s="1"/>
  <c r="L227" i="1" s="1"/>
  <c r="M228" i="1" s="1"/>
  <c r="N229" i="1" s="1"/>
  <c r="O230" i="1" s="1"/>
  <c r="P231" i="1" s="1"/>
  <c r="D219" i="1"/>
  <c r="C220" i="1"/>
  <c r="D220" i="1"/>
  <c r="C221" i="1"/>
  <c r="D221" i="1"/>
  <c r="C222" i="1"/>
  <c r="E223" i="1" s="1"/>
  <c r="F224" i="1" s="1"/>
  <c r="G225" i="1" s="1"/>
  <c r="H226" i="1" s="1"/>
  <c r="I227" i="1" s="1"/>
  <c r="J228" i="1" s="1"/>
  <c r="K229" i="1" s="1"/>
  <c r="L230" i="1" s="1"/>
  <c r="M231" i="1" s="1"/>
  <c r="N232" i="1" s="1"/>
  <c r="O233" i="1" s="1"/>
  <c r="P234" i="1" s="1"/>
  <c r="D222" i="1"/>
  <c r="C223" i="1"/>
  <c r="E224" i="1" s="1"/>
  <c r="F225" i="1" s="1"/>
  <c r="G226" i="1" s="1"/>
  <c r="H227" i="1" s="1"/>
  <c r="I228" i="1" s="1"/>
  <c r="J229" i="1" s="1"/>
  <c r="K230" i="1" s="1"/>
  <c r="L231" i="1" s="1"/>
  <c r="M232" i="1" s="1"/>
  <c r="N233" i="1" s="1"/>
  <c r="O234" i="1" s="1"/>
  <c r="P235" i="1" s="1"/>
  <c r="D223" i="1"/>
  <c r="C224" i="1"/>
  <c r="E225" i="1" s="1"/>
  <c r="F226" i="1" s="1"/>
  <c r="G227" i="1" s="1"/>
  <c r="H228" i="1" s="1"/>
  <c r="I229" i="1" s="1"/>
  <c r="J230" i="1" s="1"/>
  <c r="K231" i="1" s="1"/>
  <c r="L232" i="1" s="1"/>
  <c r="M233" i="1" s="1"/>
  <c r="N234" i="1" s="1"/>
  <c r="O235" i="1" s="1"/>
  <c r="P236" i="1" s="1"/>
  <c r="D224" i="1"/>
  <c r="C225" i="1"/>
  <c r="E226" i="1" s="1"/>
  <c r="F227" i="1" s="1"/>
  <c r="G228" i="1" s="1"/>
  <c r="H229" i="1" s="1"/>
  <c r="I230" i="1" s="1"/>
  <c r="J231" i="1" s="1"/>
  <c r="K232" i="1" s="1"/>
  <c r="L233" i="1" s="1"/>
  <c r="M234" i="1" s="1"/>
  <c r="N235" i="1" s="1"/>
  <c r="O236" i="1" s="1"/>
  <c r="P237" i="1" s="1"/>
  <c r="D225" i="1"/>
  <c r="C226" i="1"/>
  <c r="D226" i="1"/>
  <c r="C227" i="1"/>
  <c r="D227" i="1"/>
  <c r="C228" i="1"/>
  <c r="E229" i="1" s="1"/>
  <c r="F230" i="1" s="1"/>
  <c r="D228" i="1"/>
  <c r="C229" i="1"/>
  <c r="E230" i="1" s="1"/>
  <c r="F231" i="1" s="1"/>
  <c r="G232" i="1" s="1"/>
  <c r="H233" i="1" s="1"/>
  <c r="I234" i="1" s="1"/>
  <c r="J235" i="1" s="1"/>
  <c r="K236" i="1" s="1"/>
  <c r="L237" i="1" s="1"/>
  <c r="M238" i="1" s="1"/>
  <c r="N239" i="1" s="1"/>
  <c r="O240" i="1" s="1"/>
  <c r="P241" i="1" s="1"/>
  <c r="D229" i="1"/>
  <c r="C230" i="1"/>
  <c r="E231" i="1" s="1"/>
  <c r="F232" i="1" s="1"/>
  <c r="G233" i="1" s="1"/>
  <c r="H234" i="1" s="1"/>
  <c r="I235" i="1" s="1"/>
  <c r="J236" i="1" s="1"/>
  <c r="K237" i="1" s="1"/>
  <c r="L238" i="1" s="1"/>
  <c r="M239" i="1" s="1"/>
  <c r="N240" i="1" s="1"/>
  <c r="O241" i="1" s="1"/>
  <c r="P242" i="1" s="1"/>
  <c r="D230" i="1"/>
  <c r="C231" i="1"/>
  <c r="D231" i="1"/>
  <c r="C232" i="1"/>
  <c r="D232" i="1"/>
  <c r="C233" i="1"/>
  <c r="D233" i="1"/>
  <c r="C234" i="1"/>
  <c r="E235" i="1" s="1"/>
  <c r="F236" i="1" s="1"/>
  <c r="G237" i="1" s="1"/>
  <c r="H238" i="1" s="1"/>
  <c r="I239" i="1" s="1"/>
  <c r="J240" i="1" s="1"/>
  <c r="K241" i="1" s="1"/>
  <c r="L242" i="1" s="1"/>
  <c r="M243" i="1" s="1"/>
  <c r="N244" i="1" s="1"/>
  <c r="O245" i="1" s="1"/>
  <c r="P246" i="1" s="1"/>
  <c r="D234" i="1"/>
  <c r="C235" i="1"/>
  <c r="E236" i="1" s="1"/>
  <c r="F237" i="1" s="1"/>
  <c r="G238" i="1" s="1"/>
  <c r="H239" i="1" s="1"/>
  <c r="I240" i="1" s="1"/>
  <c r="J241" i="1" s="1"/>
  <c r="K242" i="1" s="1"/>
  <c r="L243" i="1" s="1"/>
  <c r="M244" i="1" s="1"/>
  <c r="N245" i="1" s="1"/>
  <c r="O246" i="1" s="1"/>
  <c r="P247" i="1" s="1"/>
  <c r="D235" i="1"/>
  <c r="C236" i="1"/>
  <c r="E237" i="1" s="1"/>
  <c r="F238" i="1" s="1"/>
  <c r="G239" i="1" s="1"/>
  <c r="H240" i="1" s="1"/>
  <c r="I241" i="1" s="1"/>
  <c r="J242" i="1" s="1"/>
  <c r="K243" i="1" s="1"/>
  <c r="L244" i="1" s="1"/>
  <c r="M245" i="1" s="1"/>
  <c r="N246" i="1" s="1"/>
  <c r="O247" i="1" s="1"/>
  <c r="P248" i="1" s="1"/>
  <c r="D236" i="1"/>
  <c r="C237" i="1"/>
  <c r="E238" i="1" s="1"/>
  <c r="F239" i="1" s="1"/>
  <c r="G240" i="1" s="1"/>
  <c r="H241" i="1" s="1"/>
  <c r="I242" i="1" s="1"/>
  <c r="J243" i="1" s="1"/>
  <c r="K244" i="1" s="1"/>
  <c r="L245" i="1" s="1"/>
  <c r="M246" i="1" s="1"/>
  <c r="N247" i="1" s="1"/>
  <c r="O248" i="1" s="1"/>
  <c r="P249" i="1" s="1"/>
  <c r="D237" i="1"/>
  <c r="C238" i="1"/>
  <c r="D238" i="1"/>
  <c r="C239" i="1"/>
  <c r="E240" i="1" s="1"/>
  <c r="F241" i="1" s="1"/>
  <c r="G242" i="1" s="1"/>
  <c r="H243" i="1" s="1"/>
  <c r="I244" i="1" s="1"/>
  <c r="J245" i="1" s="1"/>
  <c r="K246" i="1" s="1"/>
  <c r="L247" i="1" s="1"/>
  <c r="M248" i="1" s="1"/>
  <c r="N249" i="1" s="1"/>
  <c r="O250" i="1" s="1"/>
  <c r="P251" i="1" s="1"/>
  <c r="D239" i="1"/>
  <c r="C240" i="1"/>
  <c r="E241" i="1" s="1"/>
  <c r="D240" i="1"/>
  <c r="C241" i="1"/>
  <c r="E242" i="1" s="1"/>
  <c r="D241" i="1"/>
  <c r="C242" i="1"/>
  <c r="E243" i="1" s="1"/>
  <c r="F244" i="1" s="1"/>
  <c r="G245" i="1" s="1"/>
  <c r="H246" i="1" s="1"/>
  <c r="I247" i="1" s="1"/>
  <c r="J248" i="1" s="1"/>
  <c r="K249" i="1" s="1"/>
  <c r="L250" i="1" s="1"/>
  <c r="M251" i="1" s="1"/>
  <c r="N252" i="1" s="1"/>
  <c r="O253" i="1" s="1"/>
  <c r="P254" i="1" s="1"/>
  <c r="D242" i="1"/>
  <c r="C243" i="1"/>
  <c r="E244" i="1" s="1"/>
  <c r="F245" i="1" s="1"/>
  <c r="G246" i="1" s="1"/>
  <c r="H247" i="1" s="1"/>
  <c r="I248" i="1" s="1"/>
  <c r="J249" i="1" s="1"/>
  <c r="K250" i="1" s="1"/>
  <c r="L251" i="1" s="1"/>
  <c r="M252" i="1" s="1"/>
  <c r="N253" i="1" s="1"/>
  <c r="O254" i="1" s="1"/>
  <c r="P255" i="1" s="1"/>
  <c r="D243" i="1"/>
  <c r="C244" i="1"/>
  <c r="D244" i="1"/>
  <c r="C245" i="1"/>
  <c r="D245" i="1"/>
  <c r="C246" i="1"/>
  <c r="D246" i="1"/>
  <c r="C247" i="1"/>
  <c r="D247" i="1"/>
  <c r="C248" i="1"/>
  <c r="E249" i="1" s="1"/>
  <c r="F250" i="1" s="1"/>
  <c r="G251" i="1" s="1"/>
  <c r="H252" i="1" s="1"/>
  <c r="I253" i="1" s="1"/>
  <c r="J254" i="1" s="1"/>
  <c r="K255" i="1" s="1"/>
  <c r="L256" i="1" s="1"/>
  <c r="M257" i="1" s="1"/>
  <c r="N258" i="1" s="1"/>
  <c r="O259" i="1" s="1"/>
  <c r="P260" i="1" s="1"/>
  <c r="D248" i="1"/>
  <c r="C249" i="1"/>
  <c r="E250" i="1" s="1"/>
  <c r="F251" i="1" s="1"/>
  <c r="G252" i="1" s="1"/>
  <c r="H253" i="1" s="1"/>
  <c r="I254" i="1" s="1"/>
  <c r="J255" i="1" s="1"/>
  <c r="K256" i="1" s="1"/>
  <c r="L257" i="1" s="1"/>
  <c r="M258" i="1" s="1"/>
  <c r="N259" i="1" s="1"/>
  <c r="O260" i="1" s="1"/>
  <c r="P261" i="1" s="1"/>
  <c r="D249" i="1"/>
  <c r="C250" i="1"/>
  <c r="D250" i="1"/>
  <c r="C251" i="1"/>
  <c r="D251" i="1"/>
  <c r="C252" i="1"/>
  <c r="E253" i="1" s="1"/>
  <c r="F254" i="1" s="1"/>
  <c r="G255" i="1" s="1"/>
  <c r="H256" i="1" s="1"/>
  <c r="I257" i="1" s="1"/>
  <c r="J258" i="1" s="1"/>
  <c r="K259" i="1" s="1"/>
  <c r="L260" i="1" s="1"/>
  <c r="M261" i="1" s="1"/>
  <c r="N262" i="1" s="1"/>
  <c r="O263" i="1" s="1"/>
  <c r="P264" i="1" s="1"/>
  <c r="D252" i="1"/>
  <c r="C253" i="1"/>
  <c r="E254" i="1" s="1"/>
  <c r="F255" i="1" s="1"/>
  <c r="G256" i="1" s="1"/>
  <c r="H257" i="1" s="1"/>
  <c r="I258" i="1" s="1"/>
  <c r="J259" i="1" s="1"/>
  <c r="K260" i="1" s="1"/>
  <c r="L261" i="1" s="1"/>
  <c r="M262" i="1" s="1"/>
  <c r="N263" i="1" s="1"/>
  <c r="O264" i="1" s="1"/>
  <c r="P265" i="1" s="1"/>
  <c r="D253" i="1"/>
  <c r="C254" i="1"/>
  <c r="E255" i="1" s="1"/>
  <c r="F256" i="1" s="1"/>
  <c r="G257" i="1" s="1"/>
  <c r="H258" i="1" s="1"/>
  <c r="I259" i="1" s="1"/>
  <c r="J260" i="1" s="1"/>
  <c r="K261" i="1" s="1"/>
  <c r="L262" i="1" s="1"/>
  <c r="M263" i="1" s="1"/>
  <c r="N264" i="1" s="1"/>
  <c r="O265" i="1" s="1"/>
  <c r="P266" i="1" s="1"/>
  <c r="D254" i="1"/>
  <c r="C255" i="1"/>
  <c r="E256" i="1" s="1"/>
  <c r="F257" i="1" s="1"/>
  <c r="G258" i="1" s="1"/>
  <c r="H259" i="1" s="1"/>
  <c r="I260" i="1" s="1"/>
  <c r="J261" i="1" s="1"/>
  <c r="K262" i="1" s="1"/>
  <c r="L263" i="1" s="1"/>
  <c r="M264" i="1" s="1"/>
  <c r="N265" i="1" s="1"/>
  <c r="O266" i="1" s="1"/>
  <c r="P267" i="1" s="1"/>
  <c r="D255" i="1"/>
  <c r="C256" i="1"/>
  <c r="D256" i="1"/>
  <c r="C257" i="1"/>
  <c r="E258" i="1" s="1"/>
  <c r="F259" i="1" s="1"/>
  <c r="G260" i="1" s="1"/>
  <c r="H261" i="1" s="1"/>
  <c r="I262" i="1" s="1"/>
  <c r="J263" i="1" s="1"/>
  <c r="K264" i="1" s="1"/>
  <c r="L265" i="1" s="1"/>
  <c r="M266" i="1" s="1"/>
  <c r="N267" i="1" s="1"/>
  <c r="O268" i="1" s="1"/>
  <c r="P269" i="1" s="1"/>
  <c r="D257" i="1"/>
  <c r="C258" i="1"/>
  <c r="E259" i="1" s="1"/>
  <c r="F260" i="1" s="1"/>
  <c r="G261" i="1" s="1"/>
  <c r="H262" i="1" s="1"/>
  <c r="I263" i="1" s="1"/>
  <c r="J264" i="1" s="1"/>
  <c r="K265" i="1" s="1"/>
  <c r="L266" i="1" s="1"/>
  <c r="M267" i="1" s="1"/>
  <c r="N268" i="1" s="1"/>
  <c r="O269" i="1" s="1"/>
  <c r="P270" i="1" s="1"/>
  <c r="D258" i="1"/>
  <c r="C259" i="1"/>
  <c r="E260" i="1" s="1"/>
  <c r="F261" i="1" s="1"/>
  <c r="G262" i="1" s="1"/>
  <c r="H263" i="1" s="1"/>
  <c r="I264" i="1" s="1"/>
  <c r="J265" i="1" s="1"/>
  <c r="K266" i="1" s="1"/>
  <c r="L267" i="1" s="1"/>
  <c r="M268" i="1" s="1"/>
  <c r="N269" i="1" s="1"/>
  <c r="O270" i="1" s="1"/>
  <c r="P271" i="1" s="1"/>
  <c r="D259" i="1"/>
  <c r="C260" i="1"/>
  <c r="E261" i="1" s="1"/>
  <c r="F262" i="1" s="1"/>
  <c r="G263" i="1" s="1"/>
  <c r="H264" i="1" s="1"/>
  <c r="I265" i="1" s="1"/>
  <c r="J266" i="1" s="1"/>
  <c r="K267" i="1" s="1"/>
  <c r="L268" i="1" s="1"/>
  <c r="M269" i="1" s="1"/>
  <c r="N270" i="1" s="1"/>
  <c r="O271" i="1" s="1"/>
  <c r="P272" i="1" s="1"/>
  <c r="D260" i="1"/>
  <c r="C261" i="1"/>
  <c r="D261" i="1"/>
  <c r="C262" i="1"/>
  <c r="D262" i="1"/>
  <c r="C263" i="1"/>
  <c r="D263" i="1"/>
  <c r="C264" i="1"/>
  <c r="E265" i="1" s="1"/>
  <c r="F266" i="1" s="1"/>
  <c r="G267" i="1" s="1"/>
  <c r="H268" i="1" s="1"/>
  <c r="D264" i="1"/>
  <c r="C265" i="1"/>
  <c r="E266" i="1" s="1"/>
  <c r="F267" i="1" s="1"/>
  <c r="G268" i="1" s="1"/>
  <c r="H269" i="1" s="1"/>
  <c r="I270" i="1" s="1"/>
  <c r="J271" i="1" s="1"/>
  <c r="K272" i="1" s="1"/>
  <c r="L273" i="1" s="1"/>
  <c r="M274" i="1" s="1"/>
  <c r="N275" i="1" s="1"/>
  <c r="O276" i="1" s="1"/>
  <c r="P277" i="1" s="1"/>
  <c r="D265" i="1"/>
  <c r="C266" i="1"/>
  <c r="E267" i="1" s="1"/>
  <c r="F268" i="1" s="1"/>
  <c r="G269" i="1" s="1"/>
  <c r="H270" i="1" s="1"/>
  <c r="I271" i="1" s="1"/>
  <c r="J272" i="1" s="1"/>
  <c r="K273" i="1" s="1"/>
  <c r="L274" i="1" s="1"/>
  <c r="M275" i="1" s="1"/>
  <c r="N276" i="1" s="1"/>
  <c r="O277" i="1" s="1"/>
  <c r="P278" i="1" s="1"/>
  <c r="D266" i="1"/>
  <c r="C267" i="1"/>
  <c r="E268" i="1" s="1"/>
  <c r="F269" i="1" s="1"/>
  <c r="G270" i="1" s="1"/>
  <c r="H271" i="1" s="1"/>
  <c r="I272" i="1" s="1"/>
  <c r="J273" i="1" s="1"/>
  <c r="K274" i="1" s="1"/>
  <c r="L275" i="1" s="1"/>
  <c r="M276" i="1" s="1"/>
  <c r="N277" i="1" s="1"/>
  <c r="O278" i="1" s="1"/>
  <c r="P279" i="1" s="1"/>
  <c r="D267" i="1"/>
  <c r="C268" i="1"/>
  <c r="D268" i="1"/>
  <c r="C269" i="1"/>
  <c r="D269" i="1"/>
  <c r="C270" i="1"/>
  <c r="E271" i="1" s="1"/>
  <c r="F272" i="1" s="1"/>
  <c r="G273" i="1" s="1"/>
  <c r="H274" i="1" s="1"/>
  <c r="I275" i="1" s="1"/>
  <c r="J276" i="1" s="1"/>
  <c r="K277" i="1" s="1"/>
  <c r="L278" i="1" s="1"/>
  <c r="M279" i="1" s="1"/>
  <c r="N280" i="1" s="1"/>
  <c r="O281" i="1" s="1"/>
  <c r="P282" i="1" s="1"/>
  <c r="D270" i="1"/>
  <c r="C271" i="1"/>
  <c r="E272" i="1" s="1"/>
  <c r="F273" i="1" s="1"/>
  <c r="G274" i="1" s="1"/>
  <c r="H275" i="1" s="1"/>
  <c r="I276" i="1" s="1"/>
  <c r="J277" i="1" s="1"/>
  <c r="K278" i="1" s="1"/>
  <c r="L279" i="1" s="1"/>
  <c r="M280" i="1" s="1"/>
  <c r="N281" i="1" s="1"/>
  <c r="O282" i="1" s="1"/>
  <c r="P283" i="1" s="1"/>
  <c r="D271" i="1"/>
  <c r="C272" i="1"/>
  <c r="E273" i="1" s="1"/>
  <c r="F274" i="1" s="1"/>
  <c r="G275" i="1" s="1"/>
  <c r="H276" i="1" s="1"/>
  <c r="I277" i="1" s="1"/>
  <c r="J278" i="1" s="1"/>
  <c r="K279" i="1" s="1"/>
  <c r="L280" i="1" s="1"/>
  <c r="M281" i="1" s="1"/>
  <c r="N282" i="1" s="1"/>
  <c r="O283" i="1" s="1"/>
  <c r="P284" i="1" s="1"/>
  <c r="D272" i="1"/>
  <c r="C273" i="1"/>
  <c r="E274" i="1" s="1"/>
  <c r="F275" i="1" s="1"/>
  <c r="G276" i="1" s="1"/>
  <c r="H277" i="1" s="1"/>
  <c r="I278" i="1" s="1"/>
  <c r="J279" i="1" s="1"/>
  <c r="K280" i="1" s="1"/>
  <c r="L281" i="1" s="1"/>
  <c r="M282" i="1" s="1"/>
  <c r="N283" i="1" s="1"/>
  <c r="O284" i="1" s="1"/>
  <c r="P285" i="1" s="1"/>
  <c r="D273" i="1"/>
  <c r="C274" i="1"/>
  <c r="D274" i="1"/>
  <c r="C275" i="1"/>
  <c r="D275" i="1"/>
  <c r="C276" i="1"/>
  <c r="E277" i="1" s="1"/>
  <c r="F278" i="1" s="1"/>
  <c r="G279" i="1" s="1"/>
  <c r="H280" i="1" s="1"/>
  <c r="I281" i="1" s="1"/>
  <c r="J282" i="1" s="1"/>
  <c r="K283" i="1" s="1"/>
  <c r="L284" i="1" s="1"/>
  <c r="M285" i="1" s="1"/>
  <c r="N286" i="1" s="1"/>
  <c r="O287" i="1" s="1"/>
  <c r="P288" i="1" s="1"/>
  <c r="D276" i="1"/>
  <c r="C277" i="1"/>
  <c r="E278" i="1" s="1"/>
  <c r="F279" i="1" s="1"/>
  <c r="G280" i="1" s="1"/>
  <c r="H281" i="1" s="1"/>
  <c r="I282" i="1" s="1"/>
  <c r="J283" i="1" s="1"/>
  <c r="K284" i="1" s="1"/>
  <c r="L285" i="1" s="1"/>
  <c r="M286" i="1" s="1"/>
  <c r="N287" i="1" s="1"/>
  <c r="O288" i="1" s="1"/>
  <c r="P289" i="1" s="1"/>
  <c r="D277" i="1"/>
  <c r="C278" i="1"/>
  <c r="E279" i="1" s="1"/>
  <c r="F280" i="1" s="1"/>
  <c r="G281" i="1" s="1"/>
  <c r="H282" i="1" s="1"/>
  <c r="I283" i="1" s="1"/>
  <c r="J284" i="1" s="1"/>
  <c r="K285" i="1" s="1"/>
  <c r="L286" i="1" s="1"/>
  <c r="M287" i="1" s="1"/>
  <c r="N288" i="1" s="1"/>
  <c r="O289" i="1" s="1"/>
  <c r="P290" i="1" s="1"/>
  <c r="D278" i="1"/>
  <c r="C279" i="1"/>
  <c r="D279" i="1"/>
  <c r="C280" i="1"/>
  <c r="D280" i="1"/>
  <c r="C281" i="1"/>
  <c r="D281" i="1"/>
  <c r="C282" i="1"/>
  <c r="E283" i="1" s="1"/>
  <c r="F284" i="1" s="1"/>
  <c r="G285" i="1" s="1"/>
  <c r="H286" i="1" s="1"/>
  <c r="I287" i="1" s="1"/>
  <c r="J288" i="1" s="1"/>
  <c r="K289" i="1" s="1"/>
  <c r="L290" i="1" s="1"/>
  <c r="M291" i="1" s="1"/>
  <c r="N292" i="1" s="1"/>
  <c r="O293" i="1" s="1"/>
  <c r="P294" i="1" s="1"/>
  <c r="D282" i="1"/>
  <c r="C283" i="1"/>
  <c r="E284" i="1" s="1"/>
  <c r="F285" i="1" s="1"/>
  <c r="G286" i="1" s="1"/>
  <c r="H287" i="1" s="1"/>
  <c r="I288" i="1" s="1"/>
  <c r="J289" i="1" s="1"/>
  <c r="K290" i="1" s="1"/>
  <c r="L291" i="1" s="1"/>
  <c r="M292" i="1" s="1"/>
  <c r="N293" i="1" s="1"/>
  <c r="O294" i="1" s="1"/>
  <c r="P295" i="1" s="1"/>
  <c r="D283" i="1"/>
  <c r="C284" i="1"/>
  <c r="E285" i="1" s="1"/>
  <c r="F286" i="1" s="1"/>
  <c r="G287" i="1" s="1"/>
  <c r="H288" i="1" s="1"/>
  <c r="I289" i="1" s="1"/>
  <c r="J290" i="1" s="1"/>
  <c r="K291" i="1" s="1"/>
  <c r="L292" i="1" s="1"/>
  <c r="M293" i="1" s="1"/>
  <c r="N294" i="1" s="1"/>
  <c r="O295" i="1" s="1"/>
  <c r="P296" i="1" s="1"/>
  <c r="D284" i="1"/>
  <c r="C285" i="1"/>
  <c r="E286" i="1" s="1"/>
  <c r="F287" i="1" s="1"/>
  <c r="G288" i="1" s="1"/>
  <c r="H289" i="1" s="1"/>
  <c r="I290" i="1" s="1"/>
  <c r="J291" i="1" s="1"/>
  <c r="K292" i="1" s="1"/>
  <c r="L293" i="1" s="1"/>
  <c r="M294" i="1" s="1"/>
  <c r="N295" i="1" s="1"/>
  <c r="O296" i="1" s="1"/>
  <c r="P297" i="1" s="1"/>
  <c r="D285" i="1"/>
  <c r="C286" i="1"/>
  <c r="E287" i="1" s="1"/>
  <c r="F288" i="1" s="1"/>
  <c r="G289" i="1" s="1"/>
  <c r="H290" i="1" s="1"/>
  <c r="I291" i="1" s="1"/>
  <c r="J292" i="1" s="1"/>
  <c r="K293" i="1" s="1"/>
  <c r="L294" i="1" s="1"/>
  <c r="M295" i="1" s="1"/>
  <c r="N296" i="1" s="1"/>
  <c r="O297" i="1" s="1"/>
  <c r="P298" i="1" s="1"/>
  <c r="D286" i="1"/>
  <c r="C287" i="1"/>
  <c r="E288" i="1" s="1"/>
  <c r="F289" i="1" s="1"/>
  <c r="G290" i="1" s="1"/>
  <c r="H291" i="1" s="1"/>
  <c r="I292" i="1" s="1"/>
  <c r="J293" i="1" s="1"/>
  <c r="K294" i="1" s="1"/>
  <c r="L295" i="1" s="1"/>
  <c r="M296" i="1" s="1"/>
  <c r="N297" i="1" s="1"/>
  <c r="O298" i="1" s="1"/>
  <c r="P299" i="1" s="1"/>
  <c r="D287" i="1"/>
  <c r="C288" i="1"/>
  <c r="E289" i="1" s="1"/>
  <c r="D288" i="1"/>
  <c r="C289" i="1"/>
  <c r="E290" i="1" s="1"/>
  <c r="F291" i="1" s="1"/>
  <c r="G292" i="1" s="1"/>
  <c r="H293" i="1" s="1"/>
  <c r="I294" i="1" s="1"/>
  <c r="J295" i="1" s="1"/>
  <c r="K296" i="1" s="1"/>
  <c r="L297" i="1" s="1"/>
  <c r="M298" i="1" s="1"/>
  <c r="N299" i="1" s="1"/>
  <c r="O300" i="1" s="1"/>
  <c r="P301" i="1" s="1"/>
  <c r="D289" i="1"/>
  <c r="C290" i="1"/>
  <c r="E291" i="1" s="1"/>
  <c r="F292" i="1" s="1"/>
  <c r="G293" i="1" s="1"/>
  <c r="H294" i="1" s="1"/>
  <c r="I295" i="1" s="1"/>
  <c r="J296" i="1" s="1"/>
  <c r="K297" i="1" s="1"/>
  <c r="L298" i="1" s="1"/>
  <c r="M299" i="1" s="1"/>
  <c r="N300" i="1" s="1"/>
  <c r="O301" i="1" s="1"/>
  <c r="P302" i="1" s="1"/>
  <c r="D290" i="1"/>
  <c r="C291" i="1"/>
  <c r="E292" i="1" s="1"/>
  <c r="F293" i="1" s="1"/>
  <c r="G294" i="1" s="1"/>
  <c r="H295" i="1" s="1"/>
  <c r="I296" i="1" s="1"/>
  <c r="J297" i="1" s="1"/>
  <c r="K298" i="1" s="1"/>
  <c r="L299" i="1" s="1"/>
  <c r="M300" i="1" s="1"/>
  <c r="N301" i="1" s="1"/>
  <c r="O302" i="1" s="1"/>
  <c r="P303" i="1" s="1"/>
  <c r="D291" i="1"/>
  <c r="C292" i="1"/>
  <c r="D292" i="1"/>
  <c r="C293" i="1"/>
  <c r="D293" i="1"/>
  <c r="C294" i="1"/>
  <c r="D294" i="1"/>
  <c r="C295" i="1"/>
  <c r="D295" i="1"/>
  <c r="C296" i="1"/>
  <c r="E297" i="1" s="1"/>
  <c r="F298" i="1" s="1"/>
  <c r="G299" i="1" s="1"/>
  <c r="H300" i="1" s="1"/>
  <c r="I301" i="1" s="1"/>
  <c r="J302" i="1" s="1"/>
  <c r="K303" i="1" s="1"/>
  <c r="L304" i="1" s="1"/>
  <c r="M305" i="1" s="1"/>
  <c r="N306" i="1" s="1"/>
  <c r="O307" i="1" s="1"/>
  <c r="P308" i="1" s="1"/>
  <c r="D296" i="1"/>
  <c r="C297" i="1"/>
  <c r="E298" i="1" s="1"/>
  <c r="F299" i="1" s="1"/>
  <c r="G300" i="1" s="1"/>
  <c r="H301" i="1" s="1"/>
  <c r="I302" i="1" s="1"/>
  <c r="J303" i="1" s="1"/>
  <c r="K304" i="1" s="1"/>
  <c r="L305" i="1" s="1"/>
  <c r="M306" i="1" s="1"/>
  <c r="N307" i="1" s="1"/>
  <c r="O308" i="1" s="1"/>
  <c r="P309" i="1" s="1"/>
  <c r="D297" i="1"/>
  <c r="C298" i="1"/>
  <c r="D298" i="1"/>
  <c r="C299" i="1"/>
  <c r="D299" i="1"/>
  <c r="C300" i="1"/>
  <c r="E301" i="1" s="1"/>
  <c r="F302" i="1" s="1"/>
  <c r="G303" i="1" s="1"/>
  <c r="H304" i="1" s="1"/>
  <c r="I305" i="1" s="1"/>
  <c r="J306" i="1" s="1"/>
  <c r="K307" i="1" s="1"/>
  <c r="L308" i="1" s="1"/>
  <c r="M309" i="1" s="1"/>
  <c r="N310" i="1" s="1"/>
  <c r="O311" i="1" s="1"/>
  <c r="P312" i="1" s="1"/>
  <c r="D300" i="1"/>
  <c r="C301" i="1"/>
  <c r="E302" i="1" s="1"/>
  <c r="F303" i="1" s="1"/>
  <c r="G304" i="1" s="1"/>
  <c r="H305" i="1" s="1"/>
  <c r="I306" i="1" s="1"/>
  <c r="J307" i="1" s="1"/>
  <c r="K308" i="1" s="1"/>
  <c r="L309" i="1" s="1"/>
  <c r="M310" i="1" s="1"/>
  <c r="N311" i="1" s="1"/>
  <c r="O312" i="1" s="1"/>
  <c r="P313" i="1" s="1"/>
  <c r="D301" i="1"/>
  <c r="C302" i="1"/>
  <c r="E303" i="1" s="1"/>
  <c r="F304" i="1" s="1"/>
  <c r="G305" i="1" s="1"/>
  <c r="H306" i="1" s="1"/>
  <c r="I307" i="1" s="1"/>
  <c r="J308" i="1" s="1"/>
  <c r="K309" i="1" s="1"/>
  <c r="L310" i="1" s="1"/>
  <c r="M311" i="1" s="1"/>
  <c r="N312" i="1" s="1"/>
  <c r="O313" i="1" s="1"/>
  <c r="P314" i="1" s="1"/>
  <c r="D302" i="1"/>
  <c r="C303" i="1"/>
  <c r="E304" i="1" s="1"/>
  <c r="F305" i="1" s="1"/>
  <c r="G306" i="1" s="1"/>
  <c r="H307" i="1" s="1"/>
  <c r="I308" i="1" s="1"/>
  <c r="J309" i="1" s="1"/>
  <c r="K310" i="1" s="1"/>
  <c r="L311" i="1" s="1"/>
  <c r="M312" i="1" s="1"/>
  <c r="N313" i="1" s="1"/>
  <c r="O314" i="1" s="1"/>
  <c r="P315" i="1" s="1"/>
  <c r="D303" i="1"/>
  <c r="C304" i="1"/>
  <c r="E305" i="1" s="1"/>
  <c r="F306" i="1" s="1"/>
  <c r="G307" i="1" s="1"/>
  <c r="H308" i="1" s="1"/>
  <c r="I309" i="1" s="1"/>
  <c r="J310" i="1" s="1"/>
  <c r="K311" i="1" s="1"/>
  <c r="L312" i="1" s="1"/>
  <c r="M313" i="1" s="1"/>
  <c r="N314" i="1" s="1"/>
  <c r="O315" i="1" s="1"/>
  <c r="P316" i="1" s="1"/>
  <c r="D304" i="1"/>
  <c r="C305" i="1"/>
  <c r="E306" i="1" s="1"/>
  <c r="F307" i="1" s="1"/>
  <c r="G308" i="1" s="1"/>
  <c r="H309" i="1" s="1"/>
  <c r="I310" i="1" s="1"/>
  <c r="J311" i="1" s="1"/>
  <c r="K312" i="1" s="1"/>
  <c r="L313" i="1" s="1"/>
  <c r="M314" i="1" s="1"/>
  <c r="N315" i="1" s="1"/>
  <c r="O316" i="1" s="1"/>
  <c r="P317" i="1" s="1"/>
  <c r="D305" i="1"/>
  <c r="C306" i="1"/>
  <c r="E307" i="1" s="1"/>
  <c r="F308" i="1" s="1"/>
  <c r="G309" i="1" s="1"/>
  <c r="H310" i="1" s="1"/>
  <c r="I311" i="1" s="1"/>
  <c r="J312" i="1" s="1"/>
  <c r="K313" i="1" s="1"/>
  <c r="L314" i="1" s="1"/>
  <c r="M315" i="1" s="1"/>
  <c r="N316" i="1" s="1"/>
  <c r="O317" i="1" s="1"/>
  <c r="P318" i="1" s="1"/>
  <c r="D306" i="1"/>
  <c r="C307" i="1"/>
  <c r="E308" i="1" s="1"/>
  <c r="F309" i="1" s="1"/>
  <c r="G310" i="1" s="1"/>
  <c r="H311" i="1" s="1"/>
  <c r="I312" i="1" s="1"/>
  <c r="J313" i="1" s="1"/>
  <c r="K314" i="1" s="1"/>
  <c r="L315" i="1" s="1"/>
  <c r="M316" i="1" s="1"/>
  <c r="N317" i="1" s="1"/>
  <c r="O318" i="1" s="1"/>
  <c r="P319" i="1" s="1"/>
  <c r="D307" i="1"/>
  <c r="C308" i="1"/>
  <c r="E309" i="1" s="1"/>
  <c r="F310" i="1" s="1"/>
  <c r="G311" i="1" s="1"/>
  <c r="H312" i="1" s="1"/>
  <c r="I313" i="1" s="1"/>
  <c r="J314" i="1" s="1"/>
  <c r="K315" i="1" s="1"/>
  <c r="L316" i="1" s="1"/>
  <c r="M317" i="1" s="1"/>
  <c r="N318" i="1" s="1"/>
  <c r="O319" i="1" s="1"/>
  <c r="P320" i="1" s="1"/>
  <c r="D308" i="1"/>
  <c r="C309" i="1"/>
  <c r="D309" i="1"/>
  <c r="C310" i="1"/>
  <c r="D310" i="1"/>
  <c r="C311" i="1"/>
  <c r="D311" i="1"/>
  <c r="C312" i="1"/>
  <c r="E313" i="1" s="1"/>
  <c r="F314" i="1" s="1"/>
  <c r="G315" i="1" s="1"/>
  <c r="D312" i="1"/>
  <c r="C313" i="1"/>
  <c r="E314" i="1" s="1"/>
  <c r="F315" i="1" s="1"/>
  <c r="G316" i="1" s="1"/>
  <c r="H317" i="1" s="1"/>
  <c r="I318" i="1" s="1"/>
  <c r="J319" i="1" s="1"/>
  <c r="K320" i="1" s="1"/>
  <c r="L321" i="1" s="1"/>
  <c r="M322" i="1" s="1"/>
  <c r="N323" i="1" s="1"/>
  <c r="O324" i="1" s="1"/>
  <c r="P325" i="1" s="1"/>
  <c r="D313" i="1"/>
  <c r="C314" i="1"/>
  <c r="E315" i="1" s="1"/>
  <c r="F316" i="1" s="1"/>
  <c r="G317" i="1" s="1"/>
  <c r="H318" i="1" s="1"/>
  <c r="I319" i="1" s="1"/>
  <c r="J320" i="1" s="1"/>
  <c r="K321" i="1" s="1"/>
  <c r="L322" i="1" s="1"/>
  <c r="M323" i="1" s="1"/>
  <c r="N324" i="1" s="1"/>
  <c r="O325" i="1" s="1"/>
  <c r="P326" i="1" s="1"/>
  <c r="D314" i="1"/>
  <c r="C315" i="1"/>
  <c r="E316" i="1" s="1"/>
  <c r="F317" i="1" s="1"/>
  <c r="G318" i="1" s="1"/>
  <c r="H319" i="1" s="1"/>
  <c r="I320" i="1" s="1"/>
  <c r="J321" i="1" s="1"/>
  <c r="K322" i="1" s="1"/>
  <c r="L323" i="1" s="1"/>
  <c r="M324" i="1" s="1"/>
  <c r="N325" i="1" s="1"/>
  <c r="O326" i="1" s="1"/>
  <c r="P327" i="1" s="1"/>
  <c r="D315" i="1"/>
  <c r="C316" i="1"/>
  <c r="D316" i="1"/>
  <c r="C317" i="1"/>
  <c r="D317" i="1"/>
  <c r="C318" i="1"/>
  <c r="E319" i="1" s="1"/>
  <c r="F320" i="1" s="1"/>
  <c r="G321" i="1" s="1"/>
  <c r="H322" i="1" s="1"/>
  <c r="I323" i="1" s="1"/>
  <c r="J324" i="1" s="1"/>
  <c r="K325" i="1" s="1"/>
  <c r="L326" i="1" s="1"/>
  <c r="M327" i="1" s="1"/>
  <c r="N328" i="1" s="1"/>
  <c r="O329" i="1" s="1"/>
  <c r="P330" i="1" s="1"/>
  <c r="D318" i="1"/>
  <c r="C319" i="1"/>
  <c r="E320" i="1" s="1"/>
  <c r="F321" i="1" s="1"/>
  <c r="G322" i="1" s="1"/>
  <c r="H323" i="1" s="1"/>
  <c r="I324" i="1" s="1"/>
  <c r="J325" i="1" s="1"/>
  <c r="K326" i="1" s="1"/>
  <c r="L327" i="1" s="1"/>
  <c r="M328" i="1" s="1"/>
  <c r="N329" i="1" s="1"/>
  <c r="O330" i="1" s="1"/>
  <c r="P331" i="1" s="1"/>
  <c r="D319" i="1"/>
  <c r="C320" i="1"/>
  <c r="E321" i="1" s="1"/>
  <c r="F322" i="1" s="1"/>
  <c r="G323" i="1" s="1"/>
  <c r="H324" i="1" s="1"/>
  <c r="I325" i="1" s="1"/>
  <c r="J326" i="1" s="1"/>
  <c r="K327" i="1" s="1"/>
  <c r="L328" i="1" s="1"/>
  <c r="M329" i="1" s="1"/>
  <c r="N330" i="1" s="1"/>
  <c r="O331" i="1" s="1"/>
  <c r="P332" i="1" s="1"/>
  <c r="D320" i="1"/>
  <c r="C321" i="1"/>
  <c r="E322" i="1" s="1"/>
  <c r="F323" i="1" s="1"/>
  <c r="G324" i="1" s="1"/>
  <c r="H325" i="1" s="1"/>
  <c r="I326" i="1" s="1"/>
  <c r="J327" i="1" s="1"/>
  <c r="K328" i="1" s="1"/>
  <c r="L329" i="1" s="1"/>
  <c r="M330" i="1" s="1"/>
  <c r="N331" i="1" s="1"/>
  <c r="O332" i="1" s="1"/>
  <c r="P333" i="1" s="1"/>
  <c r="D321" i="1"/>
  <c r="C322" i="1"/>
  <c r="D322" i="1"/>
  <c r="C323" i="1"/>
  <c r="D323" i="1"/>
  <c r="C324" i="1"/>
  <c r="E325" i="1" s="1"/>
  <c r="D324" i="1"/>
  <c r="C325" i="1"/>
  <c r="E326" i="1" s="1"/>
  <c r="F327" i="1" s="1"/>
  <c r="G328" i="1" s="1"/>
  <c r="H329" i="1" s="1"/>
  <c r="I330" i="1" s="1"/>
  <c r="J331" i="1" s="1"/>
  <c r="K332" i="1" s="1"/>
  <c r="L333" i="1" s="1"/>
  <c r="M334" i="1" s="1"/>
  <c r="N335" i="1" s="1"/>
  <c r="O336" i="1" s="1"/>
  <c r="P337" i="1" s="1"/>
  <c r="D325" i="1"/>
  <c r="C326" i="1"/>
  <c r="E327" i="1" s="1"/>
  <c r="F328" i="1" s="1"/>
  <c r="G329" i="1" s="1"/>
  <c r="H330" i="1" s="1"/>
  <c r="I331" i="1" s="1"/>
  <c r="J332" i="1" s="1"/>
  <c r="K333" i="1" s="1"/>
  <c r="L334" i="1" s="1"/>
  <c r="M335" i="1" s="1"/>
  <c r="N336" i="1" s="1"/>
  <c r="O337" i="1" s="1"/>
  <c r="P338" i="1" s="1"/>
  <c r="D326" i="1"/>
  <c r="C327" i="1"/>
  <c r="D327" i="1"/>
  <c r="C328" i="1"/>
  <c r="D328" i="1"/>
  <c r="C329" i="1"/>
  <c r="D329" i="1"/>
  <c r="C330" i="1"/>
  <c r="E331" i="1" s="1"/>
  <c r="F332" i="1" s="1"/>
  <c r="G333" i="1" s="1"/>
  <c r="H334" i="1" s="1"/>
  <c r="I335" i="1" s="1"/>
  <c r="J336" i="1" s="1"/>
  <c r="K337" i="1" s="1"/>
  <c r="L338" i="1" s="1"/>
  <c r="M339" i="1" s="1"/>
  <c r="N340" i="1" s="1"/>
  <c r="O341" i="1" s="1"/>
  <c r="P342" i="1" s="1"/>
  <c r="D330" i="1"/>
  <c r="C331" i="1"/>
  <c r="E332" i="1" s="1"/>
  <c r="F333" i="1" s="1"/>
  <c r="G334" i="1" s="1"/>
  <c r="H335" i="1" s="1"/>
  <c r="I336" i="1" s="1"/>
  <c r="J337" i="1" s="1"/>
  <c r="K338" i="1" s="1"/>
  <c r="L339" i="1" s="1"/>
  <c r="M340" i="1" s="1"/>
  <c r="N341" i="1" s="1"/>
  <c r="O342" i="1" s="1"/>
  <c r="P343" i="1" s="1"/>
  <c r="D331" i="1"/>
  <c r="C332" i="1"/>
  <c r="E333" i="1" s="1"/>
  <c r="F334" i="1" s="1"/>
  <c r="G335" i="1" s="1"/>
  <c r="H336" i="1" s="1"/>
  <c r="I337" i="1" s="1"/>
  <c r="J338" i="1" s="1"/>
  <c r="K339" i="1" s="1"/>
  <c r="L340" i="1" s="1"/>
  <c r="M341" i="1" s="1"/>
  <c r="N342" i="1" s="1"/>
  <c r="O343" i="1" s="1"/>
  <c r="P344" i="1" s="1"/>
  <c r="D332" i="1"/>
  <c r="C333" i="1"/>
  <c r="E334" i="1" s="1"/>
  <c r="F335" i="1" s="1"/>
  <c r="G336" i="1" s="1"/>
  <c r="H337" i="1" s="1"/>
  <c r="I338" i="1" s="1"/>
  <c r="J339" i="1" s="1"/>
  <c r="K340" i="1" s="1"/>
  <c r="L341" i="1" s="1"/>
  <c r="M342" i="1" s="1"/>
  <c r="N343" i="1" s="1"/>
  <c r="O344" i="1" s="1"/>
  <c r="P345" i="1" s="1"/>
  <c r="D333" i="1"/>
  <c r="C334" i="1"/>
  <c r="E335" i="1" s="1"/>
  <c r="F336" i="1" s="1"/>
  <c r="G337" i="1" s="1"/>
  <c r="H338" i="1" s="1"/>
  <c r="I339" i="1" s="1"/>
  <c r="J340" i="1" s="1"/>
  <c r="K341" i="1" s="1"/>
  <c r="L342" i="1" s="1"/>
  <c r="M343" i="1" s="1"/>
  <c r="N344" i="1" s="1"/>
  <c r="O345" i="1" s="1"/>
  <c r="P346" i="1" s="1"/>
  <c r="D334" i="1"/>
  <c r="C335" i="1"/>
  <c r="E336" i="1" s="1"/>
  <c r="F337" i="1" s="1"/>
  <c r="G338" i="1" s="1"/>
  <c r="H339" i="1" s="1"/>
  <c r="I340" i="1" s="1"/>
  <c r="J341" i="1" s="1"/>
  <c r="K342" i="1" s="1"/>
  <c r="L343" i="1" s="1"/>
  <c r="M344" i="1" s="1"/>
  <c r="N345" i="1" s="1"/>
  <c r="O346" i="1" s="1"/>
  <c r="P347" i="1" s="1"/>
  <c r="D335" i="1"/>
  <c r="C336" i="1"/>
  <c r="E337" i="1" s="1"/>
  <c r="D336" i="1"/>
  <c r="C337" i="1"/>
  <c r="E338" i="1" s="1"/>
  <c r="F339" i="1" s="1"/>
  <c r="G340" i="1" s="1"/>
  <c r="H341" i="1" s="1"/>
  <c r="I342" i="1" s="1"/>
  <c r="J343" i="1" s="1"/>
  <c r="K344" i="1" s="1"/>
  <c r="L345" i="1" s="1"/>
  <c r="M346" i="1" s="1"/>
  <c r="N347" i="1" s="1"/>
  <c r="O348" i="1" s="1"/>
  <c r="P349" i="1" s="1"/>
  <c r="D337" i="1"/>
  <c r="C338" i="1"/>
  <c r="E339" i="1" s="1"/>
  <c r="F340" i="1" s="1"/>
  <c r="G341" i="1" s="1"/>
  <c r="H342" i="1" s="1"/>
  <c r="I343" i="1" s="1"/>
  <c r="J344" i="1" s="1"/>
  <c r="K345" i="1" s="1"/>
  <c r="L346" i="1" s="1"/>
  <c r="M347" i="1" s="1"/>
  <c r="N348" i="1" s="1"/>
  <c r="O349" i="1" s="1"/>
  <c r="D338" i="1"/>
  <c r="C339" i="1"/>
  <c r="E340" i="1" s="1"/>
  <c r="F341" i="1" s="1"/>
  <c r="G342" i="1" s="1"/>
  <c r="H343" i="1" s="1"/>
  <c r="I344" i="1" s="1"/>
  <c r="J345" i="1" s="1"/>
  <c r="K346" i="1" s="1"/>
  <c r="L347" i="1" s="1"/>
  <c r="M348" i="1" s="1"/>
  <c r="N349" i="1" s="1"/>
  <c r="D339" i="1"/>
  <c r="C340" i="1"/>
  <c r="D340" i="1"/>
  <c r="C341" i="1"/>
  <c r="D341" i="1"/>
  <c r="C342" i="1"/>
  <c r="D342" i="1"/>
  <c r="C343" i="1"/>
  <c r="D343" i="1"/>
  <c r="C344" i="1"/>
  <c r="E345" i="1" s="1"/>
  <c r="F346" i="1" s="1"/>
  <c r="G347" i="1" s="1"/>
  <c r="H348" i="1" s="1"/>
  <c r="I349" i="1" s="1"/>
  <c r="D344" i="1"/>
  <c r="C345" i="1"/>
  <c r="E346" i="1" s="1"/>
  <c r="F347" i="1" s="1"/>
  <c r="G348" i="1" s="1"/>
  <c r="H349" i="1" s="1"/>
  <c r="D345" i="1"/>
  <c r="C346" i="1"/>
  <c r="D346" i="1"/>
  <c r="C347" i="1"/>
  <c r="D347" i="1"/>
  <c r="C348" i="1"/>
  <c r="E349" i="1" s="1"/>
  <c r="D348" i="1"/>
  <c r="C349" i="1"/>
  <c r="D349" i="1"/>
  <c r="E4" i="1"/>
  <c r="F5" i="1" s="1"/>
  <c r="G6" i="1" s="1"/>
  <c r="H7" i="1" s="1"/>
  <c r="I8" i="1" s="1"/>
  <c r="J9" i="1" s="1"/>
  <c r="K10" i="1" s="1"/>
  <c r="L11" i="1" s="1"/>
  <c r="M12" i="1" s="1"/>
  <c r="N13" i="1" s="1"/>
  <c r="O14" i="1" s="1"/>
  <c r="P15" i="1" s="1"/>
  <c r="D3" i="1"/>
  <c r="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<sst xmlns="http://schemas.openxmlformats.org/spreadsheetml/2006/main" count="44" uniqueCount="36">
  <si>
    <t>Month</t>
  </si>
  <si>
    <t>CPI</t>
  </si>
  <si>
    <t>Diff</t>
  </si>
  <si>
    <t>lag</t>
  </si>
  <si>
    <t>diff_lag1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</si>
  <si>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</si>
  <si>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</si>
  <si>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</si>
  <si>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</si>
  <si>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</si>
  <si>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</si>
  <si>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</si>
  <si>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</si>
  <si>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</si>
  <si>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</si>
  <si>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</si>
  <si>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</si>
  <si>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</si>
  <si>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</si>
  <si>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</si>
  <si>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</si>
  <si>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</si>
  <si>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</si>
  <si>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</si>
  <si>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</si>
  <si>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</si>
  <si>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</si>
  <si>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</si>
  <si>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</si>
  <si>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ADF - test </t>
  </si>
  <si>
    <t xml:space="preserve">Chuỗi dừng không cần sai phân </t>
  </si>
  <si>
    <t>Devsq</t>
  </si>
  <si>
    <t>ACF</t>
  </si>
  <si>
    <t>Numerator</t>
  </si>
  <si>
    <t xml:space="preserve">PACF </t>
  </si>
  <si>
    <t>PACF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</si>
</sst>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43" fontId="0" fillId="0" borderId="0" xfId="1" applyFont="1"/>
    <xf numFmtId="0" fontId="2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ADF!$B$1</c:f>
              <c:strCache>
                <c:ptCount val="1"/>
                <c:pt idx="0">
                  <c:v>CPI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ADF!$A$2:$A$349</c:f>
              <c:numCache>
                <c:formatCode>m/d/yyyy</c:formatCode>
                <c:ptCount val="348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</c:numCache>
            </c:numRef>
          </c:cat>
          <c:val>
            <c:numRef>
              <c:f>ADF!$B$2:$B$349</c:f>
              <c:numCache>
                <c:formatCode>General</c:formatCode>
                <c:ptCount val="348"/>
                <c:pt idx="0">
                  <c:v>103.8</c:v>
                </c:pt>
                <c:pt idx="1">
                  <c:v>103.4</c:v>
                </c:pt>
                <c:pt idx="2">
                  <c:v>100.2</c:v>
                </c:pt>
                <c:pt idx="3">
                  <c:v>101</c:v>
                </c:pt>
                <c:pt idx="4">
                  <c:v>101.8</c:v>
                </c:pt>
                <c:pt idx="5">
                  <c:v>100.8</c:v>
                </c:pt>
                <c:pt idx="6">
                  <c:v>100</c:v>
                </c:pt>
                <c:pt idx="7">
                  <c:v>100.3</c:v>
                </c:pt>
                <c:pt idx="8">
                  <c:v>100.5</c:v>
                </c:pt>
                <c:pt idx="9">
                  <c:v>100.1</c:v>
                </c:pt>
                <c:pt idx="10">
                  <c:v>100.1</c:v>
                </c:pt>
                <c:pt idx="11">
                  <c:v>100.3</c:v>
                </c:pt>
                <c:pt idx="12">
                  <c:v>100.9</c:v>
                </c:pt>
                <c:pt idx="13">
                  <c:v>102.5</c:v>
                </c:pt>
                <c:pt idx="14">
                  <c:v>100.8</c:v>
                </c:pt>
                <c:pt idx="15">
                  <c:v>100.1</c:v>
                </c:pt>
                <c:pt idx="16">
                  <c:v>99.5</c:v>
                </c:pt>
                <c:pt idx="17">
                  <c:v>99.5</c:v>
                </c:pt>
                <c:pt idx="18">
                  <c:v>99.3</c:v>
                </c:pt>
                <c:pt idx="19">
                  <c:v>99.6</c:v>
                </c:pt>
                <c:pt idx="20">
                  <c:v>100.3</c:v>
                </c:pt>
                <c:pt idx="21">
                  <c:v>100.1</c:v>
                </c:pt>
                <c:pt idx="22">
                  <c:v>100.9</c:v>
                </c:pt>
                <c:pt idx="23">
                  <c:v>101</c:v>
                </c:pt>
                <c:pt idx="24">
                  <c:v>100.8</c:v>
                </c:pt>
                <c:pt idx="25">
                  <c:v>101.8</c:v>
                </c:pt>
                <c:pt idx="26">
                  <c:v>99.5</c:v>
                </c:pt>
                <c:pt idx="27">
                  <c:v>99.4</c:v>
                </c:pt>
                <c:pt idx="28">
                  <c:v>99.5</c:v>
                </c:pt>
                <c:pt idx="29">
                  <c:v>100.1</c:v>
                </c:pt>
                <c:pt idx="30">
                  <c:v>100.2</c:v>
                </c:pt>
                <c:pt idx="31">
                  <c:v>100.1</c:v>
                </c:pt>
                <c:pt idx="32">
                  <c:v>100.6</c:v>
                </c:pt>
                <c:pt idx="33">
                  <c:v>100.3</c:v>
                </c:pt>
                <c:pt idx="34">
                  <c:v>100.3</c:v>
                </c:pt>
                <c:pt idx="35">
                  <c:v>101</c:v>
                </c:pt>
                <c:pt idx="36">
                  <c:v>101.6</c:v>
                </c:pt>
                <c:pt idx="37">
                  <c:v>102.2</c:v>
                </c:pt>
                <c:pt idx="38">
                  <c:v>99.2</c:v>
                </c:pt>
                <c:pt idx="39">
                  <c:v>101.6</c:v>
                </c:pt>
                <c:pt idx="40">
                  <c:v>101.4</c:v>
                </c:pt>
                <c:pt idx="41">
                  <c:v>100</c:v>
                </c:pt>
                <c:pt idx="42">
                  <c:v>99.5</c:v>
                </c:pt>
                <c:pt idx="43">
                  <c:v>101.1</c:v>
                </c:pt>
                <c:pt idx="44">
                  <c:v>101</c:v>
                </c:pt>
                <c:pt idx="45">
                  <c:v>100.3</c:v>
                </c:pt>
                <c:pt idx="46">
                  <c:v>100.1</c:v>
                </c:pt>
                <c:pt idx="47">
                  <c:v>100.8</c:v>
                </c:pt>
                <c:pt idx="48">
                  <c:v>101.7</c:v>
                </c:pt>
                <c:pt idx="49">
                  <c:v>101.9</c:v>
                </c:pt>
                <c:pt idx="50">
                  <c:v>99.3</c:v>
                </c:pt>
                <c:pt idx="51">
                  <c:v>99.4</c:v>
                </c:pt>
                <c:pt idx="52">
                  <c:v>99.6</c:v>
                </c:pt>
                <c:pt idx="53">
                  <c:v>99.7</c:v>
                </c:pt>
                <c:pt idx="54">
                  <c:v>99.6</c:v>
                </c:pt>
                <c:pt idx="55">
                  <c:v>99.6</c:v>
                </c:pt>
                <c:pt idx="56">
                  <c:v>99.4</c:v>
                </c:pt>
                <c:pt idx="57">
                  <c:v>99</c:v>
                </c:pt>
                <c:pt idx="58">
                  <c:v>100.4</c:v>
                </c:pt>
                <c:pt idx="59">
                  <c:v>100.5</c:v>
                </c:pt>
                <c:pt idx="60">
                  <c:v>100.4</c:v>
                </c:pt>
                <c:pt idx="61">
                  <c:v>101.6</c:v>
                </c:pt>
                <c:pt idx="62">
                  <c:v>98.9</c:v>
                </c:pt>
                <c:pt idx="63">
                  <c:v>99.3</c:v>
                </c:pt>
                <c:pt idx="64">
                  <c:v>99.4</c:v>
                </c:pt>
                <c:pt idx="65">
                  <c:v>99.5</c:v>
                </c:pt>
                <c:pt idx="66">
                  <c:v>99.4</c:v>
                </c:pt>
                <c:pt idx="67">
                  <c:v>100.1</c:v>
                </c:pt>
                <c:pt idx="68">
                  <c:v>99.8</c:v>
                </c:pt>
                <c:pt idx="69">
                  <c:v>100.1</c:v>
                </c:pt>
                <c:pt idx="70">
                  <c:v>100.9</c:v>
                </c:pt>
                <c:pt idx="71">
                  <c:v>100.1</c:v>
                </c:pt>
                <c:pt idx="72">
                  <c:v>100.3</c:v>
                </c:pt>
                <c:pt idx="73">
                  <c:v>100.4</c:v>
                </c:pt>
                <c:pt idx="74">
                  <c:v>99.3</c:v>
                </c:pt>
                <c:pt idx="75">
                  <c:v>99.5</c:v>
                </c:pt>
                <c:pt idx="76">
                  <c:v>99.8</c:v>
                </c:pt>
                <c:pt idx="77">
                  <c:v>100</c:v>
                </c:pt>
                <c:pt idx="78">
                  <c:v>99.8</c:v>
                </c:pt>
                <c:pt idx="79">
                  <c:v>100</c:v>
                </c:pt>
                <c:pt idx="80">
                  <c:v>100.5</c:v>
                </c:pt>
                <c:pt idx="81">
                  <c:v>100</c:v>
                </c:pt>
                <c:pt idx="82">
                  <c:v>100.2</c:v>
                </c:pt>
                <c:pt idx="83">
                  <c:v>101</c:v>
                </c:pt>
                <c:pt idx="84">
                  <c:v>101.1</c:v>
                </c:pt>
                <c:pt idx="85">
                  <c:v>102.2</c:v>
                </c:pt>
                <c:pt idx="86">
                  <c:v>99.2</c:v>
                </c:pt>
                <c:pt idx="87">
                  <c:v>100</c:v>
                </c:pt>
                <c:pt idx="88">
                  <c:v>100.3</c:v>
                </c:pt>
                <c:pt idx="89">
                  <c:v>100.1</c:v>
                </c:pt>
                <c:pt idx="90">
                  <c:v>99.9</c:v>
                </c:pt>
                <c:pt idx="91">
                  <c:v>100.1</c:v>
                </c:pt>
                <c:pt idx="92">
                  <c:v>100.2</c:v>
                </c:pt>
                <c:pt idx="93">
                  <c:v>100.3</c:v>
                </c:pt>
                <c:pt idx="94">
                  <c:v>100.3</c:v>
                </c:pt>
                <c:pt idx="95">
                  <c:v>100.3</c:v>
                </c:pt>
                <c:pt idx="96">
                  <c:v>100.9</c:v>
                </c:pt>
                <c:pt idx="97">
                  <c:v>102.2</c:v>
                </c:pt>
                <c:pt idx="98">
                  <c:v>99.4</c:v>
                </c:pt>
                <c:pt idx="99">
                  <c:v>100</c:v>
                </c:pt>
                <c:pt idx="100">
                  <c:v>99.9</c:v>
                </c:pt>
                <c:pt idx="101">
                  <c:v>99.7</c:v>
                </c:pt>
                <c:pt idx="102">
                  <c:v>99.7</c:v>
                </c:pt>
                <c:pt idx="103">
                  <c:v>99.9</c:v>
                </c:pt>
                <c:pt idx="104">
                  <c:v>100.1</c:v>
                </c:pt>
                <c:pt idx="105">
                  <c:v>99.8</c:v>
                </c:pt>
                <c:pt idx="106">
                  <c:v>100.6</c:v>
                </c:pt>
                <c:pt idx="107">
                  <c:v>100.8</c:v>
                </c:pt>
                <c:pt idx="108">
                  <c:v>101.1</c:v>
                </c:pt>
                <c:pt idx="109">
                  <c:v>103</c:v>
                </c:pt>
                <c:pt idx="110">
                  <c:v>100.8</c:v>
                </c:pt>
                <c:pt idx="111">
                  <c:v>100.5</c:v>
                </c:pt>
                <c:pt idx="112">
                  <c:v>100.9</c:v>
                </c:pt>
                <c:pt idx="113">
                  <c:v>100.8</c:v>
                </c:pt>
                <c:pt idx="114">
                  <c:v>100.5</c:v>
                </c:pt>
                <c:pt idx="115">
                  <c:v>100.6</c:v>
                </c:pt>
                <c:pt idx="116">
                  <c:v>100.3</c:v>
                </c:pt>
                <c:pt idx="117">
                  <c:v>100</c:v>
                </c:pt>
                <c:pt idx="118">
                  <c:v>100.2</c:v>
                </c:pt>
                <c:pt idx="119">
                  <c:v>100.6</c:v>
                </c:pt>
                <c:pt idx="120">
                  <c:v>101.1</c:v>
                </c:pt>
                <c:pt idx="121">
                  <c:v>102.5</c:v>
                </c:pt>
                <c:pt idx="122">
                  <c:v>100.1</c:v>
                </c:pt>
                <c:pt idx="123">
                  <c:v>100.6</c:v>
                </c:pt>
                <c:pt idx="124">
                  <c:v>100.5</c:v>
                </c:pt>
                <c:pt idx="125">
                  <c:v>100.4</c:v>
                </c:pt>
                <c:pt idx="126">
                  <c:v>100.4</c:v>
                </c:pt>
                <c:pt idx="127">
                  <c:v>100.4</c:v>
                </c:pt>
                <c:pt idx="128">
                  <c:v>100.8</c:v>
                </c:pt>
                <c:pt idx="129">
                  <c:v>100.4</c:v>
                </c:pt>
                <c:pt idx="130">
                  <c:v>100.4</c:v>
                </c:pt>
                <c:pt idx="131">
                  <c:v>100.8</c:v>
                </c:pt>
                <c:pt idx="132">
                  <c:v>101.2</c:v>
                </c:pt>
                <c:pt idx="133">
                  <c:v>102.1</c:v>
                </c:pt>
                <c:pt idx="134">
                  <c:v>99.5</c:v>
                </c:pt>
                <c:pt idx="135">
                  <c:v>100.2</c:v>
                </c:pt>
                <c:pt idx="136">
                  <c:v>100.6</c:v>
                </c:pt>
                <c:pt idx="137">
                  <c:v>100.4</c:v>
                </c:pt>
                <c:pt idx="138">
                  <c:v>100.4</c:v>
                </c:pt>
                <c:pt idx="139">
                  <c:v>100.4</c:v>
                </c:pt>
                <c:pt idx="140">
                  <c:v>100.3</c:v>
                </c:pt>
                <c:pt idx="141">
                  <c:v>100.2</c:v>
                </c:pt>
                <c:pt idx="142">
                  <c:v>100.6</c:v>
                </c:pt>
                <c:pt idx="143">
                  <c:v>100.5</c:v>
                </c:pt>
                <c:pt idx="144">
                  <c:v>101.1</c:v>
                </c:pt>
                <c:pt idx="145">
                  <c:v>102.2</c:v>
                </c:pt>
                <c:pt idx="146">
                  <c:v>99.8</c:v>
                </c:pt>
                <c:pt idx="147">
                  <c:v>100.5</c:v>
                </c:pt>
                <c:pt idx="148">
                  <c:v>100.8</c:v>
                </c:pt>
                <c:pt idx="149">
                  <c:v>100.9</c:v>
                </c:pt>
                <c:pt idx="150">
                  <c:v>100.9</c:v>
                </c:pt>
                <c:pt idx="151">
                  <c:v>100.6</c:v>
                </c:pt>
                <c:pt idx="152">
                  <c:v>100.5</c:v>
                </c:pt>
                <c:pt idx="153">
                  <c:v>100.7</c:v>
                </c:pt>
                <c:pt idx="154">
                  <c:v>101.2</c:v>
                </c:pt>
                <c:pt idx="155">
                  <c:v>102.9</c:v>
                </c:pt>
                <c:pt idx="156">
                  <c:v>102.4</c:v>
                </c:pt>
                <c:pt idx="157">
                  <c:v>103.6</c:v>
                </c:pt>
                <c:pt idx="158">
                  <c:v>103</c:v>
                </c:pt>
                <c:pt idx="159">
                  <c:v>102.2</c:v>
                </c:pt>
                <c:pt idx="160">
                  <c:v>103.9</c:v>
                </c:pt>
                <c:pt idx="161">
                  <c:v>102.1</c:v>
                </c:pt>
                <c:pt idx="162">
                  <c:v>101.1</c:v>
                </c:pt>
                <c:pt idx="163">
                  <c:v>101.6</c:v>
                </c:pt>
                <c:pt idx="164">
                  <c:v>100.2</c:v>
                </c:pt>
                <c:pt idx="165">
                  <c:v>99.8</c:v>
                </c:pt>
                <c:pt idx="166">
                  <c:v>99.2</c:v>
                </c:pt>
                <c:pt idx="167">
                  <c:v>99.3</c:v>
                </c:pt>
                <c:pt idx="168">
                  <c:v>100.3</c:v>
                </c:pt>
                <c:pt idx="169">
                  <c:v>101.2</c:v>
                </c:pt>
                <c:pt idx="170">
                  <c:v>99.8</c:v>
                </c:pt>
                <c:pt idx="171">
                  <c:v>100.4</c:v>
                </c:pt>
                <c:pt idx="172">
                  <c:v>100.4</c:v>
                </c:pt>
                <c:pt idx="173">
                  <c:v>100.6</c:v>
                </c:pt>
                <c:pt idx="174">
                  <c:v>100.5</c:v>
                </c:pt>
                <c:pt idx="175">
                  <c:v>100.2</c:v>
                </c:pt>
                <c:pt idx="176">
                  <c:v>100.6</c:v>
                </c:pt>
                <c:pt idx="177">
                  <c:v>100.4</c:v>
                </c:pt>
                <c:pt idx="178">
                  <c:v>100.6</c:v>
                </c:pt>
                <c:pt idx="179">
                  <c:v>101.4</c:v>
                </c:pt>
                <c:pt idx="180">
                  <c:v>101.4</c:v>
                </c:pt>
                <c:pt idx="181">
                  <c:v>102</c:v>
                </c:pt>
                <c:pt idx="182">
                  <c:v>100.8</c:v>
                </c:pt>
                <c:pt idx="183">
                  <c:v>100.1</c:v>
                </c:pt>
                <c:pt idx="184">
                  <c:v>100.3</c:v>
                </c:pt>
                <c:pt idx="185">
                  <c:v>100.2</c:v>
                </c:pt>
                <c:pt idx="186">
                  <c:v>100.1</c:v>
                </c:pt>
                <c:pt idx="187">
                  <c:v>100.2</c:v>
                </c:pt>
                <c:pt idx="188">
                  <c:v>101.3</c:v>
                </c:pt>
                <c:pt idx="189">
                  <c:v>101.1</c:v>
                </c:pt>
                <c:pt idx="190">
                  <c:v>101.9</c:v>
                </c:pt>
                <c:pt idx="191">
                  <c:v>102</c:v>
                </c:pt>
                <c:pt idx="192">
                  <c:v>101.7</c:v>
                </c:pt>
                <c:pt idx="193">
                  <c:v>102.1</c:v>
                </c:pt>
                <c:pt idx="194">
                  <c:v>102.2</c:v>
                </c:pt>
                <c:pt idx="195">
                  <c:v>103.3</c:v>
                </c:pt>
                <c:pt idx="196">
                  <c:v>102.2</c:v>
                </c:pt>
                <c:pt idx="197">
                  <c:v>101.1</c:v>
                </c:pt>
                <c:pt idx="198">
                  <c:v>101.2</c:v>
                </c:pt>
                <c:pt idx="199">
                  <c:v>100.9</c:v>
                </c:pt>
                <c:pt idx="200">
                  <c:v>100.8</c:v>
                </c:pt>
                <c:pt idx="201">
                  <c:v>100.4</c:v>
                </c:pt>
                <c:pt idx="202">
                  <c:v>100.4</c:v>
                </c:pt>
                <c:pt idx="203">
                  <c:v>100.5</c:v>
                </c:pt>
                <c:pt idx="204">
                  <c:v>101</c:v>
                </c:pt>
                <c:pt idx="205">
                  <c:v>101.4</c:v>
                </c:pt>
                <c:pt idx="206">
                  <c:v>100.2</c:v>
                </c:pt>
                <c:pt idx="207">
                  <c:v>100.1</c:v>
                </c:pt>
                <c:pt idx="208">
                  <c:v>100.2</c:v>
                </c:pt>
                <c:pt idx="209">
                  <c:v>99.7</c:v>
                </c:pt>
                <c:pt idx="210">
                  <c:v>99.7</c:v>
                </c:pt>
                <c:pt idx="211">
                  <c:v>100.6</c:v>
                </c:pt>
                <c:pt idx="212">
                  <c:v>102.2</c:v>
                </c:pt>
                <c:pt idx="213">
                  <c:v>100.9</c:v>
                </c:pt>
                <c:pt idx="214">
                  <c:v>100.5</c:v>
                </c:pt>
                <c:pt idx="215">
                  <c:v>100.3</c:v>
                </c:pt>
                <c:pt idx="216">
                  <c:v>101.3</c:v>
                </c:pt>
                <c:pt idx="217">
                  <c:v>101.3</c:v>
                </c:pt>
                <c:pt idx="218">
                  <c:v>99.8</c:v>
                </c:pt>
                <c:pt idx="219">
                  <c:v>100</c:v>
                </c:pt>
                <c:pt idx="220">
                  <c:v>99.9</c:v>
                </c:pt>
                <c:pt idx="221">
                  <c:v>100.1</c:v>
                </c:pt>
                <c:pt idx="222">
                  <c:v>100.3</c:v>
                </c:pt>
                <c:pt idx="223">
                  <c:v>100.8</c:v>
                </c:pt>
                <c:pt idx="224">
                  <c:v>101.1</c:v>
                </c:pt>
                <c:pt idx="225">
                  <c:v>100.5</c:v>
                </c:pt>
                <c:pt idx="226">
                  <c:v>100.3</c:v>
                </c:pt>
                <c:pt idx="227">
                  <c:v>100.5</c:v>
                </c:pt>
                <c:pt idx="228">
                  <c:v>100.7</c:v>
                </c:pt>
                <c:pt idx="229">
                  <c:v>100.6</c:v>
                </c:pt>
                <c:pt idx="230">
                  <c:v>99.6</c:v>
                </c:pt>
                <c:pt idx="231">
                  <c:v>100.1</c:v>
                </c:pt>
                <c:pt idx="232">
                  <c:v>100.2</c:v>
                </c:pt>
                <c:pt idx="233">
                  <c:v>100.3</c:v>
                </c:pt>
                <c:pt idx="234">
                  <c:v>100.2</c:v>
                </c:pt>
                <c:pt idx="235">
                  <c:v>100.2</c:v>
                </c:pt>
                <c:pt idx="236">
                  <c:v>100.4</c:v>
                </c:pt>
                <c:pt idx="237">
                  <c:v>100.1</c:v>
                </c:pt>
                <c:pt idx="238">
                  <c:v>99.7</c:v>
                </c:pt>
                <c:pt idx="239">
                  <c:v>99.8</c:v>
                </c:pt>
                <c:pt idx="240">
                  <c:v>99.8</c:v>
                </c:pt>
                <c:pt idx="241">
                  <c:v>100</c:v>
                </c:pt>
                <c:pt idx="242">
                  <c:v>100.2</c:v>
                </c:pt>
                <c:pt idx="243">
                  <c:v>100.1</c:v>
                </c:pt>
                <c:pt idx="244">
                  <c:v>100.2</c:v>
                </c:pt>
                <c:pt idx="245">
                  <c:v>100.4</c:v>
                </c:pt>
                <c:pt idx="246">
                  <c:v>100.1</c:v>
                </c:pt>
                <c:pt idx="247">
                  <c:v>99.9</c:v>
                </c:pt>
                <c:pt idx="248">
                  <c:v>99.8</c:v>
                </c:pt>
                <c:pt idx="249">
                  <c:v>100.1</c:v>
                </c:pt>
                <c:pt idx="250">
                  <c:v>100.1</c:v>
                </c:pt>
                <c:pt idx="251">
                  <c:v>100</c:v>
                </c:pt>
                <c:pt idx="252">
                  <c:v>100</c:v>
                </c:pt>
                <c:pt idx="253">
                  <c:v>100.4</c:v>
                </c:pt>
                <c:pt idx="254">
                  <c:v>100.6</c:v>
                </c:pt>
                <c:pt idx="255">
                  <c:v>100.3</c:v>
                </c:pt>
                <c:pt idx="256">
                  <c:v>100.5</c:v>
                </c:pt>
                <c:pt idx="257">
                  <c:v>100.5</c:v>
                </c:pt>
                <c:pt idx="258">
                  <c:v>100.1</c:v>
                </c:pt>
                <c:pt idx="259">
                  <c:v>100.1</c:v>
                </c:pt>
                <c:pt idx="260">
                  <c:v>100.5</c:v>
                </c:pt>
                <c:pt idx="261">
                  <c:v>100.8</c:v>
                </c:pt>
                <c:pt idx="262">
                  <c:v>100.5</c:v>
                </c:pt>
                <c:pt idx="263">
                  <c:v>100.2</c:v>
                </c:pt>
                <c:pt idx="264">
                  <c:v>100.5</c:v>
                </c:pt>
                <c:pt idx="265">
                  <c:v>100.2</c:v>
                </c:pt>
                <c:pt idx="266">
                  <c:v>100.2</c:v>
                </c:pt>
                <c:pt idx="267">
                  <c:v>100</c:v>
                </c:pt>
                <c:pt idx="268">
                  <c:v>99.5</c:v>
                </c:pt>
                <c:pt idx="269">
                  <c:v>99.8</c:v>
                </c:pt>
                <c:pt idx="270">
                  <c:v>100.1</c:v>
                </c:pt>
                <c:pt idx="271">
                  <c:v>100.9</c:v>
                </c:pt>
                <c:pt idx="272">
                  <c:v>100.6</c:v>
                </c:pt>
                <c:pt idx="273">
                  <c:v>100.4</c:v>
                </c:pt>
                <c:pt idx="274">
                  <c:v>100.1</c:v>
                </c:pt>
                <c:pt idx="275">
                  <c:v>100.2</c:v>
                </c:pt>
                <c:pt idx="276">
                  <c:v>100.5</c:v>
                </c:pt>
                <c:pt idx="277">
                  <c:v>100.7</c:v>
                </c:pt>
                <c:pt idx="278">
                  <c:v>99.7</c:v>
                </c:pt>
                <c:pt idx="279">
                  <c:v>100.1</c:v>
                </c:pt>
                <c:pt idx="280">
                  <c:v>100.6</c:v>
                </c:pt>
                <c:pt idx="281">
                  <c:v>100.6</c:v>
                </c:pt>
                <c:pt idx="282">
                  <c:v>99.9</c:v>
                </c:pt>
                <c:pt idx="283">
                  <c:v>100.5</c:v>
                </c:pt>
                <c:pt idx="284">
                  <c:v>100.6</c:v>
                </c:pt>
                <c:pt idx="285">
                  <c:v>100.3</c:v>
                </c:pt>
                <c:pt idx="286">
                  <c:v>99.7</c:v>
                </c:pt>
                <c:pt idx="287">
                  <c:v>99.8</c:v>
                </c:pt>
                <c:pt idx="288">
                  <c:v>100.1</c:v>
                </c:pt>
                <c:pt idx="289">
                  <c:v>100.8</c:v>
                </c:pt>
                <c:pt idx="290">
                  <c:v>99.8</c:v>
                </c:pt>
                <c:pt idx="291">
                  <c:v>100.3</c:v>
                </c:pt>
                <c:pt idx="292">
                  <c:v>100.5</c:v>
                </c:pt>
                <c:pt idx="293">
                  <c:v>99.9</c:v>
                </c:pt>
                <c:pt idx="294">
                  <c:v>100.2</c:v>
                </c:pt>
                <c:pt idx="295">
                  <c:v>100.3</c:v>
                </c:pt>
                <c:pt idx="296">
                  <c:v>100.3</c:v>
                </c:pt>
                <c:pt idx="297">
                  <c:v>100.6</c:v>
                </c:pt>
                <c:pt idx="298">
                  <c:v>101</c:v>
                </c:pt>
                <c:pt idx="299">
                  <c:v>101.4</c:v>
                </c:pt>
                <c:pt idx="300">
                  <c:v>101.2</c:v>
                </c:pt>
                <c:pt idx="301">
                  <c:v>99.8</c:v>
                </c:pt>
                <c:pt idx="302">
                  <c:v>99.3</c:v>
                </c:pt>
                <c:pt idx="303">
                  <c:v>98.5</c:v>
                </c:pt>
                <c:pt idx="304">
                  <c:v>100</c:v>
                </c:pt>
                <c:pt idx="305">
                  <c:v>100.7</c:v>
                </c:pt>
                <c:pt idx="306">
                  <c:v>100.4</c:v>
                </c:pt>
                <c:pt idx="307">
                  <c:v>100.1</c:v>
                </c:pt>
                <c:pt idx="308">
                  <c:v>100.1</c:v>
                </c:pt>
                <c:pt idx="309">
                  <c:v>100.1</c:v>
                </c:pt>
                <c:pt idx="310">
                  <c:v>100</c:v>
                </c:pt>
                <c:pt idx="311">
                  <c:v>100.1</c:v>
                </c:pt>
                <c:pt idx="312">
                  <c:v>100.1</c:v>
                </c:pt>
                <c:pt idx="313">
                  <c:v>101.5</c:v>
                </c:pt>
                <c:pt idx="314">
                  <c:v>99.7</c:v>
                </c:pt>
                <c:pt idx="315">
                  <c:v>100</c:v>
                </c:pt>
                <c:pt idx="316">
                  <c:v>100.2</c:v>
                </c:pt>
                <c:pt idx="317">
                  <c:v>100.2</c:v>
                </c:pt>
                <c:pt idx="318">
                  <c:v>100.6</c:v>
                </c:pt>
                <c:pt idx="319">
                  <c:v>100.3</c:v>
                </c:pt>
                <c:pt idx="320">
                  <c:v>99.4</c:v>
                </c:pt>
                <c:pt idx="321">
                  <c:v>99.8</c:v>
                </c:pt>
                <c:pt idx="322">
                  <c:v>100.3</c:v>
                </c:pt>
                <c:pt idx="323">
                  <c:v>99.8</c:v>
                </c:pt>
                <c:pt idx="324">
                  <c:v>100.2</c:v>
                </c:pt>
                <c:pt idx="325">
                  <c:v>101</c:v>
                </c:pt>
                <c:pt idx="326">
                  <c:v>100.7</c:v>
                </c:pt>
                <c:pt idx="327">
                  <c:v>100.2</c:v>
                </c:pt>
                <c:pt idx="328">
                  <c:v>100.4</c:v>
                </c:pt>
                <c:pt idx="329">
                  <c:v>100.7</c:v>
                </c:pt>
                <c:pt idx="330">
                  <c:v>100.4</c:v>
                </c:pt>
                <c:pt idx="331">
                  <c:v>100</c:v>
                </c:pt>
                <c:pt idx="332">
                  <c:v>100.4</c:v>
                </c:pt>
                <c:pt idx="333">
                  <c:v>100.2</c:v>
                </c:pt>
                <c:pt idx="334">
                  <c:v>100.4</c:v>
                </c:pt>
                <c:pt idx="335">
                  <c:v>100</c:v>
                </c:pt>
                <c:pt idx="336">
                  <c:v>100.5</c:v>
                </c:pt>
                <c:pt idx="337">
                  <c:v>100.5</c:v>
                </c:pt>
                <c:pt idx="338">
                  <c:v>99.8</c:v>
                </c:pt>
                <c:pt idx="339">
                  <c:v>99.7</c:v>
                </c:pt>
                <c:pt idx="340">
                  <c:v>100</c:v>
                </c:pt>
                <c:pt idx="341">
                  <c:v>100.3</c:v>
                </c:pt>
                <c:pt idx="342">
                  <c:v>100.5</c:v>
                </c:pt>
                <c:pt idx="343">
                  <c:v>100.9</c:v>
                </c:pt>
                <c:pt idx="344">
                  <c:v>101.1</c:v>
                </c:pt>
                <c:pt idx="345">
                  <c:v>100.1</c:v>
                </c:pt>
                <c:pt idx="346">
                  <c:v>100.3</c:v>
                </c:pt>
                <c:pt idx="347">
                  <c:v>100.1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0-492A-A3A4-B3AA6DFD5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133888"/>
        <c:axId val="1840130528"/>
      </c:lineChart>
      <c:dateAx>
        <c:axId val="1840133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30528"/>
        <c:crosses val="autoZero"/>
        <c:auto val="1"/>
        <c:lblOffset val="100"/>
        <c:baseTimeUnit val="months"/>
      </c:dateAx>
      <c:valAx>
        <c:axId val="18401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3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34290</xdr:rowOff>
    </xdr:from>
    <xdr:to>
      <xdr:col>15</xdr:col>
      <xdr:colOff>228600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625C7-F5CD-E503-CCCC-4D2495E4F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274320</xdr:colOff>
      <xdr:row>16</xdr:row>
      <xdr:rowOff>83820</xdr:rowOff>
    </xdr:from>
    <xdr:to>
      <xdr:col>36</xdr:col>
      <xdr:colOff>442397</xdr:colOff>
      <xdr:row>24</xdr:row>
      <xdr:rowOff>45843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4A627F-945D-FB2C-30C7-08EF8D119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3120" y="3009900"/>
          <a:ext cx="5044877" cy="1425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995A-9F6A-42C9-8BD1-ECBA2161723F}">
  <dimension ref="A1:AN349"/>
  <sheetViews>
    <sheetView topLeftCell="R15" workbookViewId="0">
      <selection sqref="A1:B349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37" x14ac:dyDescent="0.3">
      <c r="A2" s="1">
        <v>34700</v>
      </c>
      <c r="B2">
        <v>103.8</v>
      </c>
      <c r="AF2" t="s">
        <v>5</v>
      </c>
    </row>
    <row r="3" spans="1:37" ht="15" thickBot="1" x14ac:dyDescent="0.35">
      <c r="A3" s="1">
        <v>34731</v>
      </c>
      <c r="B3">
        <v>103.4</v>
      </c>
      <c r="C3">
        <f>B3-B2</f>
        <v>-0.39999999999999147</v>
      </c>
      <c r="D3">
        <f>B2</f>
        <v>103.8</v>
      </c>
    </row>
    <row r="4" spans="1:37" x14ac:dyDescent="0.3">
      <c r="A4" s="1">
        <v>34759</v>
      </c>
      <c r="B4">
        <v>100.2</v>
      </c>
      <c r="C4">
        <f t="shared" ref="C4:C67" si="0">B4-B3</f>
        <v>-3.2000000000000028</v>
      </c>
      <c r="D4">
        <f t="shared" ref="D4:D67" si="1">B3</f>
        <v>103.4</v>
      </c>
      <c r="E4">
        <f>C3</f>
        <v>-0.39999999999999147</v>
      </c>
      <c r="AF4" s="5" t="s">
        <v>6</v>
      </c>
      <c r="AG4" s="5"/>
    </row>
    <row r="5" spans="1:37" x14ac:dyDescent="0.3">
      <c r="A5" s="1">
        <v>34790</v>
      </c>
      <c r="B5">
        <v>101</v>
      </c>
      <c r="C5">
        <f t="shared" si="0"/>
        <v>0.79999999999999716</v>
      </c>
      <c r="D5">
        <f t="shared" si="1"/>
        <v>100.2</v>
      </c>
      <c r="E5">
        <f t="shared" ref="E5:E68" si="2">C4</f>
        <v>-3.2000000000000028</v>
      </c>
      <c r="F5">
        <f>E4</f>
        <v>-0.39999999999999147</v>
      </c>
      <c r="AF5" s="2" t="s">
        <v>7</v>
      </c>
      <c r="AG5" s="2">
        <v>0.64107977515031911</v>
      </c>
    </row>
    <row r="6" spans="1:37" x14ac:dyDescent="0.3">
      <c r="A6" s="1">
        <v>34820</v>
      </c>
      <c r="B6">
        <v>101.8</v>
      </c>
      <c r="C6">
        <f t="shared" si="0"/>
        <v>0.79999999999999716</v>
      </c>
      <c r="D6">
        <f t="shared" si="1"/>
        <v>101</v>
      </c>
      <c r="E6">
        <f t="shared" si="2"/>
        <v>0.79999999999999716</v>
      </c>
      <c r="F6">
        <f t="shared" ref="F6:J69" si="3">E5</f>
        <v>-3.2000000000000028</v>
      </c>
      <c r="G6">
        <f>F5</f>
        <v>-0.39999999999999147</v>
      </c>
      <c r="AF6" s="2" t="s">
        <v>8</v>
      </c>
      <c r="AG6" s="2">
        <v>0.4109832781067837</v>
      </c>
    </row>
    <row r="7" spans="1:37" x14ac:dyDescent="0.3">
      <c r="A7" s="1">
        <v>34851</v>
      </c>
      <c r="B7">
        <v>100.8</v>
      </c>
      <c r="C7">
        <f t="shared" si="0"/>
        <v>-1</v>
      </c>
      <c r="D7">
        <f t="shared" si="1"/>
        <v>101.8</v>
      </c>
      <c r="E7">
        <f t="shared" si="2"/>
        <v>0.79999999999999716</v>
      </c>
      <c r="F7">
        <f t="shared" si="3"/>
        <v>0.79999999999999716</v>
      </c>
      <c r="G7">
        <f t="shared" si="3"/>
        <v>-3.2000000000000028</v>
      </c>
      <c r="H7">
        <f>G6</f>
        <v>-0.39999999999999147</v>
      </c>
      <c r="AF7" s="2" t="s">
        <v>9</v>
      </c>
      <c r="AG7" s="2">
        <v>0.38712901834163788</v>
      </c>
    </row>
    <row r="8" spans="1:37" x14ac:dyDescent="0.3">
      <c r="A8" s="1">
        <v>34881</v>
      </c>
      <c r="B8">
        <v>100</v>
      </c>
      <c r="C8">
        <f t="shared" si="0"/>
        <v>-0.79999999999999716</v>
      </c>
      <c r="D8">
        <f t="shared" si="1"/>
        <v>100.8</v>
      </c>
      <c r="E8">
        <f t="shared" si="2"/>
        <v>-1</v>
      </c>
      <c r="F8">
        <f t="shared" si="3"/>
        <v>0.79999999999999716</v>
      </c>
      <c r="G8">
        <f t="shared" si="3"/>
        <v>0.79999999999999716</v>
      </c>
      <c r="H8">
        <f t="shared" si="3"/>
        <v>-3.2000000000000028</v>
      </c>
      <c r="I8">
        <f>H7</f>
        <v>-0.39999999999999147</v>
      </c>
      <c r="AF8" s="2" t="s">
        <v>10</v>
      </c>
      <c r="AG8" s="2">
        <v>0.58222321761541973</v>
      </c>
    </row>
    <row r="9" spans="1:37" ht="15" thickBot="1" x14ac:dyDescent="0.35">
      <c r="A9" s="1">
        <v>34912</v>
      </c>
      <c r="B9">
        <v>100.3</v>
      </c>
      <c r="C9">
        <f t="shared" si="0"/>
        <v>0.29999999999999716</v>
      </c>
      <c r="D9">
        <f t="shared" si="1"/>
        <v>100</v>
      </c>
      <c r="E9">
        <f t="shared" si="2"/>
        <v>-0.79999999999999716</v>
      </c>
      <c r="F9">
        <f t="shared" si="3"/>
        <v>-1</v>
      </c>
      <c r="G9">
        <f t="shared" si="3"/>
        <v>0.79999999999999716</v>
      </c>
      <c r="H9">
        <f t="shared" si="3"/>
        <v>0.79999999999999716</v>
      </c>
      <c r="I9">
        <f t="shared" si="3"/>
        <v>-3.2000000000000028</v>
      </c>
      <c r="J9">
        <f>I8</f>
        <v>-0.39999999999999147</v>
      </c>
      <c r="AF9" s="3" t="s">
        <v>11</v>
      </c>
      <c r="AG9" s="3">
        <v>335</v>
      </c>
    </row>
    <row r="10" spans="1:37" x14ac:dyDescent="0.3">
      <c r="A10" s="1">
        <v>34943</v>
      </c>
      <c r="B10">
        <v>100.5</v>
      </c>
      <c r="C10">
        <f t="shared" si="0"/>
        <v>0.20000000000000284</v>
      </c>
      <c r="D10">
        <f t="shared" si="1"/>
        <v>100.3</v>
      </c>
      <c r="E10">
        <f t="shared" si="2"/>
        <v>0.29999999999999716</v>
      </c>
      <c r="F10">
        <f t="shared" si="3"/>
        <v>-0.79999999999999716</v>
      </c>
      <c r="G10">
        <f t="shared" si="3"/>
        <v>-1</v>
      </c>
      <c r="H10">
        <f t="shared" si="3"/>
        <v>0.79999999999999716</v>
      </c>
      <c r="I10">
        <f t="shared" si="3"/>
        <v>0.79999999999999716</v>
      </c>
      <c r="J10">
        <f t="shared" si="3"/>
        <v>-3.2000000000000028</v>
      </c>
      <c r="K10">
        <f>J9</f>
        <v>-0.39999999999999147</v>
      </c>
    </row>
    <row r="11" spans="1:37" ht="15" thickBot="1" x14ac:dyDescent="0.35">
      <c r="A11" s="1">
        <v>34973</v>
      </c>
      <c r="B11">
        <v>100.1</v>
      </c>
      <c r="C11">
        <f t="shared" si="0"/>
        <v>-0.40000000000000568</v>
      </c>
      <c r="D11">
        <f t="shared" si="1"/>
        <v>100.5</v>
      </c>
      <c r="E11">
        <f t="shared" si="2"/>
        <v>0.20000000000000284</v>
      </c>
      <c r="F11">
        <f t="shared" si="3"/>
        <v>0.29999999999999716</v>
      </c>
      <c r="G11">
        <f t="shared" si="3"/>
        <v>-0.79999999999999716</v>
      </c>
      <c r="H11">
        <f t="shared" si="3"/>
        <v>-1</v>
      </c>
      <c r="I11">
        <f t="shared" si="3"/>
        <v>0.79999999999999716</v>
      </c>
      <c r="J11">
        <f t="shared" si="3"/>
        <v>0.79999999999999716</v>
      </c>
      <c r="K11">
        <f t="shared" ref="K11:O74" si="4">J10</f>
        <v>-3.2000000000000028</v>
      </c>
      <c r="L11">
        <f>K10</f>
        <v>-0.39999999999999147</v>
      </c>
      <c r="AF11" t="s">
        <v>12</v>
      </c>
    </row>
    <row r="12" spans="1:37" x14ac:dyDescent="0.3">
      <c r="A12" s="1">
        <v>35004</v>
      </c>
      <c r="B12">
        <v>100.1</v>
      </c>
      <c r="C12">
        <f t="shared" si="0"/>
        <v>0</v>
      </c>
      <c r="D12">
        <f t="shared" si="1"/>
        <v>100.1</v>
      </c>
      <c r="E12">
        <f t="shared" si="2"/>
        <v>-0.40000000000000568</v>
      </c>
      <c r="F12">
        <f t="shared" si="3"/>
        <v>0.20000000000000284</v>
      </c>
      <c r="G12">
        <f t="shared" si="3"/>
        <v>0.29999999999999716</v>
      </c>
      <c r="H12">
        <f t="shared" si="3"/>
        <v>-0.79999999999999716</v>
      </c>
      <c r="I12">
        <f t="shared" si="3"/>
        <v>-1</v>
      </c>
      <c r="J12">
        <f t="shared" si="3"/>
        <v>0.79999999999999716</v>
      </c>
      <c r="K12">
        <f t="shared" si="4"/>
        <v>0.79999999999999716</v>
      </c>
      <c r="L12">
        <f t="shared" si="4"/>
        <v>-3.2000000000000028</v>
      </c>
      <c r="M12">
        <f>L11</f>
        <v>-0.39999999999999147</v>
      </c>
      <c r="AF12" s="4"/>
      <c r="AG12" s="4" t="s">
        <v>17</v>
      </c>
      <c r="AH12" s="4" t="s">
        <v>18</v>
      </c>
      <c r="AI12" s="4" t="s">
        <v>19</v>
      </c>
      <c r="AJ12" s="4" t="s">
        <v>20</v>
      </c>
      <c r="AK12" s="4" t="s">
        <v>21</v>
      </c>
    </row>
    <row r="13" spans="1:37" x14ac:dyDescent="0.3">
      <c r="A13" s="1">
        <v>35034</v>
      </c>
      <c r="B13">
        <v>100.3</v>
      </c>
      <c r="C13">
        <f t="shared" si="0"/>
        <v>0.20000000000000284</v>
      </c>
      <c r="D13">
        <f t="shared" si="1"/>
        <v>100.1</v>
      </c>
      <c r="E13">
        <f t="shared" si="2"/>
        <v>0</v>
      </c>
      <c r="F13">
        <f t="shared" si="3"/>
        <v>-0.40000000000000568</v>
      </c>
      <c r="G13">
        <f t="shared" si="3"/>
        <v>0.20000000000000284</v>
      </c>
      <c r="H13">
        <f t="shared" si="3"/>
        <v>0.29999999999999716</v>
      </c>
      <c r="I13">
        <f t="shared" si="3"/>
        <v>-0.79999999999999716</v>
      </c>
      <c r="J13">
        <f t="shared" si="3"/>
        <v>-1</v>
      </c>
      <c r="K13">
        <f t="shared" si="4"/>
        <v>0.79999999999999716</v>
      </c>
      <c r="L13">
        <f t="shared" si="4"/>
        <v>0.79999999999999716</v>
      </c>
      <c r="M13">
        <f t="shared" si="4"/>
        <v>-3.2000000000000028</v>
      </c>
      <c r="N13">
        <f>M12</f>
        <v>-0.39999999999999147</v>
      </c>
      <c r="AF13" s="2" t="s">
        <v>13</v>
      </c>
      <c r="AG13" s="2">
        <v>13</v>
      </c>
      <c r="AH13" s="2">
        <v>75.924265635363739</v>
      </c>
      <c r="AI13" s="2">
        <v>5.8403281257972104</v>
      </c>
      <c r="AJ13" s="2">
        <v>17.22892607664496</v>
      </c>
      <c r="AK13" s="2">
        <v>5.2687588358685401E-30</v>
      </c>
    </row>
    <row r="14" spans="1:37" x14ac:dyDescent="0.3">
      <c r="A14" s="1">
        <v>35065</v>
      </c>
      <c r="B14">
        <v>100.9</v>
      </c>
      <c r="C14">
        <f t="shared" si="0"/>
        <v>0.60000000000000853</v>
      </c>
      <c r="D14">
        <f t="shared" si="1"/>
        <v>100.3</v>
      </c>
      <c r="E14">
        <f t="shared" si="2"/>
        <v>0.20000000000000284</v>
      </c>
      <c r="F14">
        <f t="shared" si="3"/>
        <v>0</v>
      </c>
      <c r="G14">
        <f t="shared" si="3"/>
        <v>-0.40000000000000568</v>
      </c>
      <c r="H14">
        <f t="shared" si="3"/>
        <v>0.20000000000000284</v>
      </c>
      <c r="I14">
        <f t="shared" si="3"/>
        <v>0.29999999999999716</v>
      </c>
      <c r="J14">
        <f t="shared" si="3"/>
        <v>-0.79999999999999716</v>
      </c>
      <c r="K14">
        <f t="shared" si="4"/>
        <v>-1</v>
      </c>
      <c r="L14">
        <f t="shared" si="4"/>
        <v>0.79999999999999716</v>
      </c>
      <c r="M14">
        <f t="shared" si="4"/>
        <v>0.79999999999999716</v>
      </c>
      <c r="N14">
        <f t="shared" si="4"/>
        <v>-3.2000000000000028</v>
      </c>
      <c r="O14">
        <f>N13</f>
        <v>-0.39999999999999147</v>
      </c>
      <c r="R14" t="s">
        <v>2</v>
      </c>
      <c r="S14" t="s">
        <v>3</v>
      </c>
      <c r="T14" t="s">
        <v>4</v>
      </c>
      <c r="U14">
        <v>2</v>
      </c>
      <c r="V14">
        <v>3</v>
      </c>
      <c r="W14">
        <v>4</v>
      </c>
      <c r="X14">
        <v>5</v>
      </c>
      <c r="Y14">
        <v>6</v>
      </c>
      <c r="Z14">
        <v>7</v>
      </c>
      <c r="AA14">
        <v>8</v>
      </c>
      <c r="AB14">
        <v>9</v>
      </c>
      <c r="AC14">
        <v>10</v>
      </c>
      <c r="AD14">
        <v>11</v>
      </c>
      <c r="AE14">
        <v>12</v>
      </c>
      <c r="AF14" s="2" t="s">
        <v>14</v>
      </c>
      <c r="AG14" s="2">
        <v>321</v>
      </c>
      <c r="AH14" s="2">
        <v>108.81382391687522</v>
      </c>
      <c r="AI14" s="2">
        <v>0.33898387513045242</v>
      </c>
      <c r="AJ14" s="2"/>
      <c r="AK14" s="2"/>
    </row>
    <row r="15" spans="1:37" ht="15" thickBot="1" x14ac:dyDescent="0.35">
      <c r="A15" s="1">
        <v>35096</v>
      </c>
      <c r="B15">
        <v>102.5</v>
      </c>
      <c r="C15">
        <f t="shared" si="0"/>
        <v>1.5999999999999943</v>
      </c>
      <c r="D15">
        <f t="shared" si="1"/>
        <v>100.9</v>
      </c>
      <c r="E15">
        <f t="shared" si="2"/>
        <v>0.60000000000000853</v>
      </c>
      <c r="F15">
        <f t="shared" si="3"/>
        <v>0.20000000000000284</v>
      </c>
      <c r="G15">
        <f t="shared" si="3"/>
        <v>0</v>
      </c>
      <c r="H15">
        <f t="shared" si="3"/>
        <v>-0.40000000000000568</v>
      </c>
      <c r="I15">
        <f t="shared" si="3"/>
        <v>0.20000000000000284</v>
      </c>
      <c r="J15">
        <f t="shared" ref="J15:N78" si="5">I14</f>
        <v>0.29999999999999716</v>
      </c>
      <c r="K15">
        <f t="shared" si="4"/>
        <v>-0.79999999999999716</v>
      </c>
      <c r="L15">
        <f t="shared" si="4"/>
        <v>-1</v>
      </c>
      <c r="M15">
        <f t="shared" si="4"/>
        <v>0.79999999999999716</v>
      </c>
      <c r="N15">
        <f t="shared" si="4"/>
        <v>0.79999999999999716</v>
      </c>
      <c r="O15">
        <f t="shared" si="4"/>
        <v>-3.2000000000000028</v>
      </c>
      <c r="P15">
        <f>O14</f>
        <v>-0.39999999999999147</v>
      </c>
      <c r="R15">
        <v>1.5999999999999943</v>
      </c>
      <c r="S15">
        <v>100.9</v>
      </c>
      <c r="T15">
        <v>0.60000000000000853</v>
      </c>
      <c r="U15">
        <v>0.20000000000000284</v>
      </c>
      <c r="V15">
        <v>0</v>
      </c>
      <c r="W15">
        <v>-0.40000000000000568</v>
      </c>
      <c r="X15">
        <v>0.20000000000000284</v>
      </c>
      <c r="Y15">
        <v>0.29999999999999716</v>
      </c>
      <c r="Z15">
        <v>-0.79999999999999716</v>
      </c>
      <c r="AA15">
        <v>-1</v>
      </c>
      <c r="AB15">
        <v>0.79999999999999716</v>
      </c>
      <c r="AC15">
        <v>0.79999999999999716</v>
      </c>
      <c r="AD15">
        <v>-3.2000000000000028</v>
      </c>
      <c r="AE15">
        <v>-0.39999999999999147</v>
      </c>
      <c r="AF15" s="3" t="s">
        <v>15</v>
      </c>
      <c r="AG15" s="3">
        <v>334</v>
      </c>
      <c r="AH15" s="3">
        <v>184.73808955223896</v>
      </c>
      <c r="AI15" s="3"/>
      <c r="AJ15" s="3"/>
      <c r="AK15" s="3"/>
    </row>
    <row r="16" spans="1:37" ht="15" thickBot="1" x14ac:dyDescent="0.35">
      <c r="A16" s="1">
        <v>35125</v>
      </c>
      <c r="B16">
        <v>100.8</v>
      </c>
      <c r="C16">
        <f t="shared" si="0"/>
        <v>-1.7000000000000028</v>
      </c>
      <c r="D16">
        <f t="shared" si="1"/>
        <v>102.5</v>
      </c>
      <c r="E16">
        <f t="shared" si="2"/>
        <v>1.5999999999999943</v>
      </c>
      <c r="F16">
        <f t="shared" si="3"/>
        <v>0.60000000000000853</v>
      </c>
      <c r="G16">
        <f t="shared" si="3"/>
        <v>0.20000000000000284</v>
      </c>
      <c r="H16">
        <f t="shared" si="3"/>
        <v>0</v>
      </c>
      <c r="I16">
        <f t="shared" si="3"/>
        <v>-0.40000000000000568</v>
      </c>
      <c r="J16">
        <f t="shared" si="5"/>
        <v>0.20000000000000284</v>
      </c>
      <c r="K16">
        <f t="shared" si="4"/>
        <v>0.29999999999999716</v>
      </c>
      <c r="L16">
        <f t="shared" si="4"/>
        <v>-0.79999999999999716</v>
      </c>
      <c r="M16">
        <f t="shared" si="4"/>
        <v>-1</v>
      </c>
      <c r="N16">
        <f t="shared" si="4"/>
        <v>0.79999999999999716</v>
      </c>
      <c r="O16">
        <f t="shared" si="4"/>
        <v>0.79999999999999716</v>
      </c>
      <c r="P16">
        <f t="shared" ref="P16:P79" si="6">O15</f>
        <v>-3.2000000000000028</v>
      </c>
      <c r="R16">
        <v>-1.7000000000000028</v>
      </c>
      <c r="S16">
        <v>102.5</v>
      </c>
      <c r="T16">
        <v>1.5999999999999943</v>
      </c>
      <c r="U16">
        <v>0.60000000000000853</v>
      </c>
      <c r="V16">
        <v>0.20000000000000284</v>
      </c>
      <c r="W16">
        <v>0</v>
      </c>
      <c r="X16">
        <v>-0.40000000000000568</v>
      </c>
      <c r="Y16">
        <v>0.20000000000000284</v>
      </c>
      <c r="Z16">
        <v>0.29999999999999716</v>
      </c>
      <c r="AA16">
        <v>-0.79999999999999716</v>
      </c>
      <c r="AB16">
        <v>-1</v>
      </c>
      <c r="AC16">
        <v>0.79999999999999716</v>
      </c>
      <c r="AD16">
        <v>0.79999999999999716</v>
      </c>
      <c r="AE16">
        <v>-3.2000000000000028</v>
      </c>
    </row>
    <row r="17" spans="1:40" x14ac:dyDescent="0.3">
      <c r="A17" s="1">
        <v>35156</v>
      </c>
      <c r="B17">
        <v>100.1</v>
      </c>
      <c r="C17">
        <f t="shared" si="0"/>
        <v>-0.70000000000000284</v>
      </c>
      <c r="D17">
        <f t="shared" si="1"/>
        <v>100.8</v>
      </c>
      <c r="E17">
        <f t="shared" si="2"/>
        <v>-1.7000000000000028</v>
      </c>
      <c r="F17">
        <f t="shared" si="3"/>
        <v>1.5999999999999943</v>
      </c>
      <c r="G17">
        <f t="shared" si="3"/>
        <v>0.60000000000000853</v>
      </c>
      <c r="H17">
        <f t="shared" si="3"/>
        <v>0.20000000000000284</v>
      </c>
      <c r="I17">
        <f t="shared" si="3"/>
        <v>0</v>
      </c>
      <c r="J17">
        <f t="shared" si="5"/>
        <v>-0.40000000000000568</v>
      </c>
      <c r="K17">
        <f t="shared" si="4"/>
        <v>0.20000000000000284</v>
      </c>
      <c r="L17">
        <f t="shared" si="4"/>
        <v>0.29999999999999716</v>
      </c>
      <c r="M17">
        <f t="shared" si="4"/>
        <v>-0.79999999999999716</v>
      </c>
      <c r="N17">
        <f t="shared" si="4"/>
        <v>-1</v>
      </c>
      <c r="O17">
        <f t="shared" si="4"/>
        <v>0.79999999999999716</v>
      </c>
      <c r="P17">
        <f t="shared" si="6"/>
        <v>0.79999999999999716</v>
      </c>
      <c r="R17">
        <v>-0.70000000000000284</v>
      </c>
      <c r="S17">
        <v>100.8</v>
      </c>
      <c r="T17">
        <v>-1.7000000000000028</v>
      </c>
      <c r="U17">
        <v>1.5999999999999943</v>
      </c>
      <c r="V17">
        <v>0.60000000000000853</v>
      </c>
      <c r="W17">
        <v>0.20000000000000284</v>
      </c>
      <c r="X17">
        <v>0</v>
      </c>
      <c r="Y17">
        <v>-0.40000000000000568</v>
      </c>
      <c r="Z17">
        <v>0.20000000000000284</v>
      </c>
      <c r="AA17">
        <v>0.29999999999999716</v>
      </c>
      <c r="AB17">
        <v>-0.79999999999999716</v>
      </c>
      <c r="AC17">
        <v>-1</v>
      </c>
      <c r="AD17">
        <v>0.79999999999999716</v>
      </c>
      <c r="AE17">
        <v>0.79999999999999716</v>
      </c>
      <c r="AF17" s="4"/>
      <c r="AG17" s="4" t="s">
        <v>22</v>
      </c>
      <c r="AH17" s="4" t="s">
        <v>10</v>
      </c>
      <c r="AI17" s="4" t="s">
        <v>23</v>
      </c>
      <c r="AJ17" s="4" t="s">
        <v>24</v>
      </c>
      <c r="AK17" s="4" t="s">
        <v>25</v>
      </c>
      <c r="AL17" s="4" t="s">
        <v>26</v>
      </c>
      <c r="AM17" s="4" t="s">
        <v>27</v>
      </c>
      <c r="AN17" s="4" t="s">
        <v>28</v>
      </c>
    </row>
    <row r="18" spans="1:40" x14ac:dyDescent="0.3">
      <c r="A18" s="1">
        <v>35186</v>
      </c>
      <c r="B18">
        <v>99.5</v>
      </c>
      <c r="C18">
        <f t="shared" si="0"/>
        <v>-0.59999999999999432</v>
      </c>
      <c r="D18">
        <f t="shared" si="1"/>
        <v>100.1</v>
      </c>
      <c r="E18">
        <f t="shared" si="2"/>
        <v>-0.70000000000000284</v>
      </c>
      <c r="F18">
        <f t="shared" si="3"/>
        <v>-1.7000000000000028</v>
      </c>
      <c r="G18">
        <f t="shared" si="3"/>
        <v>1.5999999999999943</v>
      </c>
      <c r="H18">
        <f t="shared" si="3"/>
        <v>0.60000000000000853</v>
      </c>
      <c r="I18">
        <f t="shared" si="3"/>
        <v>0.20000000000000284</v>
      </c>
      <c r="J18">
        <f t="shared" si="5"/>
        <v>0</v>
      </c>
      <c r="K18">
        <f t="shared" si="4"/>
        <v>-0.40000000000000568</v>
      </c>
      <c r="L18">
        <f t="shared" si="4"/>
        <v>0.20000000000000284</v>
      </c>
      <c r="M18">
        <f t="shared" si="4"/>
        <v>0.29999999999999716</v>
      </c>
      <c r="N18">
        <f t="shared" si="4"/>
        <v>-0.79999999999999716</v>
      </c>
      <c r="O18">
        <f t="shared" si="4"/>
        <v>-1</v>
      </c>
      <c r="P18">
        <f t="shared" si="6"/>
        <v>0.79999999999999716</v>
      </c>
      <c r="R18">
        <v>-0.59999999999999432</v>
      </c>
      <c r="S18">
        <v>100.1</v>
      </c>
      <c r="T18">
        <v>-0.70000000000000284</v>
      </c>
      <c r="U18">
        <v>-1.7000000000000028</v>
      </c>
      <c r="V18">
        <v>1.5999999999999943</v>
      </c>
      <c r="W18">
        <v>0.60000000000000853</v>
      </c>
      <c r="X18">
        <v>0.20000000000000284</v>
      </c>
      <c r="Y18">
        <v>0</v>
      </c>
      <c r="Z18">
        <v>-0.40000000000000568</v>
      </c>
      <c r="AA18">
        <v>0.20000000000000284</v>
      </c>
      <c r="AB18">
        <v>0.29999999999999716</v>
      </c>
      <c r="AC18">
        <v>-0.79999999999999716</v>
      </c>
      <c r="AD18">
        <v>-1</v>
      </c>
      <c r="AE18">
        <v>0.79999999999999716</v>
      </c>
      <c r="AF18" s="2" t="s">
        <v>16</v>
      </c>
      <c r="AG18" s="2">
        <v>29.12524675048995</v>
      </c>
      <c r="AH18" s="2">
        <v>7.8074668686115398</v>
      </c>
      <c r="AI18" s="2">
        <v>3.7304348824818656</v>
      </c>
      <c r="AJ18" s="2">
        <v>2.2596742839522119E-4</v>
      </c>
      <c r="AK18" s="2">
        <v>13.764979255088379</v>
      </c>
      <c r="AL18" s="2">
        <v>44.485514245891522</v>
      </c>
      <c r="AM18" s="2">
        <v>13.764979255088379</v>
      </c>
      <c r="AN18" s="2">
        <v>44.485514245891522</v>
      </c>
    </row>
    <row r="19" spans="1:40" x14ac:dyDescent="0.3">
      <c r="A19" s="1">
        <v>35217</v>
      </c>
      <c r="B19">
        <v>99.5</v>
      </c>
      <c r="C19">
        <f t="shared" si="0"/>
        <v>0</v>
      </c>
      <c r="D19">
        <f t="shared" si="1"/>
        <v>99.5</v>
      </c>
      <c r="E19">
        <f t="shared" si="2"/>
        <v>-0.59999999999999432</v>
      </c>
      <c r="F19">
        <f t="shared" si="3"/>
        <v>-0.70000000000000284</v>
      </c>
      <c r="G19">
        <f t="shared" si="3"/>
        <v>-1.7000000000000028</v>
      </c>
      <c r="H19">
        <f t="shared" si="3"/>
        <v>1.5999999999999943</v>
      </c>
      <c r="I19">
        <f t="shared" si="3"/>
        <v>0.60000000000000853</v>
      </c>
      <c r="J19">
        <f t="shared" si="5"/>
        <v>0.20000000000000284</v>
      </c>
      <c r="K19">
        <f t="shared" si="4"/>
        <v>0</v>
      </c>
      <c r="L19">
        <f t="shared" si="4"/>
        <v>-0.40000000000000568</v>
      </c>
      <c r="M19">
        <f t="shared" si="4"/>
        <v>0.20000000000000284</v>
      </c>
      <c r="N19">
        <f t="shared" si="4"/>
        <v>0.29999999999999716</v>
      </c>
      <c r="O19">
        <f t="shared" si="4"/>
        <v>-0.79999999999999716</v>
      </c>
      <c r="P19">
        <f t="shared" si="6"/>
        <v>-1</v>
      </c>
      <c r="R19">
        <v>0</v>
      </c>
      <c r="S19">
        <v>99.5</v>
      </c>
      <c r="T19">
        <v>-0.59999999999999432</v>
      </c>
      <c r="U19">
        <v>-0.70000000000000284</v>
      </c>
      <c r="V19">
        <v>-1.7000000000000028</v>
      </c>
      <c r="W19">
        <v>1.5999999999999943</v>
      </c>
      <c r="X19">
        <v>0.60000000000000853</v>
      </c>
      <c r="Y19">
        <v>0.20000000000000284</v>
      </c>
      <c r="Z19">
        <v>0</v>
      </c>
      <c r="AA19">
        <v>-0.40000000000000568</v>
      </c>
      <c r="AB19">
        <v>0.20000000000000284</v>
      </c>
      <c r="AC19">
        <v>0.29999999999999716</v>
      </c>
      <c r="AD19">
        <v>-0.79999999999999716</v>
      </c>
      <c r="AE19">
        <v>-1</v>
      </c>
      <c r="AF19" s="2" t="s">
        <v>3</v>
      </c>
      <c r="AG19" s="2">
        <v>-0.28992661488331872</v>
      </c>
      <c r="AH19" s="2">
        <v>7.7713205408871569E-2</v>
      </c>
      <c r="AI19" s="6">
        <v>-3.7307252140473586</v>
      </c>
      <c r="AJ19" s="6">
        <v>2.2571804309619859E-4</v>
      </c>
      <c r="AK19" s="2">
        <v>-0.44281815359792864</v>
      </c>
      <c r="AL19" s="2">
        <v>-0.1370350761687088</v>
      </c>
      <c r="AM19" s="2">
        <v>-0.44281815359792864</v>
      </c>
      <c r="AN19" s="2">
        <v>-0.1370350761687088</v>
      </c>
    </row>
    <row r="20" spans="1:40" x14ac:dyDescent="0.3">
      <c r="A20" s="1">
        <v>35247</v>
      </c>
      <c r="B20">
        <v>99.3</v>
      </c>
      <c r="C20">
        <f t="shared" si="0"/>
        <v>-0.20000000000000284</v>
      </c>
      <c r="D20">
        <f t="shared" si="1"/>
        <v>99.5</v>
      </c>
      <c r="E20">
        <f t="shared" si="2"/>
        <v>0</v>
      </c>
      <c r="F20">
        <f t="shared" si="3"/>
        <v>-0.59999999999999432</v>
      </c>
      <c r="G20">
        <f t="shared" si="3"/>
        <v>-0.70000000000000284</v>
      </c>
      <c r="H20">
        <f t="shared" si="3"/>
        <v>-1.7000000000000028</v>
      </c>
      <c r="I20">
        <f t="shared" si="3"/>
        <v>1.5999999999999943</v>
      </c>
      <c r="J20">
        <f t="shared" si="5"/>
        <v>0.60000000000000853</v>
      </c>
      <c r="K20">
        <f t="shared" si="4"/>
        <v>0.20000000000000284</v>
      </c>
      <c r="L20">
        <f t="shared" si="4"/>
        <v>0</v>
      </c>
      <c r="M20">
        <f t="shared" si="4"/>
        <v>-0.40000000000000568</v>
      </c>
      <c r="N20">
        <f t="shared" si="4"/>
        <v>0.20000000000000284</v>
      </c>
      <c r="O20">
        <f t="shared" ref="O20:P83" si="7">N19</f>
        <v>0.29999999999999716</v>
      </c>
      <c r="P20">
        <f t="shared" si="6"/>
        <v>-0.79999999999999716</v>
      </c>
      <c r="R20">
        <v>-0.20000000000000284</v>
      </c>
      <c r="S20">
        <v>99.5</v>
      </c>
      <c r="T20">
        <v>0</v>
      </c>
      <c r="U20">
        <v>-0.59999999999999432</v>
      </c>
      <c r="V20">
        <v>-0.70000000000000284</v>
      </c>
      <c r="W20">
        <v>-1.7000000000000028</v>
      </c>
      <c r="X20">
        <v>1.5999999999999943</v>
      </c>
      <c r="Y20">
        <v>0.60000000000000853</v>
      </c>
      <c r="Z20">
        <v>0.20000000000000284</v>
      </c>
      <c r="AA20">
        <v>0</v>
      </c>
      <c r="AB20">
        <v>-0.40000000000000568</v>
      </c>
      <c r="AC20">
        <v>0.20000000000000284</v>
      </c>
      <c r="AD20">
        <v>0.29999999999999716</v>
      </c>
      <c r="AE20">
        <v>-0.79999999999999716</v>
      </c>
      <c r="AF20" s="2" t="s">
        <v>4</v>
      </c>
      <c r="AG20" s="2">
        <v>-0.1278130427483376</v>
      </c>
      <c r="AH20" s="2">
        <v>8.680934216344513E-2</v>
      </c>
      <c r="AI20" s="2">
        <v>-1.4723420263649789</v>
      </c>
      <c r="AJ20" s="2">
        <v>0.14190830480521582</v>
      </c>
      <c r="AK20" s="2">
        <v>-0.29860015451836686</v>
      </c>
      <c r="AL20" s="2">
        <v>4.2974069021691652E-2</v>
      </c>
      <c r="AM20" s="2">
        <v>-0.29860015451836686</v>
      </c>
      <c r="AN20" s="2">
        <v>4.2974069021691652E-2</v>
      </c>
    </row>
    <row r="21" spans="1:40" x14ac:dyDescent="0.3">
      <c r="A21" s="1">
        <v>35278</v>
      </c>
      <c r="B21">
        <v>99.6</v>
      </c>
      <c r="C21">
        <f t="shared" si="0"/>
        <v>0.29999999999999716</v>
      </c>
      <c r="D21">
        <f t="shared" si="1"/>
        <v>99.3</v>
      </c>
      <c r="E21">
        <f t="shared" si="2"/>
        <v>-0.20000000000000284</v>
      </c>
      <c r="F21">
        <f t="shared" si="3"/>
        <v>0</v>
      </c>
      <c r="G21">
        <f t="shared" si="3"/>
        <v>-0.59999999999999432</v>
      </c>
      <c r="H21">
        <f t="shared" si="3"/>
        <v>-0.70000000000000284</v>
      </c>
      <c r="I21">
        <f t="shared" si="3"/>
        <v>-1.7000000000000028</v>
      </c>
      <c r="J21">
        <f t="shared" si="5"/>
        <v>1.5999999999999943</v>
      </c>
      <c r="K21">
        <f t="shared" si="4"/>
        <v>0.60000000000000853</v>
      </c>
      <c r="L21">
        <f t="shared" si="4"/>
        <v>0.20000000000000284</v>
      </c>
      <c r="M21">
        <f t="shared" si="4"/>
        <v>0</v>
      </c>
      <c r="N21">
        <f t="shared" si="4"/>
        <v>-0.40000000000000568</v>
      </c>
      <c r="O21">
        <f t="shared" si="7"/>
        <v>0.20000000000000284</v>
      </c>
      <c r="P21">
        <f t="shared" si="6"/>
        <v>0.29999999999999716</v>
      </c>
      <c r="R21">
        <v>0.29999999999999716</v>
      </c>
      <c r="S21">
        <v>99.3</v>
      </c>
      <c r="T21">
        <v>-0.20000000000000284</v>
      </c>
      <c r="U21">
        <v>0</v>
      </c>
      <c r="V21">
        <v>-0.59999999999999432</v>
      </c>
      <c r="W21">
        <v>-0.70000000000000284</v>
      </c>
      <c r="X21">
        <v>-1.7000000000000028</v>
      </c>
      <c r="Y21">
        <v>1.5999999999999943</v>
      </c>
      <c r="Z21">
        <v>0.60000000000000853</v>
      </c>
      <c r="AA21">
        <v>0.20000000000000284</v>
      </c>
      <c r="AB21">
        <v>0</v>
      </c>
      <c r="AC21">
        <v>-0.40000000000000568</v>
      </c>
      <c r="AD21">
        <v>0.20000000000000284</v>
      </c>
      <c r="AE21">
        <v>0.29999999999999716</v>
      </c>
      <c r="AF21" s="2">
        <v>2</v>
      </c>
      <c r="AG21" s="2">
        <v>-0.13262343215493297</v>
      </c>
      <c r="AH21" s="2">
        <v>8.3292953051901292E-2</v>
      </c>
      <c r="AI21" s="2">
        <v>-1.5922527332209364</v>
      </c>
      <c r="AJ21" s="2">
        <v>0.11231215204449277</v>
      </c>
      <c r="AK21" s="2">
        <v>-0.29649246431217785</v>
      </c>
      <c r="AL21" s="2">
        <v>3.1245600002311913E-2</v>
      </c>
      <c r="AM21" s="2">
        <v>-0.29649246431217785</v>
      </c>
      <c r="AN21" s="2">
        <v>3.1245600002311913E-2</v>
      </c>
    </row>
    <row r="22" spans="1:40" x14ac:dyDescent="0.3">
      <c r="A22" s="1">
        <v>35309</v>
      </c>
      <c r="B22">
        <v>100.3</v>
      </c>
      <c r="C22">
        <f t="shared" si="0"/>
        <v>0.70000000000000284</v>
      </c>
      <c r="D22">
        <f t="shared" si="1"/>
        <v>99.6</v>
      </c>
      <c r="E22">
        <f t="shared" si="2"/>
        <v>0.29999999999999716</v>
      </c>
      <c r="F22">
        <f t="shared" si="3"/>
        <v>-0.20000000000000284</v>
      </c>
      <c r="G22">
        <f t="shared" si="3"/>
        <v>0</v>
      </c>
      <c r="H22">
        <f t="shared" si="3"/>
        <v>-0.59999999999999432</v>
      </c>
      <c r="I22">
        <f t="shared" si="3"/>
        <v>-0.70000000000000284</v>
      </c>
      <c r="J22">
        <f t="shared" si="5"/>
        <v>-1.7000000000000028</v>
      </c>
      <c r="K22">
        <f t="shared" si="4"/>
        <v>1.5999999999999943</v>
      </c>
      <c r="L22">
        <f t="shared" si="4"/>
        <v>0.60000000000000853</v>
      </c>
      <c r="M22">
        <f t="shared" si="4"/>
        <v>0.20000000000000284</v>
      </c>
      <c r="N22">
        <f t="shared" si="4"/>
        <v>0</v>
      </c>
      <c r="O22">
        <f t="shared" si="7"/>
        <v>-0.40000000000000568</v>
      </c>
      <c r="P22">
        <f t="shared" si="6"/>
        <v>0.20000000000000284</v>
      </c>
      <c r="R22">
        <v>0.70000000000000284</v>
      </c>
      <c r="S22">
        <v>99.6</v>
      </c>
      <c r="T22">
        <v>0.29999999999999716</v>
      </c>
      <c r="U22">
        <v>-0.20000000000000284</v>
      </c>
      <c r="V22">
        <v>0</v>
      </c>
      <c r="W22">
        <v>-0.59999999999999432</v>
      </c>
      <c r="X22">
        <v>-0.70000000000000284</v>
      </c>
      <c r="Y22">
        <v>-1.7000000000000028</v>
      </c>
      <c r="Z22">
        <v>1.5999999999999943</v>
      </c>
      <c r="AA22">
        <v>0.60000000000000853</v>
      </c>
      <c r="AB22">
        <v>0.20000000000000284</v>
      </c>
      <c r="AC22">
        <v>0</v>
      </c>
      <c r="AD22">
        <v>-0.40000000000000568</v>
      </c>
      <c r="AE22">
        <v>0.20000000000000284</v>
      </c>
      <c r="AF22" s="2">
        <v>3</v>
      </c>
      <c r="AG22" s="2">
        <v>-5.5447570249107722E-2</v>
      </c>
      <c r="AH22" s="2">
        <v>8.0761438921795284E-2</v>
      </c>
      <c r="AI22" s="2">
        <v>-0.6865599596708517</v>
      </c>
      <c r="AJ22" s="2">
        <v>0.49285570618939112</v>
      </c>
      <c r="AK22" s="2">
        <v>-0.21433614781574195</v>
      </c>
      <c r="AL22" s="2">
        <v>0.10344100731752649</v>
      </c>
      <c r="AM22" s="2">
        <v>-0.21433614781574195</v>
      </c>
      <c r="AN22" s="2">
        <v>0.10344100731752649</v>
      </c>
    </row>
    <row r="23" spans="1:40" x14ac:dyDescent="0.3">
      <c r="A23" s="1">
        <v>35339</v>
      </c>
      <c r="B23">
        <v>100.1</v>
      </c>
      <c r="C23">
        <f t="shared" si="0"/>
        <v>-0.20000000000000284</v>
      </c>
      <c r="D23">
        <f t="shared" si="1"/>
        <v>100.3</v>
      </c>
      <c r="E23">
        <f t="shared" si="2"/>
        <v>0.70000000000000284</v>
      </c>
      <c r="F23">
        <f t="shared" si="3"/>
        <v>0.29999999999999716</v>
      </c>
      <c r="G23">
        <f t="shared" si="3"/>
        <v>-0.20000000000000284</v>
      </c>
      <c r="H23">
        <f t="shared" si="3"/>
        <v>0</v>
      </c>
      <c r="I23">
        <f t="shared" si="3"/>
        <v>-0.59999999999999432</v>
      </c>
      <c r="J23">
        <f t="shared" si="5"/>
        <v>-0.70000000000000284</v>
      </c>
      <c r="K23">
        <f t="shared" si="4"/>
        <v>-1.7000000000000028</v>
      </c>
      <c r="L23">
        <f t="shared" si="4"/>
        <v>1.5999999999999943</v>
      </c>
      <c r="M23">
        <f t="shared" si="4"/>
        <v>0.60000000000000853</v>
      </c>
      <c r="N23">
        <f t="shared" si="4"/>
        <v>0.20000000000000284</v>
      </c>
      <c r="O23">
        <f t="shared" si="7"/>
        <v>0</v>
      </c>
      <c r="P23">
        <f t="shared" si="6"/>
        <v>-0.40000000000000568</v>
      </c>
      <c r="R23">
        <v>-0.20000000000000284</v>
      </c>
      <c r="S23">
        <v>100.3</v>
      </c>
      <c r="T23">
        <v>0.70000000000000284</v>
      </c>
      <c r="U23">
        <v>0.29999999999999716</v>
      </c>
      <c r="V23">
        <v>-0.20000000000000284</v>
      </c>
      <c r="W23">
        <v>0</v>
      </c>
      <c r="X23">
        <v>-0.59999999999999432</v>
      </c>
      <c r="Y23">
        <v>-0.70000000000000284</v>
      </c>
      <c r="Z23">
        <v>-1.7000000000000028</v>
      </c>
      <c r="AA23">
        <v>1.5999999999999943</v>
      </c>
      <c r="AB23">
        <v>0.60000000000000853</v>
      </c>
      <c r="AC23">
        <v>0.20000000000000284</v>
      </c>
      <c r="AD23">
        <v>0</v>
      </c>
      <c r="AE23">
        <v>-0.40000000000000568</v>
      </c>
      <c r="AF23" s="2">
        <v>4</v>
      </c>
      <c r="AG23" s="2">
        <v>-8.0872966152588183E-2</v>
      </c>
      <c r="AH23" s="2">
        <v>7.7809309320309022E-2</v>
      </c>
      <c r="AI23" s="2">
        <v>-1.0393739111558919</v>
      </c>
      <c r="AJ23" s="2">
        <v>0.299413115756618</v>
      </c>
      <c r="AK23" s="2">
        <v>-0.23395357794453236</v>
      </c>
      <c r="AL23" s="2">
        <v>7.2207645639356E-2</v>
      </c>
      <c r="AM23" s="2">
        <v>-0.23395357794453236</v>
      </c>
      <c r="AN23" s="2">
        <v>7.2207645639356E-2</v>
      </c>
    </row>
    <row r="24" spans="1:40" x14ac:dyDescent="0.3">
      <c r="A24" s="1">
        <v>35370</v>
      </c>
      <c r="B24">
        <v>100.9</v>
      </c>
      <c r="C24">
        <f t="shared" si="0"/>
        <v>0.80000000000001137</v>
      </c>
      <c r="D24">
        <f t="shared" si="1"/>
        <v>100.1</v>
      </c>
      <c r="E24">
        <f t="shared" si="2"/>
        <v>-0.20000000000000284</v>
      </c>
      <c r="F24">
        <f t="shared" si="3"/>
        <v>0.70000000000000284</v>
      </c>
      <c r="G24">
        <f t="shared" si="3"/>
        <v>0.29999999999999716</v>
      </c>
      <c r="H24">
        <f t="shared" si="3"/>
        <v>-0.20000000000000284</v>
      </c>
      <c r="I24">
        <f t="shared" si="3"/>
        <v>0</v>
      </c>
      <c r="J24">
        <f t="shared" si="5"/>
        <v>-0.59999999999999432</v>
      </c>
      <c r="K24">
        <f t="shared" si="4"/>
        <v>-0.70000000000000284</v>
      </c>
      <c r="L24">
        <f t="shared" si="4"/>
        <v>-1.7000000000000028</v>
      </c>
      <c r="M24">
        <f t="shared" si="4"/>
        <v>1.5999999999999943</v>
      </c>
      <c r="N24">
        <f t="shared" si="4"/>
        <v>0.60000000000000853</v>
      </c>
      <c r="O24">
        <f t="shared" si="7"/>
        <v>0.20000000000000284</v>
      </c>
      <c r="P24">
        <f t="shared" si="6"/>
        <v>0</v>
      </c>
      <c r="R24">
        <v>0.80000000000001137</v>
      </c>
      <c r="S24">
        <v>100.1</v>
      </c>
      <c r="T24">
        <v>-0.20000000000000284</v>
      </c>
      <c r="U24">
        <v>0.70000000000000284</v>
      </c>
      <c r="V24">
        <v>0.29999999999999716</v>
      </c>
      <c r="W24">
        <v>-0.20000000000000284</v>
      </c>
      <c r="X24">
        <v>0</v>
      </c>
      <c r="Y24">
        <v>-0.59999999999999432</v>
      </c>
      <c r="Z24">
        <v>-0.70000000000000284</v>
      </c>
      <c r="AA24">
        <v>-1.7000000000000028</v>
      </c>
      <c r="AB24">
        <v>1.5999999999999943</v>
      </c>
      <c r="AC24">
        <v>0.60000000000000853</v>
      </c>
      <c r="AD24">
        <v>0.20000000000000284</v>
      </c>
      <c r="AE24">
        <v>0</v>
      </c>
      <c r="AF24" s="2">
        <v>5</v>
      </c>
      <c r="AG24" s="2">
        <v>-2.6401519171962522E-2</v>
      </c>
      <c r="AH24" s="2">
        <v>7.4962152490143916E-2</v>
      </c>
      <c r="AI24" s="2">
        <v>-0.3521979865163799</v>
      </c>
      <c r="AJ24" s="2">
        <v>0.72492089859692421</v>
      </c>
      <c r="AK24" s="2">
        <v>-0.17388068669924817</v>
      </c>
      <c r="AL24" s="2">
        <v>0.12107764835532313</v>
      </c>
      <c r="AM24" s="2">
        <v>-0.17388068669924817</v>
      </c>
      <c r="AN24" s="2">
        <v>0.12107764835532313</v>
      </c>
    </row>
    <row r="25" spans="1:40" x14ac:dyDescent="0.3">
      <c r="A25" s="1">
        <v>35400</v>
      </c>
      <c r="B25">
        <v>101</v>
      </c>
      <c r="C25">
        <f t="shared" si="0"/>
        <v>9.9999999999994316E-2</v>
      </c>
      <c r="D25">
        <f t="shared" si="1"/>
        <v>100.9</v>
      </c>
      <c r="E25">
        <f t="shared" si="2"/>
        <v>0.80000000000001137</v>
      </c>
      <c r="F25">
        <f t="shared" si="3"/>
        <v>-0.20000000000000284</v>
      </c>
      <c r="G25">
        <f t="shared" si="3"/>
        <v>0.70000000000000284</v>
      </c>
      <c r="H25">
        <f t="shared" si="3"/>
        <v>0.29999999999999716</v>
      </c>
      <c r="I25">
        <f t="shared" si="3"/>
        <v>-0.20000000000000284</v>
      </c>
      <c r="J25">
        <f t="shared" si="5"/>
        <v>0</v>
      </c>
      <c r="K25">
        <f t="shared" si="4"/>
        <v>-0.59999999999999432</v>
      </c>
      <c r="L25">
        <f t="shared" si="4"/>
        <v>-0.70000000000000284</v>
      </c>
      <c r="M25">
        <f t="shared" si="4"/>
        <v>-1.7000000000000028</v>
      </c>
      <c r="N25">
        <f t="shared" si="4"/>
        <v>1.5999999999999943</v>
      </c>
      <c r="O25">
        <f t="shared" si="7"/>
        <v>0.60000000000000853</v>
      </c>
      <c r="P25">
        <f t="shared" si="6"/>
        <v>0.20000000000000284</v>
      </c>
      <c r="R25">
        <v>9.9999999999994316E-2</v>
      </c>
      <c r="S25">
        <v>100.9</v>
      </c>
      <c r="T25">
        <v>0.80000000000001137</v>
      </c>
      <c r="U25">
        <v>-0.20000000000000284</v>
      </c>
      <c r="V25">
        <v>0.70000000000000284</v>
      </c>
      <c r="W25">
        <v>0.29999999999999716</v>
      </c>
      <c r="X25">
        <v>-0.20000000000000284</v>
      </c>
      <c r="Y25">
        <v>0</v>
      </c>
      <c r="Z25">
        <v>-0.59999999999999432</v>
      </c>
      <c r="AA25">
        <v>-0.70000000000000284</v>
      </c>
      <c r="AB25">
        <v>-1.7000000000000028</v>
      </c>
      <c r="AC25">
        <v>1.5999999999999943</v>
      </c>
      <c r="AD25">
        <v>0.60000000000000853</v>
      </c>
      <c r="AE25">
        <v>0.20000000000000284</v>
      </c>
      <c r="AF25" s="2">
        <v>6</v>
      </c>
      <c r="AG25" s="2">
        <v>-9.1755185887412397E-2</v>
      </c>
      <c r="AH25" s="2">
        <v>7.1527543398060112E-2</v>
      </c>
      <c r="AI25" s="2">
        <v>-1.2827951517471083</v>
      </c>
      <c r="AJ25" s="2">
        <v>0.20048932316970808</v>
      </c>
      <c r="AK25" s="2">
        <v>-0.23247716631619836</v>
      </c>
      <c r="AL25" s="2">
        <v>4.8966794541373579E-2</v>
      </c>
      <c r="AM25" s="2">
        <v>-0.23247716631619836</v>
      </c>
      <c r="AN25" s="2">
        <v>4.8966794541373579E-2</v>
      </c>
    </row>
    <row r="26" spans="1:40" x14ac:dyDescent="0.3">
      <c r="A26" s="1">
        <v>35431</v>
      </c>
      <c r="B26">
        <v>100.8</v>
      </c>
      <c r="C26">
        <f t="shared" si="0"/>
        <v>-0.20000000000000284</v>
      </c>
      <c r="D26">
        <f t="shared" si="1"/>
        <v>101</v>
      </c>
      <c r="E26">
        <f t="shared" si="2"/>
        <v>9.9999999999994316E-2</v>
      </c>
      <c r="F26">
        <f t="shared" si="3"/>
        <v>0.80000000000001137</v>
      </c>
      <c r="G26">
        <f t="shared" si="3"/>
        <v>-0.20000000000000284</v>
      </c>
      <c r="H26">
        <f t="shared" si="3"/>
        <v>0.70000000000000284</v>
      </c>
      <c r="I26">
        <f t="shared" si="3"/>
        <v>0.29999999999999716</v>
      </c>
      <c r="J26">
        <f t="shared" si="5"/>
        <v>-0.20000000000000284</v>
      </c>
      <c r="K26">
        <f t="shared" si="4"/>
        <v>0</v>
      </c>
      <c r="L26">
        <f t="shared" si="4"/>
        <v>-0.59999999999999432</v>
      </c>
      <c r="M26">
        <f t="shared" si="4"/>
        <v>-0.70000000000000284</v>
      </c>
      <c r="N26">
        <f t="shared" si="4"/>
        <v>-1.7000000000000028</v>
      </c>
      <c r="O26">
        <f t="shared" si="7"/>
        <v>1.5999999999999943</v>
      </c>
      <c r="P26">
        <f t="shared" si="6"/>
        <v>0.60000000000000853</v>
      </c>
      <c r="R26">
        <v>-0.20000000000000284</v>
      </c>
      <c r="S26">
        <v>101</v>
      </c>
      <c r="T26">
        <v>9.9999999999994316E-2</v>
      </c>
      <c r="U26">
        <v>0.80000000000001137</v>
      </c>
      <c r="V26">
        <v>-0.20000000000000284</v>
      </c>
      <c r="W26">
        <v>0.70000000000000284</v>
      </c>
      <c r="X26">
        <v>0.29999999999999716</v>
      </c>
      <c r="Y26">
        <v>-0.20000000000000284</v>
      </c>
      <c r="Z26">
        <v>0</v>
      </c>
      <c r="AA26">
        <v>-0.59999999999999432</v>
      </c>
      <c r="AB26">
        <v>-0.70000000000000284</v>
      </c>
      <c r="AC26">
        <v>-1.7000000000000028</v>
      </c>
      <c r="AD26">
        <v>1.5999999999999943</v>
      </c>
      <c r="AE26">
        <v>0.60000000000000853</v>
      </c>
      <c r="AF26" s="2">
        <v>7</v>
      </c>
      <c r="AG26" s="2">
        <v>-0.11856421303527305</v>
      </c>
      <c r="AH26" s="2">
        <v>6.8107653610015875E-2</v>
      </c>
      <c r="AI26" s="2">
        <v>-1.7408353797382481</v>
      </c>
      <c r="AJ26" s="2">
        <v>8.2670598649616525E-2</v>
      </c>
      <c r="AK26" s="2">
        <v>-0.25255796485506671</v>
      </c>
      <c r="AL26" s="2">
        <v>1.5429538784520622E-2</v>
      </c>
      <c r="AM26" s="2">
        <v>-0.25255796485506671</v>
      </c>
      <c r="AN26" s="2">
        <v>1.5429538784520622E-2</v>
      </c>
    </row>
    <row r="27" spans="1:40" x14ac:dyDescent="0.3">
      <c r="A27" s="1">
        <v>35462</v>
      </c>
      <c r="B27">
        <v>101.8</v>
      </c>
      <c r="C27">
        <f t="shared" si="0"/>
        <v>1</v>
      </c>
      <c r="D27">
        <f t="shared" si="1"/>
        <v>100.8</v>
      </c>
      <c r="E27">
        <f t="shared" si="2"/>
        <v>-0.20000000000000284</v>
      </c>
      <c r="F27">
        <f t="shared" si="3"/>
        <v>9.9999999999994316E-2</v>
      </c>
      <c r="G27">
        <f t="shared" si="3"/>
        <v>0.80000000000001137</v>
      </c>
      <c r="H27">
        <f t="shared" si="3"/>
        <v>-0.20000000000000284</v>
      </c>
      <c r="I27">
        <f t="shared" si="3"/>
        <v>0.70000000000000284</v>
      </c>
      <c r="J27">
        <f t="shared" si="5"/>
        <v>0.29999999999999716</v>
      </c>
      <c r="K27">
        <f t="shared" si="4"/>
        <v>-0.20000000000000284</v>
      </c>
      <c r="L27">
        <f t="shared" si="4"/>
        <v>0</v>
      </c>
      <c r="M27">
        <f t="shared" si="4"/>
        <v>-0.59999999999999432</v>
      </c>
      <c r="N27">
        <f t="shared" si="4"/>
        <v>-0.70000000000000284</v>
      </c>
      <c r="O27">
        <f t="shared" si="7"/>
        <v>-1.7000000000000028</v>
      </c>
      <c r="P27">
        <f t="shared" si="6"/>
        <v>1.5999999999999943</v>
      </c>
      <c r="R27">
        <v>1</v>
      </c>
      <c r="S27">
        <v>100.8</v>
      </c>
      <c r="T27">
        <v>-0.20000000000000284</v>
      </c>
      <c r="U27">
        <v>9.9999999999994316E-2</v>
      </c>
      <c r="V27">
        <v>0.80000000000001137</v>
      </c>
      <c r="W27">
        <v>-0.20000000000000284</v>
      </c>
      <c r="X27">
        <v>0.70000000000000284</v>
      </c>
      <c r="Y27">
        <v>0.29999999999999716</v>
      </c>
      <c r="Z27">
        <v>-0.20000000000000284</v>
      </c>
      <c r="AA27">
        <v>0</v>
      </c>
      <c r="AB27">
        <v>-0.59999999999999432</v>
      </c>
      <c r="AC27">
        <v>-0.70000000000000284</v>
      </c>
      <c r="AD27">
        <v>-1.7000000000000028</v>
      </c>
      <c r="AE27">
        <v>1.5999999999999943</v>
      </c>
      <c r="AF27" s="2">
        <v>8</v>
      </c>
      <c r="AG27" s="2">
        <v>-9.7850531578836705E-2</v>
      </c>
      <c r="AH27" s="2">
        <v>6.5847353202537581E-2</v>
      </c>
      <c r="AI27" s="2">
        <v>-1.486020725508308</v>
      </c>
      <c r="AJ27" s="2">
        <v>0.1382550986776647</v>
      </c>
      <c r="AK27" s="2">
        <v>-0.22739740972460787</v>
      </c>
      <c r="AL27" s="2">
        <v>3.1696346566934444E-2</v>
      </c>
      <c r="AM27" s="2">
        <v>-0.22739740972460787</v>
      </c>
      <c r="AN27" s="2">
        <v>3.1696346566934444E-2</v>
      </c>
    </row>
    <row r="28" spans="1:40" x14ac:dyDescent="0.3">
      <c r="A28" s="1">
        <v>35490</v>
      </c>
      <c r="B28">
        <v>99.5</v>
      </c>
      <c r="C28">
        <f t="shared" si="0"/>
        <v>-2.2999999999999972</v>
      </c>
      <c r="D28">
        <f t="shared" si="1"/>
        <v>101.8</v>
      </c>
      <c r="E28">
        <f t="shared" si="2"/>
        <v>1</v>
      </c>
      <c r="F28">
        <f t="shared" si="3"/>
        <v>-0.20000000000000284</v>
      </c>
      <c r="G28">
        <f t="shared" si="3"/>
        <v>9.9999999999994316E-2</v>
      </c>
      <c r="H28">
        <f t="shared" si="3"/>
        <v>0.80000000000001137</v>
      </c>
      <c r="I28">
        <f t="shared" si="3"/>
        <v>-0.20000000000000284</v>
      </c>
      <c r="J28">
        <f t="shared" si="5"/>
        <v>0.70000000000000284</v>
      </c>
      <c r="K28">
        <f t="shared" si="4"/>
        <v>0.29999999999999716</v>
      </c>
      <c r="L28">
        <f t="shared" si="4"/>
        <v>-0.20000000000000284</v>
      </c>
      <c r="M28">
        <f t="shared" si="4"/>
        <v>0</v>
      </c>
      <c r="N28">
        <f t="shared" si="4"/>
        <v>-0.59999999999999432</v>
      </c>
      <c r="O28">
        <f t="shared" si="7"/>
        <v>-0.70000000000000284</v>
      </c>
      <c r="P28">
        <f t="shared" si="6"/>
        <v>-1.7000000000000028</v>
      </c>
      <c r="R28">
        <v>-2.2999999999999972</v>
      </c>
      <c r="S28">
        <v>101.8</v>
      </c>
      <c r="T28">
        <v>1</v>
      </c>
      <c r="U28">
        <v>-0.20000000000000284</v>
      </c>
      <c r="V28">
        <v>9.9999999999994316E-2</v>
      </c>
      <c r="W28">
        <v>0.80000000000001137</v>
      </c>
      <c r="X28">
        <v>-0.20000000000000284</v>
      </c>
      <c r="Y28">
        <v>0.70000000000000284</v>
      </c>
      <c r="Z28">
        <v>0.29999999999999716</v>
      </c>
      <c r="AA28">
        <v>-0.20000000000000284</v>
      </c>
      <c r="AB28">
        <v>0</v>
      </c>
      <c r="AC28">
        <v>-0.59999999999999432</v>
      </c>
      <c r="AD28">
        <v>-0.70000000000000284</v>
      </c>
      <c r="AE28">
        <v>-1.7000000000000028</v>
      </c>
      <c r="AF28" s="2">
        <v>9</v>
      </c>
      <c r="AG28" s="2">
        <v>-9.5754420776093765E-2</v>
      </c>
      <c r="AH28" s="2">
        <v>6.3332037224046331E-2</v>
      </c>
      <c r="AI28" s="2">
        <v>-1.5119428487251803</v>
      </c>
      <c r="AJ28" s="2">
        <v>0.13153223354673077</v>
      </c>
      <c r="AK28" s="2">
        <v>-0.22035271227842851</v>
      </c>
      <c r="AL28" s="2">
        <v>2.8843870726240978E-2</v>
      </c>
      <c r="AM28" s="2">
        <v>-0.22035271227842851</v>
      </c>
      <c r="AN28" s="2">
        <v>2.8843870726240978E-2</v>
      </c>
    </row>
    <row r="29" spans="1:40" x14ac:dyDescent="0.3">
      <c r="A29" s="1">
        <v>35521</v>
      </c>
      <c r="B29">
        <v>99.4</v>
      </c>
      <c r="C29">
        <f t="shared" si="0"/>
        <v>-9.9999999999994316E-2</v>
      </c>
      <c r="D29">
        <f t="shared" si="1"/>
        <v>99.5</v>
      </c>
      <c r="E29">
        <f t="shared" si="2"/>
        <v>-2.2999999999999972</v>
      </c>
      <c r="F29">
        <f t="shared" si="3"/>
        <v>1</v>
      </c>
      <c r="G29">
        <f t="shared" si="3"/>
        <v>-0.20000000000000284</v>
      </c>
      <c r="H29">
        <f t="shared" si="3"/>
        <v>9.9999999999994316E-2</v>
      </c>
      <c r="I29">
        <f t="shared" si="3"/>
        <v>0.80000000000001137</v>
      </c>
      <c r="J29">
        <f t="shared" si="5"/>
        <v>-0.20000000000000284</v>
      </c>
      <c r="K29">
        <f t="shared" si="4"/>
        <v>0.70000000000000284</v>
      </c>
      <c r="L29">
        <f t="shared" si="4"/>
        <v>0.29999999999999716</v>
      </c>
      <c r="M29">
        <f t="shared" si="4"/>
        <v>-0.20000000000000284</v>
      </c>
      <c r="N29">
        <f t="shared" si="4"/>
        <v>0</v>
      </c>
      <c r="O29">
        <f t="shared" si="7"/>
        <v>-0.59999999999999432</v>
      </c>
      <c r="P29">
        <f t="shared" si="6"/>
        <v>-0.70000000000000284</v>
      </c>
      <c r="R29">
        <v>-9.9999999999994316E-2</v>
      </c>
      <c r="S29">
        <v>99.5</v>
      </c>
      <c r="T29">
        <v>-2.2999999999999972</v>
      </c>
      <c r="U29">
        <v>1</v>
      </c>
      <c r="V29">
        <v>-0.20000000000000284</v>
      </c>
      <c r="W29">
        <v>9.9999999999994316E-2</v>
      </c>
      <c r="X29">
        <v>0.80000000000001137</v>
      </c>
      <c r="Y29">
        <v>-0.20000000000000284</v>
      </c>
      <c r="Z29">
        <v>0.70000000000000284</v>
      </c>
      <c r="AA29">
        <v>0.29999999999999716</v>
      </c>
      <c r="AB29">
        <v>-0.20000000000000284</v>
      </c>
      <c r="AC29">
        <v>0</v>
      </c>
      <c r="AD29">
        <v>-0.59999999999999432</v>
      </c>
      <c r="AE29">
        <v>-0.70000000000000284</v>
      </c>
      <c r="AF29" s="2">
        <v>10</v>
      </c>
      <c r="AG29" s="2">
        <v>-8.7782759411402927E-2</v>
      </c>
      <c r="AH29" s="2">
        <v>6.0815961570593359E-2</v>
      </c>
      <c r="AI29" s="2">
        <v>-1.4434164509510765</v>
      </c>
      <c r="AJ29" s="2">
        <v>0.14987836790387177</v>
      </c>
      <c r="AK29" s="2">
        <v>-0.20743096969967828</v>
      </c>
      <c r="AL29" s="2">
        <v>3.1865450876872439E-2</v>
      </c>
      <c r="AM29" s="2">
        <v>-0.20743096969967828</v>
      </c>
      <c r="AN29" s="2">
        <v>3.1865450876872439E-2</v>
      </c>
    </row>
    <row r="30" spans="1:40" x14ac:dyDescent="0.3">
      <c r="A30" s="1">
        <v>35551</v>
      </c>
      <c r="B30">
        <v>99.5</v>
      </c>
      <c r="C30">
        <f t="shared" si="0"/>
        <v>9.9999999999994316E-2</v>
      </c>
      <c r="D30">
        <f t="shared" si="1"/>
        <v>99.4</v>
      </c>
      <c r="E30">
        <f t="shared" si="2"/>
        <v>-9.9999999999994316E-2</v>
      </c>
      <c r="F30">
        <f t="shared" si="3"/>
        <v>-2.2999999999999972</v>
      </c>
      <c r="G30">
        <f t="shared" si="3"/>
        <v>1</v>
      </c>
      <c r="H30">
        <f t="shared" si="3"/>
        <v>-0.20000000000000284</v>
      </c>
      <c r="I30">
        <f t="shared" si="3"/>
        <v>9.9999999999994316E-2</v>
      </c>
      <c r="J30">
        <f t="shared" si="5"/>
        <v>0.80000000000001137</v>
      </c>
      <c r="K30">
        <f t="shared" si="4"/>
        <v>-0.20000000000000284</v>
      </c>
      <c r="L30">
        <f t="shared" si="4"/>
        <v>0.70000000000000284</v>
      </c>
      <c r="M30">
        <f t="shared" si="4"/>
        <v>0.29999999999999716</v>
      </c>
      <c r="N30">
        <f t="shared" si="4"/>
        <v>-0.20000000000000284</v>
      </c>
      <c r="O30">
        <f t="shared" si="7"/>
        <v>0</v>
      </c>
      <c r="P30">
        <f t="shared" si="6"/>
        <v>-0.59999999999999432</v>
      </c>
      <c r="R30">
        <v>9.9999999999994316E-2</v>
      </c>
      <c r="S30">
        <v>99.4</v>
      </c>
      <c r="T30">
        <v>-9.9999999999994316E-2</v>
      </c>
      <c r="U30">
        <v>-2.2999999999999972</v>
      </c>
      <c r="V30">
        <v>1</v>
      </c>
      <c r="W30">
        <v>-0.20000000000000284</v>
      </c>
      <c r="X30">
        <v>9.9999999999994316E-2</v>
      </c>
      <c r="Y30">
        <v>0.80000000000001137</v>
      </c>
      <c r="Z30">
        <v>-0.20000000000000284</v>
      </c>
      <c r="AA30">
        <v>0.70000000000000284</v>
      </c>
      <c r="AB30">
        <v>0.29999999999999716</v>
      </c>
      <c r="AC30">
        <v>-0.20000000000000284</v>
      </c>
      <c r="AD30">
        <v>0</v>
      </c>
      <c r="AE30">
        <v>-0.59999999999999432</v>
      </c>
      <c r="AF30" s="2">
        <v>11</v>
      </c>
      <c r="AG30" s="2">
        <v>-0.17269665075774593</v>
      </c>
      <c r="AH30" s="2">
        <v>5.4380607850148754E-2</v>
      </c>
      <c r="AI30" s="2">
        <v>-3.1757028393950462</v>
      </c>
      <c r="AJ30" s="2">
        <v>1.6398256805899719E-3</v>
      </c>
      <c r="AK30" s="2">
        <v>-0.27968406385827277</v>
      </c>
      <c r="AL30" s="2">
        <v>-6.5709237657219102E-2</v>
      </c>
      <c r="AM30" s="2">
        <v>-0.27968406385827277</v>
      </c>
      <c r="AN30" s="2">
        <v>-6.5709237657219102E-2</v>
      </c>
    </row>
    <row r="31" spans="1:40" ht="15" thickBot="1" x14ac:dyDescent="0.35">
      <c r="A31" s="1">
        <v>35582</v>
      </c>
      <c r="B31">
        <v>100.1</v>
      </c>
      <c r="C31">
        <f t="shared" si="0"/>
        <v>0.59999999999999432</v>
      </c>
      <c r="D31">
        <f t="shared" si="1"/>
        <v>99.5</v>
      </c>
      <c r="E31">
        <f t="shared" si="2"/>
        <v>9.9999999999994316E-2</v>
      </c>
      <c r="F31">
        <f t="shared" si="3"/>
        <v>-9.9999999999994316E-2</v>
      </c>
      <c r="G31">
        <f t="shared" si="3"/>
        <v>-2.2999999999999972</v>
      </c>
      <c r="H31">
        <f t="shared" si="3"/>
        <v>1</v>
      </c>
      <c r="I31">
        <f t="shared" si="3"/>
        <v>-0.20000000000000284</v>
      </c>
      <c r="J31">
        <f t="shared" si="5"/>
        <v>9.9999999999994316E-2</v>
      </c>
      <c r="K31">
        <f t="shared" si="4"/>
        <v>0.80000000000001137</v>
      </c>
      <c r="L31">
        <f t="shared" si="4"/>
        <v>-0.20000000000000284</v>
      </c>
      <c r="M31">
        <f t="shared" si="4"/>
        <v>0.70000000000000284</v>
      </c>
      <c r="N31">
        <f t="shared" si="4"/>
        <v>0.29999999999999716</v>
      </c>
      <c r="O31">
        <f t="shared" si="7"/>
        <v>-0.20000000000000284</v>
      </c>
      <c r="P31">
        <f t="shared" si="6"/>
        <v>0</v>
      </c>
      <c r="R31">
        <v>0.59999999999999432</v>
      </c>
      <c r="S31">
        <v>99.5</v>
      </c>
      <c r="T31">
        <v>9.9999999999994316E-2</v>
      </c>
      <c r="U31">
        <v>-9.9999999999994316E-2</v>
      </c>
      <c r="V31">
        <v>-2.2999999999999972</v>
      </c>
      <c r="W31">
        <v>1</v>
      </c>
      <c r="X31">
        <v>-0.20000000000000284</v>
      </c>
      <c r="Y31">
        <v>9.9999999999994316E-2</v>
      </c>
      <c r="Z31">
        <v>0.80000000000001137</v>
      </c>
      <c r="AA31">
        <v>-0.20000000000000284</v>
      </c>
      <c r="AB31">
        <v>0.70000000000000284</v>
      </c>
      <c r="AC31">
        <v>0.29999999999999716</v>
      </c>
      <c r="AD31">
        <v>-0.20000000000000284</v>
      </c>
      <c r="AE31">
        <v>0</v>
      </c>
      <c r="AF31" s="3">
        <v>12</v>
      </c>
      <c r="AG31" s="3">
        <v>0.31355933111165835</v>
      </c>
      <c r="AH31" s="3">
        <v>5.0583722008781765E-2</v>
      </c>
      <c r="AI31" s="3">
        <v>6.1988188820352477</v>
      </c>
      <c r="AJ31" s="3">
        <v>1.7462869470141711E-9</v>
      </c>
      <c r="AK31" s="3">
        <v>0.21404184175904639</v>
      </c>
      <c r="AL31" s="3">
        <v>0.4130768204642703</v>
      </c>
      <c r="AM31" s="3">
        <v>0.21404184175904639</v>
      </c>
      <c r="AN31" s="3">
        <v>0.4130768204642703</v>
      </c>
    </row>
    <row r="32" spans="1:40" x14ac:dyDescent="0.3">
      <c r="A32" s="1">
        <v>35612</v>
      </c>
      <c r="B32">
        <v>100.2</v>
      </c>
      <c r="C32">
        <f t="shared" si="0"/>
        <v>0.10000000000000853</v>
      </c>
      <c r="D32">
        <f t="shared" si="1"/>
        <v>100.1</v>
      </c>
      <c r="E32">
        <f t="shared" si="2"/>
        <v>0.59999999999999432</v>
      </c>
      <c r="F32">
        <f t="shared" si="3"/>
        <v>9.9999999999994316E-2</v>
      </c>
      <c r="G32">
        <f t="shared" si="3"/>
        <v>-9.9999999999994316E-2</v>
      </c>
      <c r="H32">
        <f t="shared" si="3"/>
        <v>-2.2999999999999972</v>
      </c>
      <c r="I32">
        <f t="shared" si="3"/>
        <v>1</v>
      </c>
      <c r="J32">
        <f t="shared" si="5"/>
        <v>-0.20000000000000284</v>
      </c>
      <c r="K32">
        <f t="shared" si="4"/>
        <v>9.9999999999994316E-2</v>
      </c>
      <c r="L32">
        <f t="shared" si="4"/>
        <v>0.80000000000001137</v>
      </c>
      <c r="M32">
        <f t="shared" si="4"/>
        <v>-0.20000000000000284</v>
      </c>
      <c r="N32">
        <f t="shared" si="4"/>
        <v>0.70000000000000284</v>
      </c>
      <c r="O32">
        <f t="shared" si="7"/>
        <v>0.29999999999999716</v>
      </c>
      <c r="P32">
        <f t="shared" si="6"/>
        <v>-0.20000000000000284</v>
      </c>
      <c r="R32">
        <v>0.10000000000000853</v>
      </c>
      <c r="S32">
        <v>100.1</v>
      </c>
      <c r="T32">
        <v>0.59999999999999432</v>
      </c>
      <c r="U32">
        <v>9.9999999999994316E-2</v>
      </c>
      <c r="V32">
        <v>-9.9999999999994316E-2</v>
      </c>
      <c r="W32">
        <v>-2.2999999999999972</v>
      </c>
      <c r="X32">
        <v>1</v>
      </c>
      <c r="Y32">
        <v>-0.20000000000000284</v>
      </c>
      <c r="Z32">
        <v>9.9999999999994316E-2</v>
      </c>
      <c r="AA32">
        <v>0.80000000000001137</v>
      </c>
      <c r="AB32">
        <v>-0.20000000000000284</v>
      </c>
      <c r="AC32">
        <v>0.70000000000000284</v>
      </c>
      <c r="AD32">
        <v>0.29999999999999716</v>
      </c>
      <c r="AE32">
        <v>-0.20000000000000284</v>
      </c>
    </row>
    <row r="33" spans="1:35" x14ac:dyDescent="0.3">
      <c r="A33" s="1">
        <v>35643</v>
      </c>
      <c r="B33">
        <v>100.1</v>
      </c>
      <c r="C33">
        <f t="shared" si="0"/>
        <v>-0.10000000000000853</v>
      </c>
      <c r="D33">
        <f t="shared" si="1"/>
        <v>100.2</v>
      </c>
      <c r="E33">
        <f t="shared" si="2"/>
        <v>0.10000000000000853</v>
      </c>
      <c r="F33">
        <f t="shared" si="3"/>
        <v>0.59999999999999432</v>
      </c>
      <c r="G33">
        <f t="shared" si="3"/>
        <v>9.9999999999994316E-2</v>
      </c>
      <c r="H33">
        <f t="shared" si="3"/>
        <v>-9.9999999999994316E-2</v>
      </c>
      <c r="I33">
        <f t="shared" si="3"/>
        <v>-2.2999999999999972</v>
      </c>
      <c r="J33">
        <f t="shared" si="5"/>
        <v>1</v>
      </c>
      <c r="K33">
        <f t="shared" si="4"/>
        <v>-0.20000000000000284</v>
      </c>
      <c r="L33">
        <f t="shared" si="4"/>
        <v>9.9999999999994316E-2</v>
      </c>
      <c r="M33">
        <f t="shared" si="4"/>
        <v>0.80000000000001137</v>
      </c>
      <c r="N33">
        <f t="shared" si="4"/>
        <v>-0.20000000000000284</v>
      </c>
      <c r="O33">
        <f t="shared" si="7"/>
        <v>0.70000000000000284</v>
      </c>
      <c r="P33">
        <f t="shared" si="6"/>
        <v>0.29999999999999716</v>
      </c>
      <c r="R33">
        <v>-0.10000000000000853</v>
      </c>
      <c r="S33">
        <v>100.2</v>
      </c>
      <c r="T33">
        <v>0.10000000000000853</v>
      </c>
      <c r="U33">
        <v>0.59999999999999432</v>
      </c>
      <c r="V33">
        <v>9.9999999999994316E-2</v>
      </c>
      <c r="W33">
        <v>-9.9999999999994316E-2</v>
      </c>
      <c r="X33">
        <v>-2.2999999999999972</v>
      </c>
      <c r="Y33">
        <v>1</v>
      </c>
      <c r="Z33">
        <v>-0.20000000000000284</v>
      </c>
      <c r="AA33">
        <v>9.9999999999994316E-2</v>
      </c>
      <c r="AB33">
        <v>0.80000000000001137</v>
      </c>
      <c r="AC33">
        <v>-0.20000000000000284</v>
      </c>
      <c r="AD33">
        <v>0.70000000000000284</v>
      </c>
      <c r="AE33">
        <v>0.29999999999999716</v>
      </c>
    </row>
    <row r="34" spans="1:35" x14ac:dyDescent="0.3">
      <c r="A34" s="1">
        <v>35674</v>
      </c>
      <c r="B34">
        <v>100.6</v>
      </c>
      <c r="C34">
        <f t="shared" si="0"/>
        <v>0.5</v>
      </c>
      <c r="D34">
        <f t="shared" si="1"/>
        <v>100.1</v>
      </c>
      <c r="E34">
        <f t="shared" si="2"/>
        <v>-0.10000000000000853</v>
      </c>
      <c r="F34">
        <f t="shared" si="3"/>
        <v>0.10000000000000853</v>
      </c>
      <c r="G34">
        <f t="shared" si="3"/>
        <v>0.59999999999999432</v>
      </c>
      <c r="H34">
        <f t="shared" si="3"/>
        <v>9.9999999999994316E-2</v>
      </c>
      <c r="I34">
        <f t="shared" si="3"/>
        <v>-9.9999999999994316E-2</v>
      </c>
      <c r="J34">
        <f t="shared" si="5"/>
        <v>-2.2999999999999972</v>
      </c>
      <c r="K34">
        <f t="shared" si="4"/>
        <v>1</v>
      </c>
      <c r="L34">
        <f t="shared" si="4"/>
        <v>-0.20000000000000284</v>
      </c>
      <c r="M34">
        <f t="shared" si="4"/>
        <v>9.9999999999994316E-2</v>
      </c>
      <c r="N34">
        <f t="shared" si="4"/>
        <v>0.80000000000001137</v>
      </c>
      <c r="O34">
        <f t="shared" si="7"/>
        <v>-0.20000000000000284</v>
      </c>
      <c r="P34">
        <f t="shared" si="6"/>
        <v>0.70000000000000284</v>
      </c>
      <c r="R34">
        <v>0.5</v>
      </c>
      <c r="S34">
        <v>100.1</v>
      </c>
      <c r="T34">
        <v>-0.10000000000000853</v>
      </c>
      <c r="U34">
        <v>0.10000000000000853</v>
      </c>
      <c r="V34">
        <v>0.59999999999999432</v>
      </c>
      <c r="W34">
        <v>9.9999999999994316E-2</v>
      </c>
      <c r="X34">
        <v>-9.9999999999994316E-2</v>
      </c>
      <c r="Y34">
        <v>-2.2999999999999972</v>
      </c>
      <c r="Z34">
        <v>1</v>
      </c>
      <c r="AA34">
        <v>-0.20000000000000284</v>
      </c>
      <c r="AB34">
        <v>9.9999999999994316E-2</v>
      </c>
      <c r="AC34">
        <v>0.80000000000001137</v>
      </c>
      <c r="AD34">
        <v>-0.20000000000000284</v>
      </c>
      <c r="AE34">
        <v>0.70000000000000284</v>
      </c>
      <c r="AG34" t="s">
        <v>29</v>
      </c>
      <c r="AH34" s="6">
        <v>-3.7307252140473586</v>
      </c>
      <c r="AI34" t="s">
        <v>30</v>
      </c>
    </row>
    <row r="35" spans="1:35" x14ac:dyDescent="0.3">
      <c r="A35" s="1">
        <v>35704</v>
      </c>
      <c r="B35">
        <v>100.3</v>
      </c>
      <c r="C35">
        <f t="shared" si="0"/>
        <v>-0.29999999999999716</v>
      </c>
      <c r="D35">
        <f t="shared" si="1"/>
        <v>100.6</v>
      </c>
      <c r="E35">
        <f t="shared" si="2"/>
        <v>0.5</v>
      </c>
      <c r="F35">
        <f t="shared" si="3"/>
        <v>-0.10000000000000853</v>
      </c>
      <c r="G35">
        <f t="shared" si="3"/>
        <v>0.10000000000000853</v>
      </c>
      <c r="H35">
        <f t="shared" si="3"/>
        <v>0.59999999999999432</v>
      </c>
      <c r="I35">
        <f t="shared" si="3"/>
        <v>9.9999999999994316E-2</v>
      </c>
      <c r="J35">
        <f t="shared" si="5"/>
        <v>-9.9999999999994316E-2</v>
      </c>
      <c r="K35">
        <f t="shared" si="4"/>
        <v>-2.2999999999999972</v>
      </c>
      <c r="L35">
        <f t="shared" si="4"/>
        <v>1</v>
      </c>
      <c r="M35">
        <f t="shared" si="4"/>
        <v>-0.20000000000000284</v>
      </c>
      <c r="N35">
        <f t="shared" si="4"/>
        <v>9.9999999999994316E-2</v>
      </c>
      <c r="O35">
        <f t="shared" si="7"/>
        <v>0.80000000000001137</v>
      </c>
      <c r="P35">
        <f t="shared" si="6"/>
        <v>-0.20000000000000284</v>
      </c>
      <c r="R35">
        <v>-0.29999999999999716</v>
      </c>
      <c r="S35">
        <v>100.6</v>
      </c>
      <c r="T35">
        <v>0.5</v>
      </c>
      <c r="U35">
        <v>-0.10000000000000853</v>
      </c>
      <c r="V35">
        <v>0.10000000000000853</v>
      </c>
      <c r="W35">
        <v>0.59999999999999432</v>
      </c>
      <c r="X35">
        <v>9.9999999999994316E-2</v>
      </c>
      <c r="Y35">
        <v>-9.9999999999994316E-2</v>
      </c>
      <c r="Z35">
        <v>-2.2999999999999972</v>
      </c>
      <c r="AA35">
        <v>1</v>
      </c>
      <c r="AB35">
        <v>-0.20000000000000284</v>
      </c>
      <c r="AC35">
        <v>9.9999999999994316E-2</v>
      </c>
      <c r="AD35">
        <v>0.80000000000001137</v>
      </c>
      <c r="AE35">
        <v>-0.20000000000000284</v>
      </c>
    </row>
    <row r="36" spans="1:35" x14ac:dyDescent="0.3">
      <c r="A36" s="1">
        <v>35735</v>
      </c>
      <c r="B36">
        <v>100.3</v>
      </c>
      <c r="C36">
        <f t="shared" si="0"/>
        <v>0</v>
      </c>
      <c r="D36">
        <f t="shared" si="1"/>
        <v>100.3</v>
      </c>
      <c r="E36">
        <f t="shared" si="2"/>
        <v>-0.29999999999999716</v>
      </c>
      <c r="F36">
        <f t="shared" si="3"/>
        <v>0.5</v>
      </c>
      <c r="G36">
        <f t="shared" si="3"/>
        <v>-0.10000000000000853</v>
      </c>
      <c r="H36">
        <f t="shared" si="3"/>
        <v>0.10000000000000853</v>
      </c>
      <c r="I36">
        <f t="shared" si="3"/>
        <v>0.59999999999999432</v>
      </c>
      <c r="J36">
        <f t="shared" si="5"/>
        <v>9.9999999999994316E-2</v>
      </c>
      <c r="K36">
        <f t="shared" si="4"/>
        <v>-9.9999999999994316E-2</v>
      </c>
      <c r="L36">
        <f t="shared" si="4"/>
        <v>-2.2999999999999972</v>
      </c>
      <c r="M36">
        <f t="shared" si="4"/>
        <v>1</v>
      </c>
      <c r="N36">
        <f t="shared" si="4"/>
        <v>-0.20000000000000284</v>
      </c>
      <c r="O36">
        <f t="shared" si="7"/>
        <v>9.9999999999994316E-2</v>
      </c>
      <c r="P36">
        <f t="shared" si="6"/>
        <v>0.80000000000001137</v>
      </c>
      <c r="R36">
        <v>0</v>
      </c>
      <c r="S36">
        <v>100.3</v>
      </c>
      <c r="T36">
        <v>-0.29999999999999716</v>
      </c>
      <c r="U36">
        <v>0.5</v>
      </c>
      <c r="V36">
        <v>-0.10000000000000853</v>
      </c>
      <c r="W36">
        <v>0.10000000000000853</v>
      </c>
      <c r="X36">
        <v>0.59999999999999432</v>
      </c>
      <c r="Y36">
        <v>9.9999999999994316E-2</v>
      </c>
      <c r="Z36">
        <v>-9.9999999999994316E-2</v>
      </c>
      <c r="AA36">
        <v>-2.2999999999999972</v>
      </c>
      <c r="AB36">
        <v>1</v>
      </c>
      <c r="AC36">
        <v>-0.20000000000000284</v>
      </c>
      <c r="AD36">
        <v>9.9999999999994316E-2</v>
      </c>
      <c r="AE36">
        <v>0.80000000000001137</v>
      </c>
    </row>
    <row r="37" spans="1:35" x14ac:dyDescent="0.3">
      <c r="A37" s="1">
        <v>35765</v>
      </c>
      <c r="B37">
        <v>101</v>
      </c>
      <c r="C37">
        <f t="shared" si="0"/>
        <v>0.70000000000000284</v>
      </c>
      <c r="D37">
        <f t="shared" si="1"/>
        <v>100.3</v>
      </c>
      <c r="E37">
        <f t="shared" si="2"/>
        <v>0</v>
      </c>
      <c r="F37">
        <f t="shared" si="3"/>
        <v>-0.29999999999999716</v>
      </c>
      <c r="G37">
        <f t="shared" si="3"/>
        <v>0.5</v>
      </c>
      <c r="H37">
        <f t="shared" si="3"/>
        <v>-0.10000000000000853</v>
      </c>
      <c r="I37">
        <f t="shared" si="3"/>
        <v>0.10000000000000853</v>
      </c>
      <c r="J37">
        <f t="shared" si="5"/>
        <v>0.59999999999999432</v>
      </c>
      <c r="K37">
        <f t="shared" si="4"/>
        <v>9.9999999999994316E-2</v>
      </c>
      <c r="L37">
        <f t="shared" si="4"/>
        <v>-9.9999999999994316E-2</v>
      </c>
      <c r="M37">
        <f t="shared" si="4"/>
        <v>-2.2999999999999972</v>
      </c>
      <c r="N37">
        <f t="shared" si="4"/>
        <v>1</v>
      </c>
      <c r="O37">
        <f t="shared" si="7"/>
        <v>-0.20000000000000284</v>
      </c>
      <c r="P37">
        <f t="shared" si="6"/>
        <v>9.9999999999994316E-2</v>
      </c>
      <c r="R37">
        <v>0.70000000000000284</v>
      </c>
      <c r="S37">
        <v>100.3</v>
      </c>
      <c r="T37">
        <v>0</v>
      </c>
      <c r="U37">
        <v>-0.29999999999999716</v>
      </c>
      <c r="V37">
        <v>0.5</v>
      </c>
      <c r="W37">
        <v>-0.10000000000000853</v>
      </c>
      <c r="X37">
        <v>0.10000000000000853</v>
      </c>
      <c r="Y37">
        <v>0.59999999999999432</v>
      </c>
      <c r="Z37">
        <v>9.9999999999994316E-2</v>
      </c>
      <c r="AA37">
        <v>-9.9999999999994316E-2</v>
      </c>
      <c r="AB37">
        <v>-2.2999999999999972</v>
      </c>
      <c r="AC37">
        <v>1</v>
      </c>
      <c r="AD37">
        <v>-0.20000000000000284</v>
      </c>
      <c r="AE37">
        <v>9.9999999999994316E-2</v>
      </c>
    </row>
    <row r="38" spans="1:35" x14ac:dyDescent="0.3">
      <c r="A38" s="1">
        <v>35796</v>
      </c>
      <c r="B38">
        <v>101.6</v>
      </c>
      <c r="C38">
        <f t="shared" si="0"/>
        <v>0.59999999999999432</v>
      </c>
      <c r="D38">
        <f t="shared" si="1"/>
        <v>101</v>
      </c>
      <c r="E38">
        <f t="shared" si="2"/>
        <v>0.70000000000000284</v>
      </c>
      <c r="F38">
        <f t="shared" si="3"/>
        <v>0</v>
      </c>
      <c r="G38">
        <f t="shared" si="3"/>
        <v>-0.29999999999999716</v>
      </c>
      <c r="H38">
        <f t="shared" si="3"/>
        <v>0.5</v>
      </c>
      <c r="I38">
        <f t="shared" si="3"/>
        <v>-0.10000000000000853</v>
      </c>
      <c r="J38">
        <f t="shared" si="5"/>
        <v>0.10000000000000853</v>
      </c>
      <c r="K38">
        <f t="shared" si="4"/>
        <v>0.59999999999999432</v>
      </c>
      <c r="L38">
        <f t="shared" si="4"/>
        <v>9.9999999999994316E-2</v>
      </c>
      <c r="M38">
        <f t="shared" si="4"/>
        <v>-9.9999999999994316E-2</v>
      </c>
      <c r="N38">
        <f t="shared" si="4"/>
        <v>-2.2999999999999972</v>
      </c>
      <c r="O38">
        <f t="shared" si="7"/>
        <v>1</v>
      </c>
      <c r="P38">
        <f t="shared" si="6"/>
        <v>-0.20000000000000284</v>
      </c>
      <c r="R38">
        <v>0.59999999999999432</v>
      </c>
      <c r="S38">
        <v>101</v>
      </c>
      <c r="T38">
        <v>0.70000000000000284</v>
      </c>
      <c r="U38">
        <v>0</v>
      </c>
      <c r="V38">
        <v>-0.29999999999999716</v>
      </c>
      <c r="W38">
        <v>0.5</v>
      </c>
      <c r="X38">
        <v>-0.10000000000000853</v>
      </c>
      <c r="Y38">
        <v>0.10000000000000853</v>
      </c>
      <c r="Z38">
        <v>0.59999999999999432</v>
      </c>
      <c r="AA38">
        <v>9.9999999999994316E-2</v>
      </c>
      <c r="AB38">
        <v>-9.9999999999994316E-2</v>
      </c>
      <c r="AC38">
        <v>-2.2999999999999972</v>
      </c>
      <c r="AD38">
        <v>1</v>
      </c>
      <c r="AE38">
        <v>-0.20000000000000284</v>
      </c>
    </row>
    <row r="39" spans="1:35" x14ac:dyDescent="0.3">
      <c r="A39" s="1">
        <v>35827</v>
      </c>
      <c r="B39">
        <v>102.2</v>
      </c>
      <c r="C39">
        <f t="shared" si="0"/>
        <v>0.60000000000000853</v>
      </c>
      <c r="D39">
        <f t="shared" si="1"/>
        <v>101.6</v>
      </c>
      <c r="E39">
        <f t="shared" si="2"/>
        <v>0.59999999999999432</v>
      </c>
      <c r="F39">
        <f t="shared" si="3"/>
        <v>0.70000000000000284</v>
      </c>
      <c r="G39">
        <f t="shared" si="3"/>
        <v>0</v>
      </c>
      <c r="H39">
        <f t="shared" si="3"/>
        <v>-0.29999999999999716</v>
      </c>
      <c r="I39">
        <f t="shared" si="3"/>
        <v>0.5</v>
      </c>
      <c r="J39">
        <f t="shared" si="5"/>
        <v>-0.10000000000000853</v>
      </c>
      <c r="K39">
        <f t="shared" si="4"/>
        <v>0.10000000000000853</v>
      </c>
      <c r="L39">
        <f t="shared" si="4"/>
        <v>0.59999999999999432</v>
      </c>
      <c r="M39">
        <f t="shared" si="4"/>
        <v>9.9999999999994316E-2</v>
      </c>
      <c r="N39">
        <f t="shared" si="4"/>
        <v>-9.9999999999994316E-2</v>
      </c>
      <c r="O39">
        <f t="shared" si="7"/>
        <v>-2.2999999999999972</v>
      </c>
      <c r="P39">
        <f t="shared" si="6"/>
        <v>1</v>
      </c>
      <c r="R39">
        <v>0.60000000000000853</v>
      </c>
      <c r="S39">
        <v>101.6</v>
      </c>
      <c r="T39">
        <v>0.59999999999999432</v>
      </c>
      <c r="U39">
        <v>0.70000000000000284</v>
      </c>
      <c r="V39">
        <v>0</v>
      </c>
      <c r="W39">
        <v>-0.29999999999999716</v>
      </c>
      <c r="X39">
        <v>0.5</v>
      </c>
      <c r="Y39">
        <v>-0.10000000000000853</v>
      </c>
      <c r="Z39">
        <v>0.10000000000000853</v>
      </c>
      <c r="AA39">
        <v>0.59999999999999432</v>
      </c>
      <c r="AB39">
        <v>9.9999999999994316E-2</v>
      </c>
      <c r="AC39">
        <v>-9.9999999999994316E-2</v>
      </c>
      <c r="AD39">
        <v>-2.2999999999999972</v>
      </c>
      <c r="AE39">
        <v>1</v>
      </c>
    </row>
    <row r="40" spans="1:35" x14ac:dyDescent="0.3">
      <c r="A40" s="1">
        <v>35855</v>
      </c>
      <c r="B40">
        <v>99.2</v>
      </c>
      <c r="C40">
        <f t="shared" si="0"/>
        <v>-3</v>
      </c>
      <c r="D40">
        <f t="shared" si="1"/>
        <v>102.2</v>
      </c>
      <c r="E40">
        <f t="shared" si="2"/>
        <v>0.60000000000000853</v>
      </c>
      <c r="F40">
        <f t="shared" si="3"/>
        <v>0.59999999999999432</v>
      </c>
      <c r="G40">
        <f t="shared" si="3"/>
        <v>0.70000000000000284</v>
      </c>
      <c r="H40">
        <f t="shared" si="3"/>
        <v>0</v>
      </c>
      <c r="I40">
        <f t="shared" si="3"/>
        <v>-0.29999999999999716</v>
      </c>
      <c r="J40">
        <f t="shared" si="5"/>
        <v>0.5</v>
      </c>
      <c r="K40">
        <f t="shared" si="4"/>
        <v>-0.10000000000000853</v>
      </c>
      <c r="L40">
        <f t="shared" si="4"/>
        <v>0.10000000000000853</v>
      </c>
      <c r="M40">
        <f t="shared" si="4"/>
        <v>0.59999999999999432</v>
      </c>
      <c r="N40">
        <f t="shared" si="4"/>
        <v>9.9999999999994316E-2</v>
      </c>
      <c r="O40">
        <f t="shared" si="7"/>
        <v>-9.9999999999994316E-2</v>
      </c>
      <c r="P40">
        <f t="shared" si="6"/>
        <v>-2.2999999999999972</v>
      </c>
      <c r="R40">
        <v>-3</v>
      </c>
      <c r="S40">
        <v>102.2</v>
      </c>
      <c r="T40">
        <v>0.60000000000000853</v>
      </c>
      <c r="U40">
        <v>0.59999999999999432</v>
      </c>
      <c r="V40">
        <v>0.70000000000000284</v>
      </c>
      <c r="W40">
        <v>0</v>
      </c>
      <c r="X40">
        <v>-0.29999999999999716</v>
      </c>
      <c r="Y40">
        <v>0.5</v>
      </c>
      <c r="Z40">
        <v>-0.10000000000000853</v>
      </c>
      <c r="AA40">
        <v>0.10000000000000853</v>
      </c>
      <c r="AB40">
        <v>0.59999999999999432</v>
      </c>
      <c r="AC40">
        <v>9.9999999999994316E-2</v>
      </c>
      <c r="AD40">
        <v>-9.9999999999994316E-2</v>
      </c>
      <c r="AE40">
        <v>-2.2999999999999972</v>
      </c>
    </row>
    <row r="41" spans="1:35" x14ac:dyDescent="0.3">
      <c r="A41" s="1">
        <v>35886</v>
      </c>
      <c r="B41">
        <v>101.6</v>
      </c>
      <c r="C41">
        <f t="shared" si="0"/>
        <v>2.3999999999999915</v>
      </c>
      <c r="D41">
        <f t="shared" si="1"/>
        <v>99.2</v>
      </c>
      <c r="E41">
        <f t="shared" si="2"/>
        <v>-3</v>
      </c>
      <c r="F41">
        <f t="shared" si="3"/>
        <v>0.60000000000000853</v>
      </c>
      <c r="G41">
        <f t="shared" si="3"/>
        <v>0.59999999999999432</v>
      </c>
      <c r="H41">
        <f t="shared" si="3"/>
        <v>0.70000000000000284</v>
      </c>
      <c r="I41">
        <f t="shared" si="3"/>
        <v>0</v>
      </c>
      <c r="J41">
        <f t="shared" si="5"/>
        <v>-0.29999999999999716</v>
      </c>
      <c r="K41">
        <f t="shared" si="4"/>
        <v>0.5</v>
      </c>
      <c r="L41">
        <f t="shared" si="4"/>
        <v>-0.10000000000000853</v>
      </c>
      <c r="M41">
        <f t="shared" si="4"/>
        <v>0.10000000000000853</v>
      </c>
      <c r="N41">
        <f t="shared" si="4"/>
        <v>0.59999999999999432</v>
      </c>
      <c r="O41">
        <f t="shared" si="7"/>
        <v>9.9999999999994316E-2</v>
      </c>
      <c r="P41">
        <f t="shared" si="6"/>
        <v>-9.9999999999994316E-2</v>
      </c>
      <c r="R41">
        <v>2.3999999999999915</v>
      </c>
      <c r="S41">
        <v>99.2</v>
      </c>
      <c r="T41">
        <v>-3</v>
      </c>
      <c r="U41">
        <v>0.60000000000000853</v>
      </c>
      <c r="V41">
        <v>0.59999999999999432</v>
      </c>
      <c r="W41">
        <v>0.70000000000000284</v>
      </c>
      <c r="X41">
        <v>0</v>
      </c>
      <c r="Y41">
        <v>-0.29999999999999716</v>
      </c>
      <c r="Z41">
        <v>0.5</v>
      </c>
      <c r="AA41">
        <v>-0.10000000000000853</v>
      </c>
      <c r="AB41">
        <v>0.10000000000000853</v>
      </c>
      <c r="AC41">
        <v>0.59999999999999432</v>
      </c>
      <c r="AD41">
        <v>9.9999999999994316E-2</v>
      </c>
      <c r="AE41">
        <v>-9.9999999999994316E-2</v>
      </c>
    </row>
    <row r="42" spans="1:35" x14ac:dyDescent="0.3">
      <c r="A42" s="1">
        <v>35916</v>
      </c>
      <c r="B42">
        <v>101.4</v>
      </c>
      <c r="C42">
        <f t="shared" si="0"/>
        <v>-0.19999999999998863</v>
      </c>
      <c r="D42">
        <f t="shared" si="1"/>
        <v>101.6</v>
      </c>
      <c r="E42">
        <f t="shared" si="2"/>
        <v>2.3999999999999915</v>
      </c>
      <c r="F42">
        <f t="shared" si="3"/>
        <v>-3</v>
      </c>
      <c r="G42">
        <f t="shared" si="3"/>
        <v>0.60000000000000853</v>
      </c>
      <c r="H42">
        <f t="shared" si="3"/>
        <v>0.59999999999999432</v>
      </c>
      <c r="I42">
        <f t="shared" si="3"/>
        <v>0.70000000000000284</v>
      </c>
      <c r="J42">
        <f t="shared" si="5"/>
        <v>0</v>
      </c>
      <c r="K42">
        <f t="shared" si="4"/>
        <v>-0.29999999999999716</v>
      </c>
      <c r="L42">
        <f t="shared" si="4"/>
        <v>0.5</v>
      </c>
      <c r="M42">
        <f t="shared" si="4"/>
        <v>-0.10000000000000853</v>
      </c>
      <c r="N42">
        <f t="shared" si="4"/>
        <v>0.10000000000000853</v>
      </c>
      <c r="O42">
        <f t="shared" si="7"/>
        <v>0.59999999999999432</v>
      </c>
      <c r="P42">
        <f t="shared" si="6"/>
        <v>9.9999999999994316E-2</v>
      </c>
      <c r="R42">
        <v>-0.19999999999998863</v>
      </c>
      <c r="S42">
        <v>101.6</v>
      </c>
      <c r="T42">
        <v>2.3999999999999915</v>
      </c>
      <c r="U42">
        <v>-3</v>
      </c>
      <c r="V42">
        <v>0.60000000000000853</v>
      </c>
      <c r="W42">
        <v>0.59999999999999432</v>
      </c>
      <c r="X42">
        <v>0.70000000000000284</v>
      </c>
      <c r="Y42">
        <v>0</v>
      </c>
      <c r="Z42">
        <v>-0.29999999999999716</v>
      </c>
      <c r="AA42">
        <v>0.5</v>
      </c>
      <c r="AB42">
        <v>-0.10000000000000853</v>
      </c>
      <c r="AC42">
        <v>0.10000000000000853</v>
      </c>
      <c r="AD42">
        <v>0.59999999999999432</v>
      </c>
      <c r="AE42">
        <v>9.9999999999994316E-2</v>
      </c>
    </row>
    <row r="43" spans="1:35" x14ac:dyDescent="0.3">
      <c r="A43" s="1">
        <v>35947</v>
      </c>
      <c r="B43">
        <v>100</v>
      </c>
      <c r="C43">
        <f t="shared" si="0"/>
        <v>-1.4000000000000057</v>
      </c>
      <c r="D43">
        <f t="shared" si="1"/>
        <v>101.4</v>
      </c>
      <c r="E43">
        <f t="shared" si="2"/>
        <v>-0.19999999999998863</v>
      </c>
      <c r="F43">
        <f t="shared" si="3"/>
        <v>2.3999999999999915</v>
      </c>
      <c r="G43">
        <f t="shared" si="3"/>
        <v>-3</v>
      </c>
      <c r="H43">
        <f t="shared" si="3"/>
        <v>0.60000000000000853</v>
      </c>
      <c r="I43">
        <f t="shared" si="3"/>
        <v>0.59999999999999432</v>
      </c>
      <c r="J43">
        <f t="shared" si="5"/>
        <v>0.70000000000000284</v>
      </c>
      <c r="K43">
        <f t="shared" si="4"/>
        <v>0</v>
      </c>
      <c r="L43">
        <f t="shared" si="4"/>
        <v>-0.29999999999999716</v>
      </c>
      <c r="M43">
        <f t="shared" si="4"/>
        <v>0.5</v>
      </c>
      <c r="N43">
        <f t="shared" si="4"/>
        <v>-0.10000000000000853</v>
      </c>
      <c r="O43">
        <f t="shared" si="7"/>
        <v>0.10000000000000853</v>
      </c>
      <c r="P43">
        <f t="shared" si="6"/>
        <v>0.59999999999999432</v>
      </c>
      <c r="R43">
        <v>-1.4000000000000057</v>
      </c>
      <c r="S43">
        <v>101.4</v>
      </c>
      <c r="T43">
        <v>-0.19999999999998863</v>
      </c>
      <c r="U43">
        <v>2.3999999999999915</v>
      </c>
      <c r="V43">
        <v>-3</v>
      </c>
      <c r="W43">
        <v>0.60000000000000853</v>
      </c>
      <c r="X43">
        <v>0.59999999999999432</v>
      </c>
      <c r="Y43">
        <v>0.70000000000000284</v>
      </c>
      <c r="Z43">
        <v>0</v>
      </c>
      <c r="AA43">
        <v>-0.29999999999999716</v>
      </c>
      <c r="AB43">
        <v>0.5</v>
      </c>
      <c r="AC43">
        <v>-0.10000000000000853</v>
      </c>
      <c r="AD43">
        <v>0.10000000000000853</v>
      </c>
      <c r="AE43">
        <v>0.59999999999999432</v>
      </c>
    </row>
    <row r="44" spans="1:35" x14ac:dyDescent="0.3">
      <c r="A44" s="1">
        <v>35977</v>
      </c>
      <c r="B44">
        <v>99.5</v>
      </c>
      <c r="C44">
        <f t="shared" si="0"/>
        <v>-0.5</v>
      </c>
      <c r="D44">
        <f t="shared" si="1"/>
        <v>100</v>
      </c>
      <c r="E44">
        <f t="shared" si="2"/>
        <v>-1.4000000000000057</v>
      </c>
      <c r="F44">
        <f t="shared" si="3"/>
        <v>-0.19999999999998863</v>
      </c>
      <c r="G44">
        <f t="shared" si="3"/>
        <v>2.3999999999999915</v>
      </c>
      <c r="H44">
        <f t="shared" si="3"/>
        <v>-3</v>
      </c>
      <c r="I44">
        <f t="shared" si="3"/>
        <v>0.60000000000000853</v>
      </c>
      <c r="J44">
        <f t="shared" si="5"/>
        <v>0.59999999999999432</v>
      </c>
      <c r="K44">
        <f t="shared" si="4"/>
        <v>0.70000000000000284</v>
      </c>
      <c r="L44">
        <f t="shared" si="4"/>
        <v>0</v>
      </c>
      <c r="M44">
        <f t="shared" si="4"/>
        <v>-0.29999999999999716</v>
      </c>
      <c r="N44">
        <f t="shared" si="4"/>
        <v>0.5</v>
      </c>
      <c r="O44">
        <f t="shared" si="7"/>
        <v>-0.10000000000000853</v>
      </c>
      <c r="P44">
        <f t="shared" si="6"/>
        <v>0.10000000000000853</v>
      </c>
      <c r="R44">
        <v>-0.5</v>
      </c>
      <c r="S44">
        <v>100</v>
      </c>
      <c r="T44">
        <v>-1.4000000000000057</v>
      </c>
      <c r="U44">
        <v>-0.19999999999998863</v>
      </c>
      <c r="V44">
        <v>2.3999999999999915</v>
      </c>
      <c r="W44">
        <v>-3</v>
      </c>
      <c r="X44">
        <v>0.60000000000000853</v>
      </c>
      <c r="Y44">
        <v>0.59999999999999432</v>
      </c>
      <c r="Z44">
        <v>0.70000000000000284</v>
      </c>
      <c r="AA44">
        <v>0</v>
      </c>
      <c r="AB44">
        <v>-0.29999999999999716</v>
      </c>
      <c r="AC44">
        <v>0.5</v>
      </c>
      <c r="AD44">
        <v>-0.10000000000000853</v>
      </c>
      <c r="AE44">
        <v>0.10000000000000853</v>
      </c>
    </row>
    <row r="45" spans="1:35" x14ac:dyDescent="0.3">
      <c r="A45" s="1">
        <v>36008</v>
      </c>
      <c r="B45">
        <v>101.1</v>
      </c>
      <c r="C45">
        <f t="shared" si="0"/>
        <v>1.5999999999999943</v>
      </c>
      <c r="D45">
        <f t="shared" si="1"/>
        <v>99.5</v>
      </c>
      <c r="E45">
        <f t="shared" si="2"/>
        <v>-0.5</v>
      </c>
      <c r="F45">
        <f t="shared" si="3"/>
        <v>-1.4000000000000057</v>
      </c>
      <c r="G45">
        <f t="shared" si="3"/>
        <v>-0.19999999999998863</v>
      </c>
      <c r="H45">
        <f t="shared" si="3"/>
        <v>2.3999999999999915</v>
      </c>
      <c r="I45">
        <f t="shared" si="3"/>
        <v>-3</v>
      </c>
      <c r="J45">
        <f t="shared" si="5"/>
        <v>0.60000000000000853</v>
      </c>
      <c r="K45">
        <f t="shared" si="4"/>
        <v>0.59999999999999432</v>
      </c>
      <c r="L45">
        <f t="shared" si="4"/>
        <v>0.70000000000000284</v>
      </c>
      <c r="M45">
        <f t="shared" si="4"/>
        <v>0</v>
      </c>
      <c r="N45">
        <f t="shared" si="4"/>
        <v>-0.29999999999999716</v>
      </c>
      <c r="O45">
        <f t="shared" si="7"/>
        <v>0.5</v>
      </c>
      <c r="P45">
        <f t="shared" si="6"/>
        <v>-0.10000000000000853</v>
      </c>
      <c r="R45">
        <v>1.5999999999999943</v>
      </c>
      <c r="S45">
        <v>99.5</v>
      </c>
      <c r="T45">
        <v>-0.5</v>
      </c>
      <c r="U45">
        <v>-1.4000000000000057</v>
      </c>
      <c r="V45">
        <v>-0.19999999999998863</v>
      </c>
      <c r="W45">
        <v>2.3999999999999915</v>
      </c>
      <c r="X45">
        <v>-3</v>
      </c>
      <c r="Y45">
        <v>0.60000000000000853</v>
      </c>
      <c r="Z45">
        <v>0.59999999999999432</v>
      </c>
      <c r="AA45">
        <v>0.70000000000000284</v>
      </c>
      <c r="AB45">
        <v>0</v>
      </c>
      <c r="AC45">
        <v>-0.29999999999999716</v>
      </c>
      <c r="AD45">
        <v>0.5</v>
      </c>
      <c r="AE45">
        <v>-0.10000000000000853</v>
      </c>
    </row>
    <row r="46" spans="1:35" x14ac:dyDescent="0.3">
      <c r="A46" s="1">
        <v>36039</v>
      </c>
      <c r="B46">
        <v>101</v>
      </c>
      <c r="C46">
        <f t="shared" si="0"/>
        <v>-9.9999999999994316E-2</v>
      </c>
      <c r="D46">
        <f t="shared" si="1"/>
        <v>101.1</v>
      </c>
      <c r="E46">
        <f t="shared" si="2"/>
        <v>1.5999999999999943</v>
      </c>
      <c r="F46">
        <f t="shared" si="3"/>
        <v>-0.5</v>
      </c>
      <c r="G46">
        <f t="shared" si="3"/>
        <v>-1.4000000000000057</v>
      </c>
      <c r="H46">
        <f t="shared" si="3"/>
        <v>-0.19999999999998863</v>
      </c>
      <c r="I46">
        <f t="shared" si="3"/>
        <v>2.3999999999999915</v>
      </c>
      <c r="J46">
        <f t="shared" si="5"/>
        <v>-3</v>
      </c>
      <c r="K46">
        <f t="shared" si="4"/>
        <v>0.60000000000000853</v>
      </c>
      <c r="L46">
        <f t="shared" si="4"/>
        <v>0.59999999999999432</v>
      </c>
      <c r="M46">
        <f t="shared" si="4"/>
        <v>0.70000000000000284</v>
      </c>
      <c r="N46">
        <f t="shared" si="4"/>
        <v>0</v>
      </c>
      <c r="O46">
        <f t="shared" si="7"/>
        <v>-0.29999999999999716</v>
      </c>
      <c r="P46">
        <f t="shared" si="6"/>
        <v>0.5</v>
      </c>
      <c r="R46">
        <v>-9.9999999999994316E-2</v>
      </c>
      <c r="S46">
        <v>101.1</v>
      </c>
      <c r="T46">
        <v>1.5999999999999943</v>
      </c>
      <c r="U46">
        <v>-0.5</v>
      </c>
      <c r="V46">
        <v>-1.4000000000000057</v>
      </c>
      <c r="W46">
        <v>-0.19999999999998863</v>
      </c>
      <c r="X46">
        <v>2.3999999999999915</v>
      </c>
      <c r="Y46">
        <v>-3</v>
      </c>
      <c r="Z46">
        <v>0.60000000000000853</v>
      </c>
      <c r="AA46">
        <v>0.59999999999999432</v>
      </c>
      <c r="AB46">
        <v>0.70000000000000284</v>
      </c>
      <c r="AC46">
        <v>0</v>
      </c>
      <c r="AD46">
        <v>-0.29999999999999716</v>
      </c>
      <c r="AE46">
        <v>0.5</v>
      </c>
    </row>
    <row r="47" spans="1:35" x14ac:dyDescent="0.3">
      <c r="A47" s="1">
        <v>36069</v>
      </c>
      <c r="B47">
        <v>100.3</v>
      </c>
      <c r="C47">
        <f t="shared" si="0"/>
        <v>-0.70000000000000284</v>
      </c>
      <c r="D47">
        <f t="shared" si="1"/>
        <v>101</v>
      </c>
      <c r="E47">
        <f t="shared" si="2"/>
        <v>-9.9999999999994316E-2</v>
      </c>
      <c r="F47">
        <f t="shared" si="3"/>
        <v>1.5999999999999943</v>
      </c>
      <c r="G47">
        <f t="shared" si="3"/>
        <v>-0.5</v>
      </c>
      <c r="H47">
        <f t="shared" si="3"/>
        <v>-1.4000000000000057</v>
      </c>
      <c r="I47">
        <f t="shared" si="3"/>
        <v>-0.19999999999998863</v>
      </c>
      <c r="J47">
        <f t="shared" si="5"/>
        <v>2.3999999999999915</v>
      </c>
      <c r="K47">
        <f t="shared" si="4"/>
        <v>-3</v>
      </c>
      <c r="L47">
        <f t="shared" si="4"/>
        <v>0.60000000000000853</v>
      </c>
      <c r="M47">
        <f t="shared" si="4"/>
        <v>0.59999999999999432</v>
      </c>
      <c r="N47">
        <f t="shared" si="4"/>
        <v>0.70000000000000284</v>
      </c>
      <c r="O47">
        <f t="shared" si="7"/>
        <v>0</v>
      </c>
      <c r="P47">
        <f t="shared" si="6"/>
        <v>-0.29999999999999716</v>
      </c>
      <c r="R47">
        <v>-0.70000000000000284</v>
      </c>
      <c r="S47">
        <v>101</v>
      </c>
      <c r="T47">
        <v>-9.9999999999994316E-2</v>
      </c>
      <c r="U47">
        <v>1.5999999999999943</v>
      </c>
      <c r="V47">
        <v>-0.5</v>
      </c>
      <c r="W47">
        <v>-1.4000000000000057</v>
      </c>
      <c r="X47">
        <v>-0.19999999999998863</v>
      </c>
      <c r="Y47">
        <v>2.3999999999999915</v>
      </c>
      <c r="Z47">
        <v>-3</v>
      </c>
      <c r="AA47">
        <v>0.60000000000000853</v>
      </c>
      <c r="AB47">
        <v>0.59999999999999432</v>
      </c>
      <c r="AC47">
        <v>0.70000000000000284</v>
      </c>
      <c r="AD47">
        <v>0</v>
      </c>
      <c r="AE47">
        <v>-0.29999999999999716</v>
      </c>
    </row>
    <row r="48" spans="1:35" x14ac:dyDescent="0.3">
      <c r="A48" s="1">
        <v>36100</v>
      </c>
      <c r="B48">
        <v>100.1</v>
      </c>
      <c r="C48">
        <f t="shared" si="0"/>
        <v>-0.20000000000000284</v>
      </c>
      <c r="D48">
        <f t="shared" si="1"/>
        <v>100.3</v>
      </c>
      <c r="E48">
        <f t="shared" si="2"/>
        <v>-0.70000000000000284</v>
      </c>
      <c r="F48">
        <f t="shared" si="3"/>
        <v>-9.9999999999994316E-2</v>
      </c>
      <c r="G48">
        <f t="shared" si="3"/>
        <v>1.5999999999999943</v>
      </c>
      <c r="H48">
        <f t="shared" si="3"/>
        <v>-0.5</v>
      </c>
      <c r="I48">
        <f t="shared" si="3"/>
        <v>-1.4000000000000057</v>
      </c>
      <c r="J48">
        <f t="shared" si="5"/>
        <v>-0.19999999999998863</v>
      </c>
      <c r="K48">
        <f t="shared" si="4"/>
        <v>2.3999999999999915</v>
      </c>
      <c r="L48">
        <f t="shared" si="4"/>
        <v>-3</v>
      </c>
      <c r="M48">
        <f t="shared" si="4"/>
        <v>0.60000000000000853</v>
      </c>
      <c r="N48">
        <f t="shared" si="4"/>
        <v>0.59999999999999432</v>
      </c>
      <c r="O48">
        <f t="shared" si="7"/>
        <v>0.70000000000000284</v>
      </c>
      <c r="P48">
        <f t="shared" si="6"/>
        <v>0</v>
      </c>
      <c r="R48">
        <v>-0.20000000000000284</v>
      </c>
      <c r="S48">
        <v>100.3</v>
      </c>
      <c r="T48">
        <v>-0.70000000000000284</v>
      </c>
      <c r="U48">
        <v>-9.9999999999994316E-2</v>
      </c>
      <c r="V48">
        <v>1.5999999999999943</v>
      </c>
      <c r="W48">
        <v>-0.5</v>
      </c>
      <c r="X48">
        <v>-1.4000000000000057</v>
      </c>
      <c r="Y48">
        <v>-0.19999999999998863</v>
      </c>
      <c r="Z48">
        <v>2.3999999999999915</v>
      </c>
      <c r="AA48">
        <v>-3</v>
      </c>
      <c r="AB48">
        <v>0.60000000000000853</v>
      </c>
      <c r="AC48">
        <v>0.59999999999999432</v>
      </c>
      <c r="AD48">
        <v>0.70000000000000284</v>
      </c>
      <c r="AE48">
        <v>0</v>
      </c>
    </row>
    <row r="49" spans="1:31" x14ac:dyDescent="0.3">
      <c r="A49" s="1">
        <v>36130</v>
      </c>
      <c r="B49">
        <v>100.8</v>
      </c>
      <c r="C49">
        <f t="shared" si="0"/>
        <v>0.70000000000000284</v>
      </c>
      <c r="D49">
        <f t="shared" si="1"/>
        <v>100.1</v>
      </c>
      <c r="E49">
        <f t="shared" si="2"/>
        <v>-0.20000000000000284</v>
      </c>
      <c r="F49">
        <f t="shared" si="3"/>
        <v>-0.70000000000000284</v>
      </c>
      <c r="G49">
        <f t="shared" si="3"/>
        <v>-9.9999999999994316E-2</v>
      </c>
      <c r="H49">
        <f t="shared" si="3"/>
        <v>1.5999999999999943</v>
      </c>
      <c r="I49">
        <f t="shared" si="3"/>
        <v>-0.5</v>
      </c>
      <c r="J49">
        <f t="shared" si="5"/>
        <v>-1.4000000000000057</v>
      </c>
      <c r="K49">
        <f t="shared" si="4"/>
        <v>-0.19999999999998863</v>
      </c>
      <c r="L49">
        <f t="shared" si="4"/>
        <v>2.3999999999999915</v>
      </c>
      <c r="M49">
        <f t="shared" si="4"/>
        <v>-3</v>
      </c>
      <c r="N49">
        <f t="shared" si="4"/>
        <v>0.60000000000000853</v>
      </c>
      <c r="O49">
        <f t="shared" si="7"/>
        <v>0.59999999999999432</v>
      </c>
      <c r="P49">
        <f t="shared" si="6"/>
        <v>0.70000000000000284</v>
      </c>
      <c r="R49">
        <v>0.70000000000000284</v>
      </c>
      <c r="S49">
        <v>100.1</v>
      </c>
      <c r="T49">
        <v>-0.20000000000000284</v>
      </c>
      <c r="U49">
        <v>-0.70000000000000284</v>
      </c>
      <c r="V49">
        <v>-9.9999999999994316E-2</v>
      </c>
      <c r="W49">
        <v>1.5999999999999943</v>
      </c>
      <c r="X49">
        <v>-0.5</v>
      </c>
      <c r="Y49">
        <v>-1.4000000000000057</v>
      </c>
      <c r="Z49">
        <v>-0.19999999999998863</v>
      </c>
      <c r="AA49">
        <v>2.3999999999999915</v>
      </c>
      <c r="AB49">
        <v>-3</v>
      </c>
      <c r="AC49">
        <v>0.60000000000000853</v>
      </c>
      <c r="AD49">
        <v>0.59999999999999432</v>
      </c>
      <c r="AE49">
        <v>0.70000000000000284</v>
      </c>
    </row>
    <row r="50" spans="1:31" x14ac:dyDescent="0.3">
      <c r="A50" s="1">
        <v>36161</v>
      </c>
      <c r="B50">
        <v>101.7</v>
      </c>
      <c r="C50">
        <f t="shared" si="0"/>
        <v>0.90000000000000568</v>
      </c>
      <c r="D50">
        <f t="shared" si="1"/>
        <v>100.8</v>
      </c>
      <c r="E50">
        <f t="shared" si="2"/>
        <v>0.70000000000000284</v>
      </c>
      <c r="F50">
        <f t="shared" si="3"/>
        <v>-0.20000000000000284</v>
      </c>
      <c r="G50">
        <f t="shared" si="3"/>
        <v>-0.70000000000000284</v>
      </c>
      <c r="H50">
        <f t="shared" si="3"/>
        <v>-9.9999999999994316E-2</v>
      </c>
      <c r="I50">
        <f t="shared" si="3"/>
        <v>1.5999999999999943</v>
      </c>
      <c r="J50">
        <f t="shared" si="5"/>
        <v>-0.5</v>
      </c>
      <c r="K50">
        <f t="shared" si="4"/>
        <v>-1.4000000000000057</v>
      </c>
      <c r="L50">
        <f t="shared" si="4"/>
        <v>-0.19999999999998863</v>
      </c>
      <c r="M50">
        <f t="shared" si="4"/>
        <v>2.3999999999999915</v>
      </c>
      <c r="N50">
        <f t="shared" si="4"/>
        <v>-3</v>
      </c>
      <c r="O50">
        <f t="shared" si="7"/>
        <v>0.60000000000000853</v>
      </c>
      <c r="P50">
        <f t="shared" si="6"/>
        <v>0.59999999999999432</v>
      </c>
      <c r="R50">
        <v>0.90000000000000568</v>
      </c>
      <c r="S50">
        <v>100.8</v>
      </c>
      <c r="T50">
        <v>0.70000000000000284</v>
      </c>
      <c r="U50">
        <v>-0.20000000000000284</v>
      </c>
      <c r="V50">
        <v>-0.70000000000000284</v>
      </c>
      <c r="W50">
        <v>-9.9999999999994316E-2</v>
      </c>
      <c r="X50">
        <v>1.5999999999999943</v>
      </c>
      <c r="Y50">
        <v>-0.5</v>
      </c>
      <c r="Z50">
        <v>-1.4000000000000057</v>
      </c>
      <c r="AA50">
        <v>-0.19999999999998863</v>
      </c>
      <c r="AB50">
        <v>2.3999999999999915</v>
      </c>
      <c r="AC50">
        <v>-3</v>
      </c>
      <c r="AD50">
        <v>0.60000000000000853</v>
      </c>
      <c r="AE50">
        <v>0.59999999999999432</v>
      </c>
    </row>
    <row r="51" spans="1:31" x14ac:dyDescent="0.3">
      <c r="A51" s="1">
        <v>36192</v>
      </c>
      <c r="B51">
        <v>101.9</v>
      </c>
      <c r="C51">
        <f t="shared" si="0"/>
        <v>0.20000000000000284</v>
      </c>
      <c r="D51">
        <f t="shared" si="1"/>
        <v>101.7</v>
      </c>
      <c r="E51">
        <f t="shared" si="2"/>
        <v>0.90000000000000568</v>
      </c>
      <c r="F51">
        <f t="shared" si="3"/>
        <v>0.70000000000000284</v>
      </c>
      <c r="G51">
        <f t="shared" si="3"/>
        <v>-0.20000000000000284</v>
      </c>
      <c r="H51">
        <f t="shared" si="3"/>
        <v>-0.70000000000000284</v>
      </c>
      <c r="I51">
        <f t="shared" si="3"/>
        <v>-9.9999999999994316E-2</v>
      </c>
      <c r="J51">
        <f t="shared" si="5"/>
        <v>1.5999999999999943</v>
      </c>
      <c r="K51">
        <f t="shared" si="4"/>
        <v>-0.5</v>
      </c>
      <c r="L51">
        <f t="shared" si="4"/>
        <v>-1.4000000000000057</v>
      </c>
      <c r="M51">
        <f t="shared" si="4"/>
        <v>-0.19999999999998863</v>
      </c>
      <c r="N51">
        <f t="shared" si="4"/>
        <v>2.3999999999999915</v>
      </c>
      <c r="O51">
        <f t="shared" si="7"/>
        <v>-3</v>
      </c>
      <c r="P51">
        <f t="shared" si="6"/>
        <v>0.60000000000000853</v>
      </c>
      <c r="R51">
        <v>0.20000000000000284</v>
      </c>
      <c r="S51">
        <v>101.7</v>
      </c>
      <c r="T51">
        <v>0.90000000000000568</v>
      </c>
      <c r="U51">
        <v>0.70000000000000284</v>
      </c>
      <c r="V51">
        <v>-0.20000000000000284</v>
      </c>
      <c r="W51">
        <v>-0.70000000000000284</v>
      </c>
      <c r="X51">
        <v>-9.9999999999994316E-2</v>
      </c>
      <c r="Y51">
        <v>1.5999999999999943</v>
      </c>
      <c r="Z51">
        <v>-0.5</v>
      </c>
      <c r="AA51">
        <v>-1.4000000000000057</v>
      </c>
      <c r="AB51">
        <v>-0.19999999999998863</v>
      </c>
      <c r="AC51">
        <v>2.3999999999999915</v>
      </c>
      <c r="AD51">
        <v>-3</v>
      </c>
      <c r="AE51">
        <v>0.60000000000000853</v>
      </c>
    </row>
    <row r="52" spans="1:31" x14ac:dyDescent="0.3">
      <c r="A52" s="1">
        <v>36220</v>
      </c>
      <c r="B52">
        <v>99.3</v>
      </c>
      <c r="C52">
        <f t="shared" si="0"/>
        <v>-2.6000000000000085</v>
      </c>
      <c r="D52">
        <f t="shared" si="1"/>
        <v>101.9</v>
      </c>
      <c r="E52">
        <f t="shared" si="2"/>
        <v>0.20000000000000284</v>
      </c>
      <c r="F52">
        <f t="shared" si="3"/>
        <v>0.90000000000000568</v>
      </c>
      <c r="G52">
        <f t="shared" si="3"/>
        <v>0.70000000000000284</v>
      </c>
      <c r="H52">
        <f t="shared" si="3"/>
        <v>-0.20000000000000284</v>
      </c>
      <c r="I52">
        <f t="shared" si="3"/>
        <v>-0.70000000000000284</v>
      </c>
      <c r="J52">
        <f t="shared" si="5"/>
        <v>-9.9999999999994316E-2</v>
      </c>
      <c r="K52">
        <f t="shared" si="4"/>
        <v>1.5999999999999943</v>
      </c>
      <c r="L52">
        <f t="shared" si="4"/>
        <v>-0.5</v>
      </c>
      <c r="M52">
        <f t="shared" si="4"/>
        <v>-1.4000000000000057</v>
      </c>
      <c r="N52">
        <f t="shared" si="4"/>
        <v>-0.19999999999998863</v>
      </c>
      <c r="O52">
        <f t="shared" si="7"/>
        <v>2.3999999999999915</v>
      </c>
      <c r="P52">
        <f t="shared" si="6"/>
        <v>-3</v>
      </c>
      <c r="R52">
        <v>-2.6000000000000085</v>
      </c>
      <c r="S52">
        <v>101.9</v>
      </c>
      <c r="T52">
        <v>0.20000000000000284</v>
      </c>
      <c r="U52">
        <v>0.90000000000000568</v>
      </c>
      <c r="V52">
        <v>0.70000000000000284</v>
      </c>
      <c r="W52">
        <v>-0.20000000000000284</v>
      </c>
      <c r="X52">
        <v>-0.70000000000000284</v>
      </c>
      <c r="Y52">
        <v>-9.9999999999994316E-2</v>
      </c>
      <c r="Z52">
        <v>1.5999999999999943</v>
      </c>
      <c r="AA52">
        <v>-0.5</v>
      </c>
      <c r="AB52">
        <v>-1.4000000000000057</v>
      </c>
      <c r="AC52">
        <v>-0.19999999999998863</v>
      </c>
      <c r="AD52">
        <v>2.3999999999999915</v>
      </c>
      <c r="AE52">
        <v>-3</v>
      </c>
    </row>
    <row r="53" spans="1:31" x14ac:dyDescent="0.3">
      <c r="A53" s="1">
        <v>36251</v>
      </c>
      <c r="B53">
        <v>99.4</v>
      </c>
      <c r="C53">
        <f t="shared" si="0"/>
        <v>0.10000000000000853</v>
      </c>
      <c r="D53">
        <f t="shared" si="1"/>
        <v>99.3</v>
      </c>
      <c r="E53">
        <f t="shared" si="2"/>
        <v>-2.6000000000000085</v>
      </c>
      <c r="F53">
        <f t="shared" si="3"/>
        <v>0.20000000000000284</v>
      </c>
      <c r="G53">
        <f t="shared" si="3"/>
        <v>0.90000000000000568</v>
      </c>
      <c r="H53">
        <f t="shared" si="3"/>
        <v>0.70000000000000284</v>
      </c>
      <c r="I53">
        <f t="shared" si="3"/>
        <v>-0.20000000000000284</v>
      </c>
      <c r="J53">
        <f t="shared" si="5"/>
        <v>-0.70000000000000284</v>
      </c>
      <c r="K53">
        <f t="shared" si="4"/>
        <v>-9.9999999999994316E-2</v>
      </c>
      <c r="L53">
        <f t="shared" si="4"/>
        <v>1.5999999999999943</v>
      </c>
      <c r="M53">
        <f t="shared" si="4"/>
        <v>-0.5</v>
      </c>
      <c r="N53">
        <f t="shared" si="4"/>
        <v>-1.4000000000000057</v>
      </c>
      <c r="O53">
        <f t="shared" si="7"/>
        <v>-0.19999999999998863</v>
      </c>
      <c r="P53">
        <f t="shared" si="6"/>
        <v>2.3999999999999915</v>
      </c>
      <c r="R53">
        <v>0.10000000000000853</v>
      </c>
      <c r="S53">
        <v>99.3</v>
      </c>
      <c r="T53">
        <v>-2.6000000000000085</v>
      </c>
      <c r="U53">
        <v>0.20000000000000284</v>
      </c>
      <c r="V53">
        <v>0.90000000000000568</v>
      </c>
      <c r="W53">
        <v>0.70000000000000284</v>
      </c>
      <c r="X53">
        <v>-0.20000000000000284</v>
      </c>
      <c r="Y53">
        <v>-0.70000000000000284</v>
      </c>
      <c r="Z53">
        <v>-9.9999999999994316E-2</v>
      </c>
      <c r="AA53">
        <v>1.5999999999999943</v>
      </c>
      <c r="AB53">
        <v>-0.5</v>
      </c>
      <c r="AC53">
        <v>-1.4000000000000057</v>
      </c>
      <c r="AD53">
        <v>-0.19999999999998863</v>
      </c>
      <c r="AE53">
        <v>2.3999999999999915</v>
      </c>
    </row>
    <row r="54" spans="1:31" x14ac:dyDescent="0.3">
      <c r="A54" s="1">
        <v>36281</v>
      </c>
      <c r="B54">
        <v>99.6</v>
      </c>
      <c r="C54">
        <f t="shared" si="0"/>
        <v>0.19999999999998863</v>
      </c>
      <c r="D54">
        <f t="shared" si="1"/>
        <v>99.4</v>
      </c>
      <c r="E54">
        <f t="shared" si="2"/>
        <v>0.10000000000000853</v>
      </c>
      <c r="F54">
        <f t="shared" si="3"/>
        <v>-2.6000000000000085</v>
      </c>
      <c r="G54">
        <f t="shared" si="3"/>
        <v>0.20000000000000284</v>
      </c>
      <c r="H54">
        <f t="shared" si="3"/>
        <v>0.90000000000000568</v>
      </c>
      <c r="I54">
        <f t="shared" si="3"/>
        <v>0.70000000000000284</v>
      </c>
      <c r="J54">
        <f t="shared" si="5"/>
        <v>-0.20000000000000284</v>
      </c>
      <c r="K54">
        <f t="shared" si="4"/>
        <v>-0.70000000000000284</v>
      </c>
      <c r="L54">
        <f t="shared" si="4"/>
        <v>-9.9999999999994316E-2</v>
      </c>
      <c r="M54">
        <f t="shared" si="4"/>
        <v>1.5999999999999943</v>
      </c>
      <c r="N54">
        <f t="shared" si="4"/>
        <v>-0.5</v>
      </c>
      <c r="O54">
        <f t="shared" si="7"/>
        <v>-1.4000000000000057</v>
      </c>
      <c r="P54">
        <f t="shared" si="6"/>
        <v>-0.19999999999998863</v>
      </c>
      <c r="R54">
        <v>0.19999999999998863</v>
      </c>
      <c r="S54">
        <v>99.4</v>
      </c>
      <c r="T54">
        <v>0.10000000000000853</v>
      </c>
      <c r="U54">
        <v>-2.6000000000000085</v>
      </c>
      <c r="V54">
        <v>0.20000000000000284</v>
      </c>
      <c r="W54">
        <v>0.90000000000000568</v>
      </c>
      <c r="X54">
        <v>0.70000000000000284</v>
      </c>
      <c r="Y54">
        <v>-0.20000000000000284</v>
      </c>
      <c r="Z54">
        <v>-0.70000000000000284</v>
      </c>
      <c r="AA54">
        <v>-9.9999999999994316E-2</v>
      </c>
      <c r="AB54">
        <v>1.5999999999999943</v>
      </c>
      <c r="AC54">
        <v>-0.5</v>
      </c>
      <c r="AD54">
        <v>-1.4000000000000057</v>
      </c>
      <c r="AE54">
        <v>-0.19999999999998863</v>
      </c>
    </row>
    <row r="55" spans="1:31" x14ac:dyDescent="0.3">
      <c r="A55" s="1">
        <v>36312</v>
      </c>
      <c r="B55">
        <v>99.7</v>
      </c>
      <c r="C55">
        <f t="shared" si="0"/>
        <v>0.10000000000000853</v>
      </c>
      <c r="D55">
        <f t="shared" si="1"/>
        <v>99.6</v>
      </c>
      <c r="E55">
        <f t="shared" si="2"/>
        <v>0.19999999999998863</v>
      </c>
      <c r="F55">
        <f t="shared" si="3"/>
        <v>0.10000000000000853</v>
      </c>
      <c r="G55">
        <f t="shared" si="3"/>
        <v>-2.6000000000000085</v>
      </c>
      <c r="H55">
        <f t="shared" si="3"/>
        <v>0.20000000000000284</v>
      </c>
      <c r="I55">
        <f t="shared" si="3"/>
        <v>0.90000000000000568</v>
      </c>
      <c r="J55">
        <f t="shared" si="5"/>
        <v>0.70000000000000284</v>
      </c>
      <c r="K55">
        <f t="shared" si="4"/>
        <v>-0.20000000000000284</v>
      </c>
      <c r="L55">
        <f t="shared" si="4"/>
        <v>-0.70000000000000284</v>
      </c>
      <c r="M55">
        <f t="shared" si="4"/>
        <v>-9.9999999999994316E-2</v>
      </c>
      <c r="N55">
        <f t="shared" si="4"/>
        <v>1.5999999999999943</v>
      </c>
      <c r="O55">
        <f t="shared" si="7"/>
        <v>-0.5</v>
      </c>
      <c r="P55">
        <f t="shared" si="6"/>
        <v>-1.4000000000000057</v>
      </c>
      <c r="R55">
        <v>0.10000000000000853</v>
      </c>
      <c r="S55">
        <v>99.6</v>
      </c>
      <c r="T55">
        <v>0.19999999999998863</v>
      </c>
      <c r="U55">
        <v>0.10000000000000853</v>
      </c>
      <c r="V55">
        <v>-2.6000000000000085</v>
      </c>
      <c r="W55">
        <v>0.20000000000000284</v>
      </c>
      <c r="X55">
        <v>0.90000000000000568</v>
      </c>
      <c r="Y55">
        <v>0.70000000000000284</v>
      </c>
      <c r="Z55">
        <v>-0.20000000000000284</v>
      </c>
      <c r="AA55">
        <v>-0.70000000000000284</v>
      </c>
      <c r="AB55">
        <v>-9.9999999999994316E-2</v>
      </c>
      <c r="AC55">
        <v>1.5999999999999943</v>
      </c>
      <c r="AD55">
        <v>-0.5</v>
      </c>
      <c r="AE55">
        <v>-1.4000000000000057</v>
      </c>
    </row>
    <row r="56" spans="1:31" x14ac:dyDescent="0.3">
      <c r="A56" s="1">
        <v>36342</v>
      </c>
      <c r="B56">
        <v>99.6</v>
      </c>
      <c r="C56">
        <f t="shared" si="0"/>
        <v>-0.10000000000000853</v>
      </c>
      <c r="D56">
        <f t="shared" si="1"/>
        <v>99.7</v>
      </c>
      <c r="E56">
        <f t="shared" si="2"/>
        <v>0.10000000000000853</v>
      </c>
      <c r="F56">
        <f t="shared" si="3"/>
        <v>0.19999999999998863</v>
      </c>
      <c r="G56">
        <f t="shared" si="3"/>
        <v>0.10000000000000853</v>
      </c>
      <c r="H56">
        <f t="shared" si="3"/>
        <v>-2.6000000000000085</v>
      </c>
      <c r="I56">
        <f t="shared" si="3"/>
        <v>0.20000000000000284</v>
      </c>
      <c r="J56">
        <f t="shared" si="5"/>
        <v>0.90000000000000568</v>
      </c>
      <c r="K56">
        <f t="shared" si="4"/>
        <v>0.70000000000000284</v>
      </c>
      <c r="L56">
        <f t="shared" si="4"/>
        <v>-0.20000000000000284</v>
      </c>
      <c r="M56">
        <f t="shared" si="4"/>
        <v>-0.70000000000000284</v>
      </c>
      <c r="N56">
        <f t="shared" si="4"/>
        <v>-9.9999999999994316E-2</v>
      </c>
      <c r="O56">
        <f t="shared" si="7"/>
        <v>1.5999999999999943</v>
      </c>
      <c r="P56">
        <f t="shared" si="6"/>
        <v>-0.5</v>
      </c>
      <c r="R56">
        <v>-0.10000000000000853</v>
      </c>
      <c r="S56">
        <v>99.7</v>
      </c>
      <c r="T56">
        <v>0.10000000000000853</v>
      </c>
      <c r="U56">
        <v>0.19999999999998863</v>
      </c>
      <c r="V56">
        <v>0.10000000000000853</v>
      </c>
      <c r="W56">
        <v>-2.6000000000000085</v>
      </c>
      <c r="X56">
        <v>0.20000000000000284</v>
      </c>
      <c r="Y56">
        <v>0.90000000000000568</v>
      </c>
      <c r="Z56">
        <v>0.70000000000000284</v>
      </c>
      <c r="AA56">
        <v>-0.20000000000000284</v>
      </c>
      <c r="AB56">
        <v>-0.70000000000000284</v>
      </c>
      <c r="AC56">
        <v>-9.9999999999994316E-2</v>
      </c>
      <c r="AD56">
        <v>1.5999999999999943</v>
      </c>
      <c r="AE56">
        <v>-0.5</v>
      </c>
    </row>
    <row r="57" spans="1:31" x14ac:dyDescent="0.3">
      <c r="A57" s="1">
        <v>36373</v>
      </c>
      <c r="B57">
        <v>99.6</v>
      </c>
      <c r="C57">
        <f t="shared" si="0"/>
        <v>0</v>
      </c>
      <c r="D57">
        <f t="shared" si="1"/>
        <v>99.6</v>
      </c>
      <c r="E57">
        <f t="shared" si="2"/>
        <v>-0.10000000000000853</v>
      </c>
      <c r="F57">
        <f t="shared" si="3"/>
        <v>0.10000000000000853</v>
      </c>
      <c r="G57">
        <f t="shared" si="3"/>
        <v>0.19999999999998863</v>
      </c>
      <c r="H57">
        <f t="shared" si="3"/>
        <v>0.10000000000000853</v>
      </c>
      <c r="I57">
        <f t="shared" si="3"/>
        <v>-2.6000000000000085</v>
      </c>
      <c r="J57">
        <f t="shared" si="5"/>
        <v>0.20000000000000284</v>
      </c>
      <c r="K57">
        <f t="shared" si="4"/>
        <v>0.90000000000000568</v>
      </c>
      <c r="L57">
        <f t="shared" si="4"/>
        <v>0.70000000000000284</v>
      </c>
      <c r="M57">
        <f t="shared" si="4"/>
        <v>-0.20000000000000284</v>
      </c>
      <c r="N57">
        <f t="shared" si="4"/>
        <v>-0.70000000000000284</v>
      </c>
      <c r="O57">
        <f t="shared" si="7"/>
        <v>-9.9999999999994316E-2</v>
      </c>
      <c r="P57">
        <f t="shared" si="6"/>
        <v>1.5999999999999943</v>
      </c>
      <c r="R57">
        <v>0</v>
      </c>
      <c r="S57">
        <v>99.6</v>
      </c>
      <c r="T57">
        <v>-0.10000000000000853</v>
      </c>
      <c r="U57">
        <v>0.10000000000000853</v>
      </c>
      <c r="V57">
        <v>0.19999999999998863</v>
      </c>
      <c r="W57">
        <v>0.10000000000000853</v>
      </c>
      <c r="X57">
        <v>-2.6000000000000085</v>
      </c>
      <c r="Y57">
        <v>0.20000000000000284</v>
      </c>
      <c r="Z57">
        <v>0.90000000000000568</v>
      </c>
      <c r="AA57">
        <v>0.70000000000000284</v>
      </c>
      <c r="AB57">
        <v>-0.20000000000000284</v>
      </c>
      <c r="AC57">
        <v>-0.70000000000000284</v>
      </c>
      <c r="AD57">
        <v>-9.9999999999994316E-2</v>
      </c>
      <c r="AE57">
        <v>1.5999999999999943</v>
      </c>
    </row>
    <row r="58" spans="1:31" x14ac:dyDescent="0.3">
      <c r="A58" s="1">
        <v>36404</v>
      </c>
      <c r="B58">
        <v>99.4</v>
      </c>
      <c r="C58">
        <f t="shared" si="0"/>
        <v>-0.19999999999998863</v>
      </c>
      <c r="D58">
        <f t="shared" si="1"/>
        <v>99.6</v>
      </c>
      <c r="E58">
        <f t="shared" si="2"/>
        <v>0</v>
      </c>
      <c r="F58">
        <f t="shared" si="3"/>
        <v>-0.10000000000000853</v>
      </c>
      <c r="G58">
        <f t="shared" si="3"/>
        <v>0.10000000000000853</v>
      </c>
      <c r="H58">
        <f t="shared" si="3"/>
        <v>0.19999999999998863</v>
      </c>
      <c r="I58">
        <f t="shared" si="3"/>
        <v>0.10000000000000853</v>
      </c>
      <c r="J58">
        <f t="shared" si="5"/>
        <v>-2.6000000000000085</v>
      </c>
      <c r="K58">
        <f t="shared" si="4"/>
        <v>0.20000000000000284</v>
      </c>
      <c r="L58">
        <f t="shared" si="4"/>
        <v>0.90000000000000568</v>
      </c>
      <c r="M58">
        <f t="shared" si="4"/>
        <v>0.70000000000000284</v>
      </c>
      <c r="N58">
        <f t="shared" si="4"/>
        <v>-0.20000000000000284</v>
      </c>
      <c r="O58">
        <f t="shared" si="7"/>
        <v>-0.70000000000000284</v>
      </c>
      <c r="P58">
        <f t="shared" si="6"/>
        <v>-9.9999999999994316E-2</v>
      </c>
      <c r="R58">
        <v>-0.19999999999998863</v>
      </c>
      <c r="S58">
        <v>99.6</v>
      </c>
      <c r="T58">
        <v>0</v>
      </c>
      <c r="U58">
        <v>-0.10000000000000853</v>
      </c>
      <c r="V58">
        <v>0.10000000000000853</v>
      </c>
      <c r="W58">
        <v>0.19999999999998863</v>
      </c>
      <c r="X58">
        <v>0.10000000000000853</v>
      </c>
      <c r="Y58">
        <v>-2.6000000000000085</v>
      </c>
      <c r="Z58">
        <v>0.20000000000000284</v>
      </c>
      <c r="AA58">
        <v>0.90000000000000568</v>
      </c>
      <c r="AB58">
        <v>0.70000000000000284</v>
      </c>
      <c r="AC58">
        <v>-0.20000000000000284</v>
      </c>
      <c r="AD58">
        <v>-0.70000000000000284</v>
      </c>
      <c r="AE58">
        <v>-9.9999999999994316E-2</v>
      </c>
    </row>
    <row r="59" spans="1:31" x14ac:dyDescent="0.3">
      <c r="A59" s="1">
        <v>36434</v>
      </c>
      <c r="B59">
        <v>99</v>
      </c>
      <c r="C59">
        <f t="shared" si="0"/>
        <v>-0.40000000000000568</v>
      </c>
      <c r="D59">
        <f t="shared" si="1"/>
        <v>99.4</v>
      </c>
      <c r="E59">
        <f t="shared" si="2"/>
        <v>-0.19999999999998863</v>
      </c>
      <c r="F59">
        <f t="shared" si="3"/>
        <v>0</v>
      </c>
      <c r="G59">
        <f t="shared" si="3"/>
        <v>-0.10000000000000853</v>
      </c>
      <c r="H59">
        <f t="shared" si="3"/>
        <v>0.10000000000000853</v>
      </c>
      <c r="I59">
        <f t="shared" si="3"/>
        <v>0.19999999999998863</v>
      </c>
      <c r="J59">
        <f t="shared" si="5"/>
        <v>0.10000000000000853</v>
      </c>
      <c r="K59">
        <f t="shared" si="4"/>
        <v>-2.6000000000000085</v>
      </c>
      <c r="L59">
        <f t="shared" si="4"/>
        <v>0.20000000000000284</v>
      </c>
      <c r="M59">
        <f t="shared" si="4"/>
        <v>0.90000000000000568</v>
      </c>
      <c r="N59">
        <f t="shared" si="4"/>
        <v>0.70000000000000284</v>
      </c>
      <c r="O59">
        <f t="shared" si="7"/>
        <v>-0.20000000000000284</v>
      </c>
      <c r="P59">
        <f t="shared" si="6"/>
        <v>-0.70000000000000284</v>
      </c>
      <c r="R59">
        <v>-0.40000000000000568</v>
      </c>
      <c r="S59">
        <v>99.4</v>
      </c>
      <c r="T59">
        <v>-0.19999999999998863</v>
      </c>
      <c r="U59">
        <v>0</v>
      </c>
      <c r="V59">
        <v>-0.10000000000000853</v>
      </c>
      <c r="W59">
        <v>0.10000000000000853</v>
      </c>
      <c r="X59">
        <v>0.19999999999998863</v>
      </c>
      <c r="Y59">
        <v>0.10000000000000853</v>
      </c>
      <c r="Z59">
        <v>-2.6000000000000085</v>
      </c>
      <c r="AA59">
        <v>0.20000000000000284</v>
      </c>
      <c r="AB59">
        <v>0.90000000000000568</v>
      </c>
      <c r="AC59">
        <v>0.70000000000000284</v>
      </c>
      <c r="AD59">
        <v>-0.20000000000000284</v>
      </c>
      <c r="AE59">
        <v>-0.70000000000000284</v>
      </c>
    </row>
    <row r="60" spans="1:31" x14ac:dyDescent="0.3">
      <c r="A60" s="1">
        <v>36465</v>
      </c>
      <c r="B60">
        <v>100.4</v>
      </c>
      <c r="C60">
        <f t="shared" si="0"/>
        <v>1.4000000000000057</v>
      </c>
      <c r="D60">
        <f t="shared" si="1"/>
        <v>99</v>
      </c>
      <c r="E60">
        <f t="shared" si="2"/>
        <v>-0.40000000000000568</v>
      </c>
      <c r="F60">
        <f t="shared" si="3"/>
        <v>-0.19999999999998863</v>
      </c>
      <c r="G60">
        <f t="shared" si="3"/>
        <v>0</v>
      </c>
      <c r="H60">
        <f t="shared" si="3"/>
        <v>-0.10000000000000853</v>
      </c>
      <c r="I60">
        <f t="shared" si="3"/>
        <v>0.10000000000000853</v>
      </c>
      <c r="J60">
        <f t="shared" si="5"/>
        <v>0.19999999999998863</v>
      </c>
      <c r="K60">
        <f t="shared" si="4"/>
        <v>0.10000000000000853</v>
      </c>
      <c r="L60">
        <f t="shared" si="4"/>
        <v>-2.6000000000000085</v>
      </c>
      <c r="M60">
        <f t="shared" si="4"/>
        <v>0.20000000000000284</v>
      </c>
      <c r="N60">
        <f t="shared" si="4"/>
        <v>0.90000000000000568</v>
      </c>
      <c r="O60">
        <f t="shared" si="7"/>
        <v>0.70000000000000284</v>
      </c>
      <c r="P60">
        <f t="shared" si="6"/>
        <v>-0.20000000000000284</v>
      </c>
      <c r="R60">
        <v>1.4000000000000057</v>
      </c>
      <c r="S60">
        <v>99</v>
      </c>
      <c r="T60">
        <v>-0.40000000000000568</v>
      </c>
      <c r="U60">
        <v>-0.19999999999998863</v>
      </c>
      <c r="V60">
        <v>0</v>
      </c>
      <c r="W60">
        <v>-0.10000000000000853</v>
      </c>
      <c r="X60">
        <v>0.10000000000000853</v>
      </c>
      <c r="Y60">
        <v>0.19999999999998863</v>
      </c>
      <c r="Z60">
        <v>0.10000000000000853</v>
      </c>
      <c r="AA60">
        <v>-2.6000000000000085</v>
      </c>
      <c r="AB60">
        <v>0.20000000000000284</v>
      </c>
      <c r="AC60">
        <v>0.90000000000000568</v>
      </c>
      <c r="AD60">
        <v>0.70000000000000284</v>
      </c>
      <c r="AE60">
        <v>-0.20000000000000284</v>
      </c>
    </row>
    <row r="61" spans="1:31" x14ac:dyDescent="0.3">
      <c r="A61" s="1">
        <v>36495</v>
      </c>
      <c r="B61">
        <v>100.5</v>
      </c>
      <c r="C61">
        <f t="shared" si="0"/>
        <v>9.9999999999994316E-2</v>
      </c>
      <c r="D61">
        <f t="shared" si="1"/>
        <v>100.4</v>
      </c>
      <c r="E61">
        <f t="shared" si="2"/>
        <v>1.4000000000000057</v>
      </c>
      <c r="F61">
        <f t="shared" si="3"/>
        <v>-0.40000000000000568</v>
      </c>
      <c r="G61">
        <f t="shared" si="3"/>
        <v>-0.19999999999998863</v>
      </c>
      <c r="H61">
        <f t="shared" si="3"/>
        <v>0</v>
      </c>
      <c r="I61">
        <f t="shared" si="3"/>
        <v>-0.10000000000000853</v>
      </c>
      <c r="J61">
        <f t="shared" si="5"/>
        <v>0.10000000000000853</v>
      </c>
      <c r="K61">
        <f t="shared" si="4"/>
        <v>0.19999999999998863</v>
      </c>
      <c r="L61">
        <f t="shared" si="4"/>
        <v>0.10000000000000853</v>
      </c>
      <c r="M61">
        <f t="shared" si="4"/>
        <v>-2.6000000000000085</v>
      </c>
      <c r="N61">
        <f t="shared" si="4"/>
        <v>0.20000000000000284</v>
      </c>
      <c r="O61">
        <f t="shared" si="7"/>
        <v>0.90000000000000568</v>
      </c>
      <c r="P61">
        <f t="shared" si="6"/>
        <v>0.70000000000000284</v>
      </c>
      <c r="R61">
        <v>9.9999999999994316E-2</v>
      </c>
      <c r="S61">
        <v>100.4</v>
      </c>
      <c r="T61">
        <v>1.4000000000000057</v>
      </c>
      <c r="U61">
        <v>-0.40000000000000568</v>
      </c>
      <c r="V61">
        <v>-0.19999999999998863</v>
      </c>
      <c r="W61">
        <v>0</v>
      </c>
      <c r="X61">
        <v>-0.10000000000000853</v>
      </c>
      <c r="Y61">
        <v>0.10000000000000853</v>
      </c>
      <c r="Z61">
        <v>0.19999999999998863</v>
      </c>
      <c r="AA61">
        <v>0.10000000000000853</v>
      </c>
      <c r="AB61">
        <v>-2.6000000000000085</v>
      </c>
      <c r="AC61">
        <v>0.20000000000000284</v>
      </c>
      <c r="AD61">
        <v>0.90000000000000568</v>
      </c>
      <c r="AE61">
        <v>0.70000000000000284</v>
      </c>
    </row>
    <row r="62" spans="1:31" x14ac:dyDescent="0.3">
      <c r="A62" s="1">
        <v>36526</v>
      </c>
      <c r="B62">
        <v>100.4</v>
      </c>
      <c r="C62">
        <f t="shared" si="0"/>
        <v>-9.9999999999994316E-2</v>
      </c>
      <c r="D62">
        <f t="shared" si="1"/>
        <v>100.5</v>
      </c>
      <c r="E62">
        <f t="shared" si="2"/>
        <v>9.9999999999994316E-2</v>
      </c>
      <c r="F62">
        <f t="shared" si="3"/>
        <v>1.4000000000000057</v>
      </c>
      <c r="G62">
        <f t="shared" si="3"/>
        <v>-0.40000000000000568</v>
      </c>
      <c r="H62">
        <f t="shared" si="3"/>
        <v>-0.19999999999998863</v>
      </c>
      <c r="I62">
        <f t="shared" si="3"/>
        <v>0</v>
      </c>
      <c r="J62">
        <f t="shared" si="5"/>
        <v>-0.10000000000000853</v>
      </c>
      <c r="K62">
        <f t="shared" si="4"/>
        <v>0.10000000000000853</v>
      </c>
      <c r="L62">
        <f t="shared" si="4"/>
        <v>0.19999999999998863</v>
      </c>
      <c r="M62">
        <f t="shared" si="4"/>
        <v>0.10000000000000853</v>
      </c>
      <c r="N62">
        <f t="shared" si="4"/>
        <v>-2.6000000000000085</v>
      </c>
      <c r="O62">
        <f t="shared" si="7"/>
        <v>0.20000000000000284</v>
      </c>
      <c r="P62">
        <f t="shared" si="6"/>
        <v>0.90000000000000568</v>
      </c>
      <c r="R62">
        <v>-9.9999999999994316E-2</v>
      </c>
      <c r="S62">
        <v>100.5</v>
      </c>
      <c r="T62">
        <v>9.9999999999994316E-2</v>
      </c>
      <c r="U62">
        <v>1.4000000000000057</v>
      </c>
      <c r="V62">
        <v>-0.40000000000000568</v>
      </c>
      <c r="W62">
        <v>-0.19999999999998863</v>
      </c>
      <c r="X62">
        <v>0</v>
      </c>
      <c r="Y62">
        <v>-0.10000000000000853</v>
      </c>
      <c r="Z62">
        <v>0.10000000000000853</v>
      </c>
      <c r="AA62">
        <v>0.19999999999998863</v>
      </c>
      <c r="AB62">
        <v>0.10000000000000853</v>
      </c>
      <c r="AC62">
        <v>-2.6000000000000085</v>
      </c>
      <c r="AD62">
        <v>0.20000000000000284</v>
      </c>
      <c r="AE62">
        <v>0.90000000000000568</v>
      </c>
    </row>
    <row r="63" spans="1:31" x14ac:dyDescent="0.3">
      <c r="A63" s="1">
        <v>36557</v>
      </c>
      <c r="B63">
        <v>101.6</v>
      </c>
      <c r="C63">
        <f t="shared" si="0"/>
        <v>1.1999999999999886</v>
      </c>
      <c r="D63">
        <f t="shared" si="1"/>
        <v>100.4</v>
      </c>
      <c r="E63">
        <f t="shared" si="2"/>
        <v>-9.9999999999994316E-2</v>
      </c>
      <c r="F63">
        <f t="shared" si="3"/>
        <v>9.9999999999994316E-2</v>
      </c>
      <c r="G63">
        <f t="shared" si="3"/>
        <v>1.4000000000000057</v>
      </c>
      <c r="H63">
        <f t="shared" si="3"/>
        <v>-0.40000000000000568</v>
      </c>
      <c r="I63">
        <f t="shared" si="3"/>
        <v>-0.19999999999998863</v>
      </c>
      <c r="J63">
        <f t="shared" si="5"/>
        <v>0</v>
      </c>
      <c r="K63">
        <f t="shared" si="4"/>
        <v>-0.10000000000000853</v>
      </c>
      <c r="L63">
        <f t="shared" si="4"/>
        <v>0.10000000000000853</v>
      </c>
      <c r="M63">
        <f t="shared" si="4"/>
        <v>0.19999999999998863</v>
      </c>
      <c r="N63">
        <f t="shared" si="4"/>
        <v>0.10000000000000853</v>
      </c>
      <c r="O63">
        <f t="shared" si="7"/>
        <v>-2.6000000000000085</v>
      </c>
      <c r="P63">
        <f t="shared" si="6"/>
        <v>0.20000000000000284</v>
      </c>
      <c r="R63">
        <v>1.1999999999999886</v>
      </c>
      <c r="S63">
        <v>100.4</v>
      </c>
      <c r="T63">
        <v>-9.9999999999994316E-2</v>
      </c>
      <c r="U63">
        <v>9.9999999999994316E-2</v>
      </c>
      <c r="V63">
        <v>1.4000000000000057</v>
      </c>
      <c r="W63">
        <v>-0.40000000000000568</v>
      </c>
      <c r="X63">
        <v>-0.19999999999998863</v>
      </c>
      <c r="Y63">
        <v>0</v>
      </c>
      <c r="Z63">
        <v>-0.10000000000000853</v>
      </c>
      <c r="AA63">
        <v>0.10000000000000853</v>
      </c>
      <c r="AB63">
        <v>0.19999999999998863</v>
      </c>
      <c r="AC63">
        <v>0.10000000000000853</v>
      </c>
      <c r="AD63">
        <v>-2.6000000000000085</v>
      </c>
      <c r="AE63">
        <v>0.20000000000000284</v>
      </c>
    </row>
    <row r="64" spans="1:31" x14ac:dyDescent="0.3">
      <c r="A64" s="1">
        <v>36586</v>
      </c>
      <c r="B64">
        <v>98.9</v>
      </c>
      <c r="C64">
        <f t="shared" si="0"/>
        <v>-2.6999999999999886</v>
      </c>
      <c r="D64">
        <f t="shared" si="1"/>
        <v>101.6</v>
      </c>
      <c r="E64">
        <f t="shared" si="2"/>
        <v>1.1999999999999886</v>
      </c>
      <c r="F64">
        <f t="shared" si="3"/>
        <v>-9.9999999999994316E-2</v>
      </c>
      <c r="G64">
        <f t="shared" si="3"/>
        <v>9.9999999999994316E-2</v>
      </c>
      <c r="H64">
        <f t="shared" si="3"/>
        <v>1.4000000000000057</v>
      </c>
      <c r="I64">
        <f t="shared" si="3"/>
        <v>-0.40000000000000568</v>
      </c>
      <c r="J64">
        <f t="shared" si="5"/>
        <v>-0.19999999999998863</v>
      </c>
      <c r="K64">
        <f t="shared" si="4"/>
        <v>0</v>
      </c>
      <c r="L64">
        <f t="shared" si="4"/>
        <v>-0.10000000000000853</v>
      </c>
      <c r="M64">
        <f t="shared" si="4"/>
        <v>0.10000000000000853</v>
      </c>
      <c r="N64">
        <f t="shared" si="4"/>
        <v>0.19999999999998863</v>
      </c>
      <c r="O64">
        <f t="shared" si="7"/>
        <v>0.10000000000000853</v>
      </c>
      <c r="P64">
        <f t="shared" si="6"/>
        <v>-2.6000000000000085</v>
      </c>
      <c r="R64">
        <v>-2.6999999999999886</v>
      </c>
      <c r="S64">
        <v>101.6</v>
      </c>
      <c r="T64">
        <v>1.1999999999999886</v>
      </c>
      <c r="U64">
        <v>-9.9999999999994316E-2</v>
      </c>
      <c r="V64">
        <v>9.9999999999994316E-2</v>
      </c>
      <c r="W64">
        <v>1.4000000000000057</v>
      </c>
      <c r="X64">
        <v>-0.40000000000000568</v>
      </c>
      <c r="Y64">
        <v>-0.19999999999998863</v>
      </c>
      <c r="Z64">
        <v>0</v>
      </c>
      <c r="AA64">
        <v>-0.10000000000000853</v>
      </c>
      <c r="AB64">
        <v>0.10000000000000853</v>
      </c>
      <c r="AC64">
        <v>0.19999999999998863</v>
      </c>
      <c r="AD64">
        <v>0.10000000000000853</v>
      </c>
      <c r="AE64">
        <v>-2.6000000000000085</v>
      </c>
    </row>
    <row r="65" spans="1:31" x14ac:dyDescent="0.3">
      <c r="A65" s="1">
        <v>36617</v>
      </c>
      <c r="B65">
        <v>99.3</v>
      </c>
      <c r="C65">
        <f t="shared" si="0"/>
        <v>0.39999999999999147</v>
      </c>
      <c r="D65">
        <f t="shared" si="1"/>
        <v>98.9</v>
      </c>
      <c r="E65">
        <f t="shared" si="2"/>
        <v>-2.6999999999999886</v>
      </c>
      <c r="F65">
        <f t="shared" si="3"/>
        <v>1.1999999999999886</v>
      </c>
      <c r="G65">
        <f t="shared" si="3"/>
        <v>-9.9999999999994316E-2</v>
      </c>
      <c r="H65">
        <f t="shared" si="3"/>
        <v>9.9999999999994316E-2</v>
      </c>
      <c r="I65">
        <f t="shared" si="3"/>
        <v>1.4000000000000057</v>
      </c>
      <c r="J65">
        <f t="shared" si="5"/>
        <v>-0.40000000000000568</v>
      </c>
      <c r="K65">
        <f t="shared" si="4"/>
        <v>-0.19999999999998863</v>
      </c>
      <c r="L65">
        <f t="shared" si="4"/>
        <v>0</v>
      </c>
      <c r="M65">
        <f t="shared" si="4"/>
        <v>-0.10000000000000853</v>
      </c>
      <c r="N65">
        <f t="shared" si="4"/>
        <v>0.10000000000000853</v>
      </c>
      <c r="O65">
        <f t="shared" si="7"/>
        <v>0.19999999999998863</v>
      </c>
      <c r="P65">
        <f t="shared" si="6"/>
        <v>0.10000000000000853</v>
      </c>
      <c r="R65">
        <v>0.39999999999999147</v>
      </c>
      <c r="S65">
        <v>98.9</v>
      </c>
      <c r="T65">
        <v>-2.6999999999999886</v>
      </c>
      <c r="U65">
        <v>1.1999999999999886</v>
      </c>
      <c r="V65">
        <v>-9.9999999999994316E-2</v>
      </c>
      <c r="W65">
        <v>9.9999999999994316E-2</v>
      </c>
      <c r="X65">
        <v>1.4000000000000057</v>
      </c>
      <c r="Y65">
        <v>-0.40000000000000568</v>
      </c>
      <c r="Z65">
        <v>-0.19999999999998863</v>
      </c>
      <c r="AA65">
        <v>0</v>
      </c>
      <c r="AB65">
        <v>-0.10000000000000853</v>
      </c>
      <c r="AC65">
        <v>0.10000000000000853</v>
      </c>
      <c r="AD65">
        <v>0.19999999999998863</v>
      </c>
      <c r="AE65">
        <v>0.10000000000000853</v>
      </c>
    </row>
    <row r="66" spans="1:31" x14ac:dyDescent="0.3">
      <c r="A66" s="1">
        <v>36647</v>
      </c>
      <c r="B66">
        <v>99.4</v>
      </c>
      <c r="C66">
        <f t="shared" si="0"/>
        <v>0.10000000000000853</v>
      </c>
      <c r="D66">
        <f t="shared" si="1"/>
        <v>99.3</v>
      </c>
      <c r="E66">
        <f t="shared" si="2"/>
        <v>0.39999999999999147</v>
      </c>
      <c r="F66">
        <f t="shared" si="3"/>
        <v>-2.6999999999999886</v>
      </c>
      <c r="G66">
        <f t="shared" si="3"/>
        <v>1.1999999999999886</v>
      </c>
      <c r="H66">
        <f t="shared" si="3"/>
        <v>-9.9999999999994316E-2</v>
      </c>
      <c r="I66">
        <f t="shared" si="3"/>
        <v>9.9999999999994316E-2</v>
      </c>
      <c r="J66">
        <f t="shared" si="5"/>
        <v>1.4000000000000057</v>
      </c>
      <c r="K66">
        <f t="shared" si="4"/>
        <v>-0.40000000000000568</v>
      </c>
      <c r="L66">
        <f t="shared" si="4"/>
        <v>-0.19999999999998863</v>
      </c>
      <c r="M66">
        <f t="shared" si="4"/>
        <v>0</v>
      </c>
      <c r="N66">
        <f t="shared" si="4"/>
        <v>-0.10000000000000853</v>
      </c>
      <c r="O66">
        <f t="shared" si="7"/>
        <v>0.10000000000000853</v>
      </c>
      <c r="P66">
        <f t="shared" si="6"/>
        <v>0.19999999999998863</v>
      </c>
      <c r="R66">
        <v>0.10000000000000853</v>
      </c>
      <c r="S66">
        <v>99.3</v>
      </c>
      <c r="T66">
        <v>0.39999999999999147</v>
      </c>
      <c r="U66">
        <v>-2.6999999999999886</v>
      </c>
      <c r="V66">
        <v>1.1999999999999886</v>
      </c>
      <c r="W66">
        <v>-9.9999999999994316E-2</v>
      </c>
      <c r="X66">
        <v>9.9999999999994316E-2</v>
      </c>
      <c r="Y66">
        <v>1.4000000000000057</v>
      </c>
      <c r="Z66">
        <v>-0.40000000000000568</v>
      </c>
      <c r="AA66">
        <v>-0.19999999999998863</v>
      </c>
      <c r="AB66">
        <v>0</v>
      </c>
      <c r="AC66">
        <v>-0.10000000000000853</v>
      </c>
      <c r="AD66">
        <v>0.10000000000000853</v>
      </c>
      <c r="AE66">
        <v>0.19999999999998863</v>
      </c>
    </row>
    <row r="67" spans="1:31" x14ac:dyDescent="0.3">
      <c r="A67" s="1">
        <v>36678</v>
      </c>
      <c r="B67">
        <v>99.5</v>
      </c>
      <c r="C67">
        <f t="shared" si="0"/>
        <v>9.9999999999994316E-2</v>
      </c>
      <c r="D67">
        <f t="shared" si="1"/>
        <v>99.4</v>
      </c>
      <c r="E67">
        <f t="shared" si="2"/>
        <v>0.10000000000000853</v>
      </c>
      <c r="F67">
        <f t="shared" si="3"/>
        <v>0.39999999999999147</v>
      </c>
      <c r="G67">
        <f t="shared" si="3"/>
        <v>-2.6999999999999886</v>
      </c>
      <c r="H67">
        <f t="shared" si="3"/>
        <v>1.1999999999999886</v>
      </c>
      <c r="I67">
        <f t="shared" si="3"/>
        <v>-9.9999999999994316E-2</v>
      </c>
      <c r="J67">
        <f t="shared" si="5"/>
        <v>9.9999999999994316E-2</v>
      </c>
      <c r="K67">
        <f t="shared" si="4"/>
        <v>1.4000000000000057</v>
      </c>
      <c r="L67">
        <f t="shared" si="4"/>
        <v>-0.40000000000000568</v>
      </c>
      <c r="M67">
        <f t="shared" si="4"/>
        <v>-0.19999999999998863</v>
      </c>
      <c r="N67">
        <f t="shared" si="4"/>
        <v>0</v>
      </c>
      <c r="O67">
        <f t="shared" si="7"/>
        <v>-0.10000000000000853</v>
      </c>
      <c r="P67">
        <f t="shared" si="6"/>
        <v>0.10000000000000853</v>
      </c>
      <c r="R67">
        <v>9.9999999999994316E-2</v>
      </c>
      <c r="S67">
        <v>99.4</v>
      </c>
      <c r="T67">
        <v>0.10000000000000853</v>
      </c>
      <c r="U67">
        <v>0.39999999999999147</v>
      </c>
      <c r="V67">
        <v>-2.6999999999999886</v>
      </c>
      <c r="W67">
        <v>1.1999999999999886</v>
      </c>
      <c r="X67">
        <v>-9.9999999999994316E-2</v>
      </c>
      <c r="Y67">
        <v>9.9999999999994316E-2</v>
      </c>
      <c r="Z67">
        <v>1.4000000000000057</v>
      </c>
      <c r="AA67">
        <v>-0.40000000000000568</v>
      </c>
      <c r="AB67">
        <v>-0.19999999999998863</v>
      </c>
      <c r="AC67">
        <v>0</v>
      </c>
      <c r="AD67">
        <v>-0.10000000000000853</v>
      </c>
      <c r="AE67">
        <v>0.10000000000000853</v>
      </c>
    </row>
    <row r="68" spans="1:31" x14ac:dyDescent="0.3">
      <c r="A68" s="1">
        <v>36708</v>
      </c>
      <c r="B68">
        <v>99.4</v>
      </c>
      <c r="C68">
        <f t="shared" ref="C68:C131" si="8">B68-B67</f>
        <v>-9.9999999999994316E-2</v>
      </c>
      <c r="D68">
        <f t="shared" ref="D68:D131" si="9">B67</f>
        <v>99.5</v>
      </c>
      <c r="E68">
        <f t="shared" si="2"/>
        <v>9.9999999999994316E-2</v>
      </c>
      <c r="F68">
        <f t="shared" si="3"/>
        <v>0.10000000000000853</v>
      </c>
      <c r="G68">
        <f t="shared" si="3"/>
        <v>0.39999999999999147</v>
      </c>
      <c r="H68">
        <f t="shared" si="3"/>
        <v>-2.6999999999999886</v>
      </c>
      <c r="I68">
        <f t="shared" si="3"/>
        <v>1.1999999999999886</v>
      </c>
      <c r="J68">
        <f t="shared" si="5"/>
        <v>-9.9999999999994316E-2</v>
      </c>
      <c r="K68">
        <f t="shared" si="4"/>
        <v>9.9999999999994316E-2</v>
      </c>
      <c r="L68">
        <f t="shared" si="4"/>
        <v>1.4000000000000057</v>
      </c>
      <c r="M68">
        <f t="shared" si="4"/>
        <v>-0.40000000000000568</v>
      </c>
      <c r="N68">
        <f t="shared" si="4"/>
        <v>-0.19999999999998863</v>
      </c>
      <c r="O68">
        <f t="shared" si="7"/>
        <v>0</v>
      </c>
      <c r="P68">
        <f t="shared" si="6"/>
        <v>-0.10000000000000853</v>
      </c>
      <c r="R68">
        <v>-9.9999999999994316E-2</v>
      </c>
      <c r="S68">
        <v>99.5</v>
      </c>
      <c r="T68">
        <v>9.9999999999994316E-2</v>
      </c>
      <c r="U68">
        <v>0.10000000000000853</v>
      </c>
      <c r="V68">
        <v>0.39999999999999147</v>
      </c>
      <c r="W68">
        <v>-2.6999999999999886</v>
      </c>
      <c r="X68">
        <v>1.1999999999999886</v>
      </c>
      <c r="Y68">
        <v>-9.9999999999994316E-2</v>
      </c>
      <c r="Z68">
        <v>9.9999999999994316E-2</v>
      </c>
      <c r="AA68">
        <v>1.4000000000000057</v>
      </c>
      <c r="AB68">
        <v>-0.40000000000000568</v>
      </c>
      <c r="AC68">
        <v>-0.19999999999998863</v>
      </c>
      <c r="AD68">
        <v>0</v>
      </c>
      <c r="AE68">
        <v>-0.10000000000000853</v>
      </c>
    </row>
    <row r="69" spans="1:31" x14ac:dyDescent="0.3">
      <c r="A69" s="1">
        <v>36739</v>
      </c>
      <c r="B69">
        <v>100.1</v>
      </c>
      <c r="C69">
        <f t="shared" si="8"/>
        <v>0.69999999999998863</v>
      </c>
      <c r="D69">
        <f t="shared" si="9"/>
        <v>99.4</v>
      </c>
      <c r="E69">
        <f t="shared" ref="E69:E132" si="10">C68</f>
        <v>-9.9999999999994316E-2</v>
      </c>
      <c r="F69">
        <f t="shared" si="3"/>
        <v>9.9999999999994316E-2</v>
      </c>
      <c r="G69">
        <f t="shared" si="3"/>
        <v>0.10000000000000853</v>
      </c>
      <c r="H69">
        <f t="shared" si="3"/>
        <v>0.39999999999999147</v>
      </c>
      <c r="I69">
        <f t="shared" si="3"/>
        <v>-2.6999999999999886</v>
      </c>
      <c r="J69">
        <f t="shared" si="5"/>
        <v>1.1999999999999886</v>
      </c>
      <c r="K69">
        <f t="shared" si="4"/>
        <v>-9.9999999999994316E-2</v>
      </c>
      <c r="L69">
        <f t="shared" si="4"/>
        <v>9.9999999999994316E-2</v>
      </c>
      <c r="M69">
        <f t="shared" si="4"/>
        <v>1.4000000000000057</v>
      </c>
      <c r="N69">
        <f t="shared" si="4"/>
        <v>-0.40000000000000568</v>
      </c>
      <c r="O69">
        <f t="shared" si="7"/>
        <v>-0.19999999999998863</v>
      </c>
      <c r="P69">
        <f t="shared" si="6"/>
        <v>0</v>
      </c>
      <c r="R69">
        <v>0.69999999999998863</v>
      </c>
      <c r="S69">
        <v>99.4</v>
      </c>
      <c r="T69">
        <v>-9.9999999999994316E-2</v>
      </c>
      <c r="U69">
        <v>9.9999999999994316E-2</v>
      </c>
      <c r="V69">
        <v>0.10000000000000853</v>
      </c>
      <c r="W69">
        <v>0.39999999999999147</v>
      </c>
      <c r="X69">
        <v>-2.6999999999999886</v>
      </c>
      <c r="Y69">
        <v>1.1999999999999886</v>
      </c>
      <c r="Z69">
        <v>-9.9999999999994316E-2</v>
      </c>
      <c r="AA69">
        <v>9.9999999999994316E-2</v>
      </c>
      <c r="AB69">
        <v>1.4000000000000057</v>
      </c>
      <c r="AC69">
        <v>-0.40000000000000568</v>
      </c>
      <c r="AD69">
        <v>-0.19999999999998863</v>
      </c>
      <c r="AE69">
        <v>0</v>
      </c>
    </row>
    <row r="70" spans="1:31" x14ac:dyDescent="0.3">
      <c r="A70" s="1">
        <v>36770</v>
      </c>
      <c r="B70">
        <v>99.8</v>
      </c>
      <c r="C70">
        <f t="shared" si="8"/>
        <v>-0.29999999999999716</v>
      </c>
      <c r="D70">
        <f t="shared" si="9"/>
        <v>100.1</v>
      </c>
      <c r="E70">
        <f t="shared" si="10"/>
        <v>0.69999999999998863</v>
      </c>
      <c r="F70">
        <f t="shared" ref="F70:I133" si="11">E69</f>
        <v>-9.9999999999994316E-2</v>
      </c>
      <c r="G70">
        <f t="shared" si="11"/>
        <v>9.9999999999994316E-2</v>
      </c>
      <c r="H70">
        <f t="shared" si="11"/>
        <v>0.10000000000000853</v>
      </c>
      <c r="I70">
        <f t="shared" si="11"/>
        <v>0.39999999999999147</v>
      </c>
      <c r="J70">
        <f t="shared" si="5"/>
        <v>-2.6999999999999886</v>
      </c>
      <c r="K70">
        <f t="shared" si="4"/>
        <v>1.1999999999999886</v>
      </c>
      <c r="L70">
        <f t="shared" si="4"/>
        <v>-9.9999999999994316E-2</v>
      </c>
      <c r="M70">
        <f t="shared" si="4"/>
        <v>9.9999999999994316E-2</v>
      </c>
      <c r="N70">
        <f t="shared" si="4"/>
        <v>1.4000000000000057</v>
      </c>
      <c r="O70">
        <f t="shared" si="7"/>
        <v>-0.40000000000000568</v>
      </c>
      <c r="P70">
        <f t="shared" si="6"/>
        <v>-0.19999999999998863</v>
      </c>
      <c r="R70">
        <v>-0.29999999999999716</v>
      </c>
      <c r="S70">
        <v>100.1</v>
      </c>
      <c r="T70">
        <v>0.69999999999998863</v>
      </c>
      <c r="U70">
        <v>-9.9999999999994316E-2</v>
      </c>
      <c r="V70">
        <v>9.9999999999994316E-2</v>
      </c>
      <c r="W70">
        <v>0.10000000000000853</v>
      </c>
      <c r="X70">
        <v>0.39999999999999147</v>
      </c>
      <c r="Y70">
        <v>-2.6999999999999886</v>
      </c>
      <c r="Z70">
        <v>1.1999999999999886</v>
      </c>
      <c r="AA70">
        <v>-9.9999999999994316E-2</v>
      </c>
      <c r="AB70">
        <v>9.9999999999994316E-2</v>
      </c>
      <c r="AC70">
        <v>1.4000000000000057</v>
      </c>
      <c r="AD70">
        <v>-0.40000000000000568</v>
      </c>
      <c r="AE70">
        <v>-0.19999999999998863</v>
      </c>
    </row>
    <row r="71" spans="1:31" x14ac:dyDescent="0.3">
      <c r="A71" s="1">
        <v>36800</v>
      </c>
      <c r="B71">
        <v>100.1</v>
      </c>
      <c r="C71">
        <f t="shared" si="8"/>
        <v>0.29999999999999716</v>
      </c>
      <c r="D71">
        <f t="shared" si="9"/>
        <v>99.8</v>
      </c>
      <c r="E71">
        <f t="shared" si="10"/>
        <v>-0.29999999999999716</v>
      </c>
      <c r="F71">
        <f t="shared" si="11"/>
        <v>0.69999999999998863</v>
      </c>
      <c r="G71">
        <f t="shared" si="11"/>
        <v>-9.9999999999994316E-2</v>
      </c>
      <c r="H71">
        <f t="shared" si="11"/>
        <v>9.9999999999994316E-2</v>
      </c>
      <c r="I71">
        <f t="shared" si="11"/>
        <v>0.10000000000000853</v>
      </c>
      <c r="J71">
        <f t="shared" si="5"/>
        <v>0.39999999999999147</v>
      </c>
      <c r="K71">
        <f t="shared" si="4"/>
        <v>-2.6999999999999886</v>
      </c>
      <c r="L71">
        <f t="shared" si="4"/>
        <v>1.1999999999999886</v>
      </c>
      <c r="M71">
        <f t="shared" si="4"/>
        <v>-9.9999999999994316E-2</v>
      </c>
      <c r="N71">
        <f t="shared" si="4"/>
        <v>9.9999999999994316E-2</v>
      </c>
      <c r="O71">
        <f t="shared" si="7"/>
        <v>1.4000000000000057</v>
      </c>
      <c r="P71">
        <f t="shared" si="6"/>
        <v>-0.40000000000000568</v>
      </c>
      <c r="R71">
        <v>0.29999999999999716</v>
      </c>
      <c r="S71">
        <v>99.8</v>
      </c>
      <c r="T71">
        <v>-0.29999999999999716</v>
      </c>
      <c r="U71">
        <v>0.69999999999998863</v>
      </c>
      <c r="V71">
        <v>-9.9999999999994316E-2</v>
      </c>
      <c r="W71">
        <v>9.9999999999994316E-2</v>
      </c>
      <c r="X71">
        <v>0.10000000000000853</v>
      </c>
      <c r="Y71">
        <v>0.39999999999999147</v>
      </c>
      <c r="Z71">
        <v>-2.6999999999999886</v>
      </c>
      <c r="AA71">
        <v>1.1999999999999886</v>
      </c>
      <c r="AB71">
        <v>-9.9999999999994316E-2</v>
      </c>
      <c r="AC71">
        <v>9.9999999999994316E-2</v>
      </c>
      <c r="AD71">
        <v>1.4000000000000057</v>
      </c>
      <c r="AE71">
        <v>-0.40000000000000568</v>
      </c>
    </row>
    <row r="72" spans="1:31" x14ac:dyDescent="0.3">
      <c r="A72" s="1">
        <v>36831</v>
      </c>
      <c r="B72">
        <v>100.9</v>
      </c>
      <c r="C72">
        <f t="shared" si="8"/>
        <v>0.80000000000001137</v>
      </c>
      <c r="D72">
        <f t="shared" si="9"/>
        <v>100.1</v>
      </c>
      <c r="E72">
        <f t="shared" si="10"/>
        <v>0.29999999999999716</v>
      </c>
      <c r="F72">
        <f t="shared" si="11"/>
        <v>-0.29999999999999716</v>
      </c>
      <c r="G72">
        <f t="shared" si="11"/>
        <v>0.69999999999998863</v>
      </c>
      <c r="H72">
        <f t="shared" si="11"/>
        <v>-9.9999999999994316E-2</v>
      </c>
      <c r="I72">
        <f t="shared" si="11"/>
        <v>9.9999999999994316E-2</v>
      </c>
      <c r="J72">
        <f t="shared" si="5"/>
        <v>0.10000000000000853</v>
      </c>
      <c r="K72">
        <f t="shared" si="4"/>
        <v>0.39999999999999147</v>
      </c>
      <c r="L72">
        <f t="shared" si="4"/>
        <v>-2.6999999999999886</v>
      </c>
      <c r="M72">
        <f t="shared" si="4"/>
        <v>1.1999999999999886</v>
      </c>
      <c r="N72">
        <f t="shared" si="4"/>
        <v>-9.9999999999994316E-2</v>
      </c>
      <c r="O72">
        <f t="shared" si="7"/>
        <v>9.9999999999994316E-2</v>
      </c>
      <c r="P72">
        <f t="shared" si="6"/>
        <v>1.4000000000000057</v>
      </c>
      <c r="R72">
        <v>0.80000000000001137</v>
      </c>
      <c r="S72">
        <v>100.1</v>
      </c>
      <c r="T72">
        <v>0.29999999999999716</v>
      </c>
      <c r="U72">
        <v>-0.29999999999999716</v>
      </c>
      <c r="V72">
        <v>0.69999999999998863</v>
      </c>
      <c r="W72">
        <v>-9.9999999999994316E-2</v>
      </c>
      <c r="X72">
        <v>9.9999999999994316E-2</v>
      </c>
      <c r="Y72">
        <v>0.10000000000000853</v>
      </c>
      <c r="Z72">
        <v>0.39999999999999147</v>
      </c>
      <c r="AA72">
        <v>-2.6999999999999886</v>
      </c>
      <c r="AB72">
        <v>1.1999999999999886</v>
      </c>
      <c r="AC72">
        <v>-9.9999999999994316E-2</v>
      </c>
      <c r="AD72">
        <v>9.9999999999994316E-2</v>
      </c>
      <c r="AE72">
        <v>1.4000000000000057</v>
      </c>
    </row>
    <row r="73" spans="1:31" x14ac:dyDescent="0.3">
      <c r="A73" s="1">
        <v>36861</v>
      </c>
      <c r="B73">
        <v>100.1</v>
      </c>
      <c r="C73">
        <f t="shared" si="8"/>
        <v>-0.80000000000001137</v>
      </c>
      <c r="D73">
        <f t="shared" si="9"/>
        <v>100.9</v>
      </c>
      <c r="E73">
        <f t="shared" si="10"/>
        <v>0.80000000000001137</v>
      </c>
      <c r="F73">
        <f t="shared" si="11"/>
        <v>0.29999999999999716</v>
      </c>
      <c r="G73">
        <f t="shared" si="11"/>
        <v>-0.29999999999999716</v>
      </c>
      <c r="H73">
        <f t="shared" si="11"/>
        <v>0.69999999999998863</v>
      </c>
      <c r="I73">
        <f t="shared" si="11"/>
        <v>-9.9999999999994316E-2</v>
      </c>
      <c r="J73">
        <f t="shared" si="5"/>
        <v>9.9999999999994316E-2</v>
      </c>
      <c r="K73">
        <f t="shared" si="4"/>
        <v>0.10000000000000853</v>
      </c>
      <c r="L73">
        <f t="shared" si="4"/>
        <v>0.39999999999999147</v>
      </c>
      <c r="M73">
        <f t="shared" si="4"/>
        <v>-2.6999999999999886</v>
      </c>
      <c r="N73">
        <f t="shared" si="4"/>
        <v>1.1999999999999886</v>
      </c>
      <c r="O73">
        <f t="shared" si="7"/>
        <v>-9.9999999999994316E-2</v>
      </c>
      <c r="P73">
        <f t="shared" si="6"/>
        <v>9.9999999999994316E-2</v>
      </c>
      <c r="R73">
        <v>-0.80000000000001137</v>
      </c>
      <c r="S73">
        <v>100.9</v>
      </c>
      <c r="T73">
        <v>0.80000000000001137</v>
      </c>
      <c r="U73">
        <v>0.29999999999999716</v>
      </c>
      <c r="V73">
        <v>-0.29999999999999716</v>
      </c>
      <c r="W73">
        <v>0.69999999999998863</v>
      </c>
      <c r="X73">
        <v>-9.9999999999994316E-2</v>
      </c>
      <c r="Y73">
        <v>9.9999999999994316E-2</v>
      </c>
      <c r="Z73">
        <v>0.10000000000000853</v>
      </c>
      <c r="AA73">
        <v>0.39999999999999147</v>
      </c>
      <c r="AB73">
        <v>-2.6999999999999886</v>
      </c>
      <c r="AC73">
        <v>1.1999999999999886</v>
      </c>
      <c r="AD73">
        <v>-9.9999999999994316E-2</v>
      </c>
      <c r="AE73">
        <v>9.9999999999994316E-2</v>
      </c>
    </row>
    <row r="74" spans="1:31" x14ac:dyDescent="0.3">
      <c r="A74" s="1">
        <v>36892</v>
      </c>
      <c r="B74">
        <v>100.3</v>
      </c>
      <c r="C74">
        <f t="shared" si="8"/>
        <v>0.20000000000000284</v>
      </c>
      <c r="D74">
        <f t="shared" si="9"/>
        <v>100.1</v>
      </c>
      <c r="E74">
        <f t="shared" si="10"/>
        <v>-0.80000000000001137</v>
      </c>
      <c r="F74">
        <f t="shared" si="11"/>
        <v>0.80000000000001137</v>
      </c>
      <c r="G74">
        <f t="shared" si="11"/>
        <v>0.29999999999999716</v>
      </c>
      <c r="H74">
        <f t="shared" si="11"/>
        <v>-0.29999999999999716</v>
      </c>
      <c r="I74">
        <f t="shared" si="11"/>
        <v>0.69999999999998863</v>
      </c>
      <c r="J74">
        <f t="shared" si="5"/>
        <v>-9.9999999999994316E-2</v>
      </c>
      <c r="K74">
        <f t="shared" si="4"/>
        <v>9.9999999999994316E-2</v>
      </c>
      <c r="L74">
        <f t="shared" si="4"/>
        <v>0.10000000000000853</v>
      </c>
      <c r="M74">
        <f t="shared" si="4"/>
        <v>0.39999999999999147</v>
      </c>
      <c r="N74">
        <f t="shared" si="4"/>
        <v>-2.6999999999999886</v>
      </c>
      <c r="O74">
        <f t="shared" si="7"/>
        <v>1.1999999999999886</v>
      </c>
      <c r="P74">
        <f t="shared" si="6"/>
        <v>-9.9999999999994316E-2</v>
      </c>
      <c r="R74">
        <v>0.20000000000000284</v>
      </c>
      <c r="S74">
        <v>100.1</v>
      </c>
      <c r="T74">
        <v>-0.80000000000001137</v>
      </c>
      <c r="U74">
        <v>0.80000000000001137</v>
      </c>
      <c r="V74">
        <v>0.29999999999999716</v>
      </c>
      <c r="W74">
        <v>-0.29999999999999716</v>
      </c>
      <c r="X74">
        <v>0.69999999999998863</v>
      </c>
      <c r="Y74">
        <v>-9.9999999999994316E-2</v>
      </c>
      <c r="Z74">
        <v>9.9999999999994316E-2</v>
      </c>
      <c r="AA74">
        <v>0.10000000000000853</v>
      </c>
      <c r="AB74">
        <v>0.39999999999999147</v>
      </c>
      <c r="AC74">
        <v>-2.6999999999999886</v>
      </c>
      <c r="AD74">
        <v>1.1999999999999886</v>
      </c>
      <c r="AE74">
        <v>-9.9999999999994316E-2</v>
      </c>
    </row>
    <row r="75" spans="1:31" x14ac:dyDescent="0.3">
      <c r="A75" s="1">
        <v>36923</v>
      </c>
      <c r="B75">
        <v>100.4</v>
      </c>
      <c r="C75">
        <f t="shared" si="8"/>
        <v>0.10000000000000853</v>
      </c>
      <c r="D75">
        <f t="shared" si="9"/>
        <v>100.3</v>
      </c>
      <c r="E75">
        <f t="shared" si="10"/>
        <v>0.20000000000000284</v>
      </c>
      <c r="F75">
        <f t="shared" si="11"/>
        <v>-0.80000000000001137</v>
      </c>
      <c r="G75">
        <f t="shared" si="11"/>
        <v>0.80000000000001137</v>
      </c>
      <c r="H75">
        <f t="shared" si="11"/>
        <v>0.29999999999999716</v>
      </c>
      <c r="I75">
        <f t="shared" si="11"/>
        <v>-0.29999999999999716</v>
      </c>
      <c r="J75">
        <f t="shared" si="5"/>
        <v>0.69999999999998863</v>
      </c>
      <c r="K75">
        <f t="shared" si="5"/>
        <v>-9.9999999999994316E-2</v>
      </c>
      <c r="L75">
        <f t="shared" si="5"/>
        <v>9.9999999999994316E-2</v>
      </c>
      <c r="M75">
        <f t="shared" si="5"/>
        <v>0.10000000000000853</v>
      </c>
      <c r="N75">
        <f t="shared" si="5"/>
        <v>0.39999999999999147</v>
      </c>
      <c r="O75">
        <f t="shared" si="7"/>
        <v>-2.6999999999999886</v>
      </c>
      <c r="P75">
        <f t="shared" si="6"/>
        <v>1.1999999999999886</v>
      </c>
      <c r="R75">
        <v>0.10000000000000853</v>
      </c>
      <c r="S75">
        <v>100.3</v>
      </c>
      <c r="T75">
        <v>0.20000000000000284</v>
      </c>
      <c r="U75">
        <v>-0.80000000000001137</v>
      </c>
      <c r="V75">
        <v>0.80000000000001137</v>
      </c>
      <c r="W75">
        <v>0.29999999999999716</v>
      </c>
      <c r="X75">
        <v>-0.29999999999999716</v>
      </c>
      <c r="Y75">
        <v>0.69999999999998863</v>
      </c>
      <c r="Z75">
        <v>-9.9999999999994316E-2</v>
      </c>
      <c r="AA75">
        <v>9.9999999999994316E-2</v>
      </c>
      <c r="AB75">
        <v>0.10000000000000853</v>
      </c>
      <c r="AC75">
        <v>0.39999999999999147</v>
      </c>
      <c r="AD75">
        <v>-2.6999999999999886</v>
      </c>
      <c r="AE75">
        <v>1.1999999999999886</v>
      </c>
    </row>
    <row r="76" spans="1:31" x14ac:dyDescent="0.3">
      <c r="A76" s="1">
        <v>36951</v>
      </c>
      <c r="B76">
        <v>99.3</v>
      </c>
      <c r="C76">
        <f t="shared" si="8"/>
        <v>-1.1000000000000085</v>
      </c>
      <c r="D76">
        <f t="shared" si="9"/>
        <v>100.4</v>
      </c>
      <c r="E76">
        <f t="shared" si="10"/>
        <v>0.10000000000000853</v>
      </c>
      <c r="F76">
        <f t="shared" si="11"/>
        <v>0.20000000000000284</v>
      </c>
      <c r="G76">
        <f t="shared" si="11"/>
        <v>-0.80000000000001137</v>
      </c>
      <c r="H76">
        <f t="shared" si="11"/>
        <v>0.80000000000001137</v>
      </c>
      <c r="I76">
        <f t="shared" si="11"/>
        <v>0.29999999999999716</v>
      </c>
      <c r="J76">
        <f t="shared" si="5"/>
        <v>-0.29999999999999716</v>
      </c>
      <c r="K76">
        <f t="shared" si="5"/>
        <v>0.69999999999998863</v>
      </c>
      <c r="L76">
        <f t="shared" si="5"/>
        <v>-9.9999999999994316E-2</v>
      </c>
      <c r="M76">
        <f t="shared" si="5"/>
        <v>9.9999999999994316E-2</v>
      </c>
      <c r="N76">
        <f t="shared" si="5"/>
        <v>0.10000000000000853</v>
      </c>
      <c r="O76">
        <f t="shared" si="7"/>
        <v>0.39999999999999147</v>
      </c>
      <c r="P76">
        <f t="shared" si="6"/>
        <v>-2.6999999999999886</v>
      </c>
      <c r="R76">
        <v>-1.1000000000000085</v>
      </c>
      <c r="S76">
        <v>100.4</v>
      </c>
      <c r="T76">
        <v>0.10000000000000853</v>
      </c>
      <c r="U76">
        <v>0.20000000000000284</v>
      </c>
      <c r="V76">
        <v>-0.80000000000001137</v>
      </c>
      <c r="W76">
        <v>0.80000000000001137</v>
      </c>
      <c r="X76">
        <v>0.29999999999999716</v>
      </c>
      <c r="Y76">
        <v>-0.29999999999999716</v>
      </c>
      <c r="Z76">
        <v>0.69999999999998863</v>
      </c>
      <c r="AA76">
        <v>-9.9999999999994316E-2</v>
      </c>
      <c r="AB76">
        <v>9.9999999999994316E-2</v>
      </c>
      <c r="AC76">
        <v>0.10000000000000853</v>
      </c>
      <c r="AD76">
        <v>0.39999999999999147</v>
      </c>
      <c r="AE76">
        <v>-2.6999999999999886</v>
      </c>
    </row>
    <row r="77" spans="1:31" x14ac:dyDescent="0.3">
      <c r="A77" s="1">
        <v>36982</v>
      </c>
      <c r="B77">
        <v>99.5</v>
      </c>
      <c r="C77">
        <f t="shared" si="8"/>
        <v>0.20000000000000284</v>
      </c>
      <c r="D77">
        <f t="shared" si="9"/>
        <v>99.3</v>
      </c>
      <c r="E77">
        <f t="shared" si="10"/>
        <v>-1.1000000000000085</v>
      </c>
      <c r="F77">
        <f t="shared" si="11"/>
        <v>0.10000000000000853</v>
      </c>
      <c r="G77">
        <f t="shared" si="11"/>
        <v>0.20000000000000284</v>
      </c>
      <c r="H77">
        <f t="shared" si="11"/>
        <v>-0.80000000000001137</v>
      </c>
      <c r="I77">
        <f t="shared" si="11"/>
        <v>0.80000000000001137</v>
      </c>
      <c r="J77">
        <f t="shared" si="5"/>
        <v>0.29999999999999716</v>
      </c>
      <c r="K77">
        <f t="shared" si="5"/>
        <v>-0.29999999999999716</v>
      </c>
      <c r="L77">
        <f t="shared" si="5"/>
        <v>0.69999999999998863</v>
      </c>
      <c r="M77">
        <f t="shared" si="5"/>
        <v>-9.9999999999994316E-2</v>
      </c>
      <c r="N77">
        <f t="shared" si="5"/>
        <v>9.9999999999994316E-2</v>
      </c>
      <c r="O77">
        <f t="shared" si="7"/>
        <v>0.10000000000000853</v>
      </c>
      <c r="P77">
        <f t="shared" si="6"/>
        <v>0.39999999999999147</v>
      </c>
      <c r="R77">
        <v>0.20000000000000284</v>
      </c>
      <c r="S77">
        <v>99.3</v>
      </c>
      <c r="T77">
        <v>-1.1000000000000085</v>
      </c>
      <c r="U77">
        <v>0.10000000000000853</v>
      </c>
      <c r="V77">
        <v>0.20000000000000284</v>
      </c>
      <c r="W77">
        <v>-0.80000000000001137</v>
      </c>
      <c r="X77">
        <v>0.80000000000001137</v>
      </c>
      <c r="Y77">
        <v>0.29999999999999716</v>
      </c>
      <c r="Z77">
        <v>-0.29999999999999716</v>
      </c>
      <c r="AA77">
        <v>0.69999999999998863</v>
      </c>
      <c r="AB77">
        <v>-9.9999999999994316E-2</v>
      </c>
      <c r="AC77">
        <v>9.9999999999994316E-2</v>
      </c>
      <c r="AD77">
        <v>0.10000000000000853</v>
      </c>
      <c r="AE77">
        <v>0.39999999999999147</v>
      </c>
    </row>
    <row r="78" spans="1:31" x14ac:dyDescent="0.3">
      <c r="A78" s="1">
        <v>37012</v>
      </c>
      <c r="B78">
        <v>99.8</v>
      </c>
      <c r="C78">
        <f t="shared" si="8"/>
        <v>0.29999999999999716</v>
      </c>
      <c r="D78">
        <f t="shared" si="9"/>
        <v>99.5</v>
      </c>
      <c r="E78">
        <f t="shared" si="10"/>
        <v>0.20000000000000284</v>
      </c>
      <c r="F78">
        <f t="shared" si="11"/>
        <v>-1.1000000000000085</v>
      </c>
      <c r="G78">
        <f t="shared" si="11"/>
        <v>0.10000000000000853</v>
      </c>
      <c r="H78">
        <f t="shared" si="11"/>
        <v>0.20000000000000284</v>
      </c>
      <c r="I78">
        <f t="shared" si="11"/>
        <v>-0.80000000000001137</v>
      </c>
      <c r="J78">
        <f t="shared" si="5"/>
        <v>0.80000000000001137</v>
      </c>
      <c r="K78">
        <f t="shared" si="5"/>
        <v>0.29999999999999716</v>
      </c>
      <c r="L78">
        <f t="shared" si="5"/>
        <v>-0.29999999999999716</v>
      </c>
      <c r="M78">
        <f t="shared" si="5"/>
        <v>0.69999999999998863</v>
      </c>
      <c r="N78">
        <f t="shared" si="5"/>
        <v>-9.9999999999994316E-2</v>
      </c>
      <c r="O78">
        <f t="shared" si="7"/>
        <v>9.9999999999994316E-2</v>
      </c>
      <c r="P78">
        <f t="shared" si="6"/>
        <v>0.10000000000000853</v>
      </c>
      <c r="R78">
        <v>0.29999999999999716</v>
      </c>
      <c r="S78">
        <v>99.5</v>
      </c>
      <c r="T78">
        <v>0.20000000000000284</v>
      </c>
      <c r="U78">
        <v>-1.1000000000000085</v>
      </c>
      <c r="V78">
        <v>0.10000000000000853</v>
      </c>
      <c r="W78">
        <v>0.20000000000000284</v>
      </c>
      <c r="X78">
        <v>-0.80000000000001137</v>
      </c>
      <c r="Y78">
        <v>0.80000000000001137</v>
      </c>
      <c r="Z78">
        <v>0.29999999999999716</v>
      </c>
      <c r="AA78">
        <v>-0.29999999999999716</v>
      </c>
      <c r="AB78">
        <v>0.69999999999998863</v>
      </c>
      <c r="AC78">
        <v>-9.9999999999994316E-2</v>
      </c>
      <c r="AD78">
        <v>9.9999999999994316E-2</v>
      </c>
      <c r="AE78">
        <v>0.10000000000000853</v>
      </c>
    </row>
    <row r="79" spans="1:31" x14ac:dyDescent="0.3">
      <c r="A79" s="1">
        <v>37043</v>
      </c>
      <c r="B79">
        <v>100</v>
      </c>
      <c r="C79">
        <f t="shared" si="8"/>
        <v>0.20000000000000284</v>
      </c>
      <c r="D79">
        <f t="shared" si="9"/>
        <v>99.8</v>
      </c>
      <c r="E79">
        <f t="shared" si="10"/>
        <v>0.29999999999999716</v>
      </c>
      <c r="F79">
        <f t="shared" si="11"/>
        <v>0.20000000000000284</v>
      </c>
      <c r="G79">
        <f t="shared" si="11"/>
        <v>-1.1000000000000085</v>
      </c>
      <c r="H79">
        <f t="shared" si="11"/>
        <v>0.10000000000000853</v>
      </c>
      <c r="I79">
        <f t="shared" si="11"/>
        <v>0.20000000000000284</v>
      </c>
      <c r="J79">
        <f t="shared" ref="J79:M142" si="12">I78</f>
        <v>-0.80000000000001137</v>
      </c>
      <c r="K79">
        <f t="shared" si="12"/>
        <v>0.80000000000001137</v>
      </c>
      <c r="L79">
        <f t="shared" si="12"/>
        <v>0.29999999999999716</v>
      </c>
      <c r="M79">
        <f t="shared" si="12"/>
        <v>-0.29999999999999716</v>
      </c>
      <c r="N79">
        <f t="shared" ref="N79:P142" si="13">M78</f>
        <v>0.69999999999998863</v>
      </c>
      <c r="O79">
        <f t="shared" si="7"/>
        <v>-9.9999999999994316E-2</v>
      </c>
      <c r="P79">
        <f t="shared" si="6"/>
        <v>9.9999999999994316E-2</v>
      </c>
      <c r="R79">
        <v>0.20000000000000284</v>
      </c>
      <c r="S79">
        <v>99.8</v>
      </c>
      <c r="T79">
        <v>0.29999999999999716</v>
      </c>
      <c r="U79">
        <v>0.20000000000000284</v>
      </c>
      <c r="V79">
        <v>-1.1000000000000085</v>
      </c>
      <c r="W79">
        <v>0.10000000000000853</v>
      </c>
      <c r="X79">
        <v>0.20000000000000284</v>
      </c>
      <c r="Y79">
        <v>-0.80000000000001137</v>
      </c>
      <c r="Z79">
        <v>0.80000000000001137</v>
      </c>
      <c r="AA79">
        <v>0.29999999999999716</v>
      </c>
      <c r="AB79">
        <v>-0.29999999999999716</v>
      </c>
      <c r="AC79">
        <v>0.69999999999998863</v>
      </c>
      <c r="AD79">
        <v>-9.9999999999994316E-2</v>
      </c>
      <c r="AE79">
        <v>9.9999999999994316E-2</v>
      </c>
    </row>
    <row r="80" spans="1:31" x14ac:dyDescent="0.3">
      <c r="A80" s="1">
        <v>37073</v>
      </c>
      <c r="B80">
        <v>99.8</v>
      </c>
      <c r="C80">
        <f t="shared" si="8"/>
        <v>-0.20000000000000284</v>
      </c>
      <c r="D80">
        <f t="shared" si="9"/>
        <v>100</v>
      </c>
      <c r="E80">
        <f t="shared" si="10"/>
        <v>0.20000000000000284</v>
      </c>
      <c r="F80">
        <f t="shared" si="11"/>
        <v>0.29999999999999716</v>
      </c>
      <c r="G80">
        <f t="shared" si="11"/>
        <v>0.20000000000000284</v>
      </c>
      <c r="H80">
        <f t="shared" si="11"/>
        <v>-1.1000000000000085</v>
      </c>
      <c r="I80">
        <f t="shared" si="11"/>
        <v>0.10000000000000853</v>
      </c>
      <c r="J80">
        <f t="shared" si="12"/>
        <v>0.20000000000000284</v>
      </c>
      <c r="K80">
        <f t="shared" si="12"/>
        <v>-0.80000000000001137</v>
      </c>
      <c r="L80">
        <f t="shared" si="12"/>
        <v>0.80000000000001137</v>
      </c>
      <c r="M80">
        <f t="shared" si="12"/>
        <v>0.29999999999999716</v>
      </c>
      <c r="N80">
        <f t="shared" si="13"/>
        <v>-0.29999999999999716</v>
      </c>
      <c r="O80">
        <f t="shared" si="7"/>
        <v>0.69999999999998863</v>
      </c>
      <c r="P80">
        <f t="shared" si="7"/>
        <v>-9.9999999999994316E-2</v>
      </c>
      <c r="R80">
        <v>-0.20000000000000284</v>
      </c>
      <c r="S80">
        <v>100</v>
      </c>
      <c r="T80">
        <v>0.20000000000000284</v>
      </c>
      <c r="U80">
        <v>0.29999999999999716</v>
      </c>
      <c r="V80">
        <v>0.20000000000000284</v>
      </c>
      <c r="W80">
        <v>-1.1000000000000085</v>
      </c>
      <c r="X80">
        <v>0.10000000000000853</v>
      </c>
      <c r="Y80">
        <v>0.20000000000000284</v>
      </c>
      <c r="Z80">
        <v>-0.80000000000001137</v>
      </c>
      <c r="AA80">
        <v>0.80000000000001137</v>
      </c>
      <c r="AB80">
        <v>0.29999999999999716</v>
      </c>
      <c r="AC80">
        <v>-0.29999999999999716</v>
      </c>
      <c r="AD80">
        <v>0.69999999999998863</v>
      </c>
      <c r="AE80">
        <v>-9.9999999999994316E-2</v>
      </c>
    </row>
    <row r="81" spans="1:31" x14ac:dyDescent="0.3">
      <c r="A81" s="1">
        <v>37104</v>
      </c>
      <c r="B81">
        <v>100</v>
      </c>
      <c r="C81">
        <f t="shared" si="8"/>
        <v>0.20000000000000284</v>
      </c>
      <c r="D81">
        <f t="shared" si="9"/>
        <v>99.8</v>
      </c>
      <c r="E81">
        <f t="shared" si="10"/>
        <v>-0.20000000000000284</v>
      </c>
      <c r="F81">
        <f t="shared" si="11"/>
        <v>0.20000000000000284</v>
      </c>
      <c r="G81">
        <f t="shared" si="11"/>
        <v>0.29999999999999716</v>
      </c>
      <c r="H81">
        <f t="shared" si="11"/>
        <v>0.20000000000000284</v>
      </c>
      <c r="I81">
        <f t="shared" si="11"/>
        <v>-1.1000000000000085</v>
      </c>
      <c r="J81">
        <f t="shared" si="12"/>
        <v>0.10000000000000853</v>
      </c>
      <c r="K81">
        <f t="shared" si="12"/>
        <v>0.20000000000000284</v>
      </c>
      <c r="L81">
        <f t="shared" si="12"/>
        <v>-0.80000000000001137</v>
      </c>
      <c r="M81">
        <f t="shared" si="12"/>
        <v>0.80000000000001137</v>
      </c>
      <c r="N81">
        <f t="shared" si="13"/>
        <v>0.29999999999999716</v>
      </c>
      <c r="O81">
        <f t="shared" si="7"/>
        <v>-0.29999999999999716</v>
      </c>
      <c r="P81">
        <f t="shared" si="7"/>
        <v>0.69999999999998863</v>
      </c>
      <c r="R81">
        <v>0.20000000000000284</v>
      </c>
      <c r="S81">
        <v>99.8</v>
      </c>
      <c r="T81">
        <v>-0.20000000000000284</v>
      </c>
      <c r="U81">
        <v>0.20000000000000284</v>
      </c>
      <c r="V81">
        <v>0.29999999999999716</v>
      </c>
      <c r="W81">
        <v>0.20000000000000284</v>
      </c>
      <c r="X81">
        <v>-1.1000000000000085</v>
      </c>
      <c r="Y81">
        <v>0.10000000000000853</v>
      </c>
      <c r="Z81">
        <v>0.20000000000000284</v>
      </c>
      <c r="AA81">
        <v>-0.80000000000001137</v>
      </c>
      <c r="AB81">
        <v>0.80000000000001137</v>
      </c>
      <c r="AC81">
        <v>0.29999999999999716</v>
      </c>
      <c r="AD81">
        <v>-0.29999999999999716</v>
      </c>
      <c r="AE81">
        <v>0.69999999999998863</v>
      </c>
    </row>
    <row r="82" spans="1:31" x14ac:dyDescent="0.3">
      <c r="A82" s="1">
        <v>37135</v>
      </c>
      <c r="B82">
        <v>100.5</v>
      </c>
      <c r="C82">
        <f t="shared" si="8"/>
        <v>0.5</v>
      </c>
      <c r="D82">
        <f t="shared" si="9"/>
        <v>100</v>
      </c>
      <c r="E82">
        <f t="shared" si="10"/>
        <v>0.20000000000000284</v>
      </c>
      <c r="F82">
        <f t="shared" si="11"/>
        <v>-0.20000000000000284</v>
      </c>
      <c r="G82">
        <f t="shared" si="11"/>
        <v>0.20000000000000284</v>
      </c>
      <c r="H82">
        <f t="shared" si="11"/>
        <v>0.29999999999999716</v>
      </c>
      <c r="I82">
        <f t="shared" si="11"/>
        <v>0.20000000000000284</v>
      </c>
      <c r="J82">
        <f t="shared" si="12"/>
        <v>-1.1000000000000085</v>
      </c>
      <c r="K82">
        <f t="shared" si="12"/>
        <v>0.10000000000000853</v>
      </c>
      <c r="L82">
        <f t="shared" si="12"/>
        <v>0.20000000000000284</v>
      </c>
      <c r="M82">
        <f t="shared" si="12"/>
        <v>-0.80000000000001137</v>
      </c>
      <c r="N82">
        <f t="shared" si="13"/>
        <v>0.80000000000001137</v>
      </c>
      <c r="O82">
        <f t="shared" si="7"/>
        <v>0.29999999999999716</v>
      </c>
      <c r="P82">
        <f t="shared" si="7"/>
        <v>-0.29999999999999716</v>
      </c>
      <c r="R82">
        <v>0.5</v>
      </c>
      <c r="S82">
        <v>100</v>
      </c>
      <c r="T82">
        <v>0.20000000000000284</v>
      </c>
      <c r="U82">
        <v>-0.20000000000000284</v>
      </c>
      <c r="V82">
        <v>0.20000000000000284</v>
      </c>
      <c r="W82">
        <v>0.29999999999999716</v>
      </c>
      <c r="X82">
        <v>0.20000000000000284</v>
      </c>
      <c r="Y82">
        <v>-1.1000000000000085</v>
      </c>
      <c r="Z82">
        <v>0.10000000000000853</v>
      </c>
      <c r="AA82">
        <v>0.20000000000000284</v>
      </c>
      <c r="AB82">
        <v>-0.80000000000001137</v>
      </c>
      <c r="AC82">
        <v>0.80000000000001137</v>
      </c>
      <c r="AD82">
        <v>0.29999999999999716</v>
      </c>
      <c r="AE82">
        <v>-0.29999999999999716</v>
      </c>
    </row>
    <row r="83" spans="1:31" x14ac:dyDescent="0.3">
      <c r="A83" s="1">
        <v>37165</v>
      </c>
      <c r="B83">
        <v>100</v>
      </c>
      <c r="C83">
        <f t="shared" si="8"/>
        <v>-0.5</v>
      </c>
      <c r="D83">
        <f t="shared" si="9"/>
        <v>100.5</v>
      </c>
      <c r="E83">
        <f t="shared" si="10"/>
        <v>0.5</v>
      </c>
      <c r="F83">
        <f t="shared" si="11"/>
        <v>0.20000000000000284</v>
      </c>
      <c r="G83">
        <f t="shared" si="11"/>
        <v>-0.20000000000000284</v>
      </c>
      <c r="H83">
        <f t="shared" si="11"/>
        <v>0.20000000000000284</v>
      </c>
      <c r="I83">
        <f t="shared" si="11"/>
        <v>0.29999999999999716</v>
      </c>
      <c r="J83">
        <f t="shared" si="12"/>
        <v>0.20000000000000284</v>
      </c>
      <c r="K83">
        <f t="shared" si="12"/>
        <v>-1.1000000000000085</v>
      </c>
      <c r="L83">
        <f t="shared" si="12"/>
        <v>0.10000000000000853</v>
      </c>
      <c r="M83">
        <f t="shared" si="12"/>
        <v>0.20000000000000284</v>
      </c>
      <c r="N83">
        <f t="shared" si="13"/>
        <v>-0.80000000000001137</v>
      </c>
      <c r="O83">
        <f t="shared" si="7"/>
        <v>0.80000000000001137</v>
      </c>
      <c r="P83">
        <f t="shared" si="7"/>
        <v>0.29999999999999716</v>
      </c>
      <c r="R83">
        <v>-0.5</v>
      </c>
      <c r="S83">
        <v>100.5</v>
      </c>
      <c r="T83">
        <v>0.5</v>
      </c>
      <c r="U83">
        <v>0.20000000000000284</v>
      </c>
      <c r="V83">
        <v>-0.20000000000000284</v>
      </c>
      <c r="W83">
        <v>0.20000000000000284</v>
      </c>
      <c r="X83">
        <v>0.29999999999999716</v>
      </c>
      <c r="Y83">
        <v>0.20000000000000284</v>
      </c>
      <c r="Z83">
        <v>-1.1000000000000085</v>
      </c>
      <c r="AA83">
        <v>0.10000000000000853</v>
      </c>
      <c r="AB83">
        <v>0.20000000000000284</v>
      </c>
      <c r="AC83">
        <v>-0.80000000000001137</v>
      </c>
      <c r="AD83">
        <v>0.80000000000001137</v>
      </c>
      <c r="AE83">
        <v>0.29999999999999716</v>
      </c>
    </row>
    <row r="84" spans="1:31" x14ac:dyDescent="0.3">
      <c r="A84" s="1">
        <v>37196</v>
      </c>
      <c r="B84">
        <v>100.2</v>
      </c>
      <c r="C84">
        <f t="shared" si="8"/>
        <v>0.20000000000000284</v>
      </c>
      <c r="D84">
        <f t="shared" si="9"/>
        <v>100</v>
      </c>
      <c r="E84">
        <f t="shared" si="10"/>
        <v>-0.5</v>
      </c>
      <c r="F84">
        <f t="shared" si="11"/>
        <v>0.5</v>
      </c>
      <c r="G84">
        <f t="shared" si="11"/>
        <v>0.20000000000000284</v>
      </c>
      <c r="H84">
        <f t="shared" si="11"/>
        <v>-0.20000000000000284</v>
      </c>
      <c r="I84">
        <f t="shared" si="11"/>
        <v>0.20000000000000284</v>
      </c>
      <c r="J84">
        <f t="shared" si="12"/>
        <v>0.29999999999999716</v>
      </c>
      <c r="K84">
        <f t="shared" si="12"/>
        <v>0.20000000000000284</v>
      </c>
      <c r="L84">
        <f t="shared" si="12"/>
        <v>-1.1000000000000085</v>
      </c>
      <c r="M84">
        <f t="shared" si="12"/>
        <v>0.10000000000000853</v>
      </c>
      <c r="N84">
        <f t="shared" si="13"/>
        <v>0.20000000000000284</v>
      </c>
      <c r="O84">
        <f t="shared" si="13"/>
        <v>-0.80000000000001137</v>
      </c>
      <c r="P84">
        <f t="shared" si="13"/>
        <v>0.80000000000001137</v>
      </c>
      <c r="R84">
        <v>0.20000000000000284</v>
      </c>
      <c r="S84">
        <v>100</v>
      </c>
      <c r="T84">
        <v>-0.5</v>
      </c>
      <c r="U84">
        <v>0.5</v>
      </c>
      <c r="V84">
        <v>0.20000000000000284</v>
      </c>
      <c r="W84">
        <v>-0.20000000000000284</v>
      </c>
      <c r="X84">
        <v>0.20000000000000284</v>
      </c>
      <c r="Y84">
        <v>0.29999999999999716</v>
      </c>
      <c r="Z84">
        <v>0.20000000000000284</v>
      </c>
      <c r="AA84">
        <v>-1.1000000000000085</v>
      </c>
      <c r="AB84">
        <v>0.10000000000000853</v>
      </c>
      <c r="AC84">
        <v>0.20000000000000284</v>
      </c>
      <c r="AD84">
        <v>-0.80000000000001137</v>
      </c>
      <c r="AE84">
        <v>0.80000000000001137</v>
      </c>
    </row>
    <row r="85" spans="1:31" x14ac:dyDescent="0.3">
      <c r="A85" s="1">
        <v>37226</v>
      </c>
      <c r="B85">
        <v>101</v>
      </c>
      <c r="C85">
        <f t="shared" si="8"/>
        <v>0.79999999999999716</v>
      </c>
      <c r="D85">
        <f t="shared" si="9"/>
        <v>100.2</v>
      </c>
      <c r="E85">
        <f t="shared" si="10"/>
        <v>0.20000000000000284</v>
      </c>
      <c r="F85">
        <f t="shared" si="11"/>
        <v>-0.5</v>
      </c>
      <c r="G85">
        <f t="shared" si="11"/>
        <v>0.5</v>
      </c>
      <c r="H85">
        <f t="shared" si="11"/>
        <v>0.20000000000000284</v>
      </c>
      <c r="I85">
        <f t="shared" si="11"/>
        <v>-0.20000000000000284</v>
      </c>
      <c r="J85">
        <f t="shared" si="12"/>
        <v>0.20000000000000284</v>
      </c>
      <c r="K85">
        <f t="shared" si="12"/>
        <v>0.29999999999999716</v>
      </c>
      <c r="L85">
        <f t="shared" si="12"/>
        <v>0.20000000000000284</v>
      </c>
      <c r="M85">
        <f t="shared" si="12"/>
        <v>-1.1000000000000085</v>
      </c>
      <c r="N85">
        <f t="shared" si="13"/>
        <v>0.10000000000000853</v>
      </c>
      <c r="O85">
        <f t="shared" si="13"/>
        <v>0.20000000000000284</v>
      </c>
      <c r="P85">
        <f t="shared" si="13"/>
        <v>-0.80000000000001137</v>
      </c>
      <c r="R85">
        <v>0.79999999999999716</v>
      </c>
      <c r="S85">
        <v>100.2</v>
      </c>
      <c r="T85">
        <v>0.20000000000000284</v>
      </c>
      <c r="U85">
        <v>-0.5</v>
      </c>
      <c r="V85">
        <v>0.5</v>
      </c>
      <c r="W85">
        <v>0.20000000000000284</v>
      </c>
      <c r="X85">
        <v>-0.20000000000000284</v>
      </c>
      <c r="Y85">
        <v>0.20000000000000284</v>
      </c>
      <c r="Z85">
        <v>0.29999999999999716</v>
      </c>
      <c r="AA85">
        <v>0.20000000000000284</v>
      </c>
      <c r="AB85">
        <v>-1.1000000000000085</v>
      </c>
      <c r="AC85">
        <v>0.10000000000000853</v>
      </c>
      <c r="AD85">
        <v>0.20000000000000284</v>
      </c>
      <c r="AE85">
        <v>-0.80000000000001137</v>
      </c>
    </row>
    <row r="86" spans="1:31" x14ac:dyDescent="0.3">
      <c r="A86" s="1">
        <v>37257</v>
      </c>
      <c r="B86">
        <v>101.1</v>
      </c>
      <c r="C86">
        <f t="shared" si="8"/>
        <v>9.9999999999994316E-2</v>
      </c>
      <c r="D86">
        <f t="shared" si="9"/>
        <v>101</v>
      </c>
      <c r="E86">
        <f t="shared" si="10"/>
        <v>0.79999999999999716</v>
      </c>
      <c r="F86">
        <f t="shared" si="11"/>
        <v>0.20000000000000284</v>
      </c>
      <c r="G86">
        <f t="shared" si="11"/>
        <v>-0.5</v>
      </c>
      <c r="H86">
        <f t="shared" si="11"/>
        <v>0.5</v>
      </c>
      <c r="I86">
        <f t="shared" si="11"/>
        <v>0.20000000000000284</v>
      </c>
      <c r="J86">
        <f t="shared" si="12"/>
        <v>-0.20000000000000284</v>
      </c>
      <c r="K86">
        <f t="shared" si="12"/>
        <v>0.20000000000000284</v>
      </c>
      <c r="L86">
        <f t="shared" si="12"/>
        <v>0.29999999999999716</v>
      </c>
      <c r="M86">
        <f t="shared" si="12"/>
        <v>0.20000000000000284</v>
      </c>
      <c r="N86">
        <f t="shared" si="13"/>
        <v>-1.1000000000000085</v>
      </c>
      <c r="O86">
        <f t="shared" si="13"/>
        <v>0.10000000000000853</v>
      </c>
      <c r="P86">
        <f t="shared" si="13"/>
        <v>0.20000000000000284</v>
      </c>
      <c r="R86">
        <v>9.9999999999994316E-2</v>
      </c>
      <c r="S86">
        <v>101</v>
      </c>
      <c r="T86">
        <v>0.79999999999999716</v>
      </c>
      <c r="U86">
        <v>0.20000000000000284</v>
      </c>
      <c r="V86">
        <v>-0.5</v>
      </c>
      <c r="W86">
        <v>0.5</v>
      </c>
      <c r="X86">
        <v>0.20000000000000284</v>
      </c>
      <c r="Y86">
        <v>-0.20000000000000284</v>
      </c>
      <c r="Z86">
        <v>0.20000000000000284</v>
      </c>
      <c r="AA86">
        <v>0.29999999999999716</v>
      </c>
      <c r="AB86">
        <v>0.20000000000000284</v>
      </c>
      <c r="AC86">
        <v>-1.1000000000000085</v>
      </c>
      <c r="AD86">
        <v>0.10000000000000853</v>
      </c>
      <c r="AE86">
        <v>0.20000000000000284</v>
      </c>
    </row>
    <row r="87" spans="1:31" x14ac:dyDescent="0.3">
      <c r="A87" s="1">
        <v>37288</v>
      </c>
      <c r="B87">
        <v>102.2</v>
      </c>
      <c r="C87">
        <f t="shared" si="8"/>
        <v>1.1000000000000085</v>
      </c>
      <c r="D87">
        <f t="shared" si="9"/>
        <v>101.1</v>
      </c>
      <c r="E87">
        <f t="shared" si="10"/>
        <v>9.9999999999994316E-2</v>
      </c>
      <c r="F87">
        <f t="shared" si="11"/>
        <v>0.79999999999999716</v>
      </c>
      <c r="G87">
        <f t="shared" si="11"/>
        <v>0.20000000000000284</v>
      </c>
      <c r="H87">
        <f t="shared" si="11"/>
        <v>-0.5</v>
      </c>
      <c r="I87">
        <f t="shared" si="11"/>
        <v>0.5</v>
      </c>
      <c r="J87">
        <f t="shared" si="12"/>
        <v>0.20000000000000284</v>
      </c>
      <c r="K87">
        <f t="shared" si="12"/>
        <v>-0.20000000000000284</v>
      </c>
      <c r="L87">
        <f t="shared" si="12"/>
        <v>0.20000000000000284</v>
      </c>
      <c r="M87">
        <f t="shared" si="12"/>
        <v>0.29999999999999716</v>
      </c>
      <c r="N87">
        <f t="shared" si="13"/>
        <v>0.20000000000000284</v>
      </c>
      <c r="O87">
        <f t="shared" si="13"/>
        <v>-1.1000000000000085</v>
      </c>
      <c r="P87">
        <f t="shared" si="13"/>
        <v>0.10000000000000853</v>
      </c>
      <c r="R87">
        <v>1.1000000000000085</v>
      </c>
      <c r="S87">
        <v>101.1</v>
      </c>
      <c r="T87">
        <v>9.9999999999994316E-2</v>
      </c>
      <c r="U87">
        <v>0.79999999999999716</v>
      </c>
      <c r="V87">
        <v>0.20000000000000284</v>
      </c>
      <c r="W87">
        <v>-0.5</v>
      </c>
      <c r="X87">
        <v>0.5</v>
      </c>
      <c r="Y87">
        <v>0.20000000000000284</v>
      </c>
      <c r="Z87">
        <v>-0.20000000000000284</v>
      </c>
      <c r="AA87">
        <v>0.20000000000000284</v>
      </c>
      <c r="AB87">
        <v>0.29999999999999716</v>
      </c>
      <c r="AC87">
        <v>0.20000000000000284</v>
      </c>
      <c r="AD87">
        <v>-1.1000000000000085</v>
      </c>
      <c r="AE87">
        <v>0.10000000000000853</v>
      </c>
    </row>
    <row r="88" spans="1:31" x14ac:dyDescent="0.3">
      <c r="A88" s="1">
        <v>37316</v>
      </c>
      <c r="B88">
        <v>99.2</v>
      </c>
      <c r="C88">
        <f t="shared" si="8"/>
        <v>-3</v>
      </c>
      <c r="D88">
        <f t="shared" si="9"/>
        <v>102.2</v>
      </c>
      <c r="E88">
        <f t="shared" si="10"/>
        <v>1.1000000000000085</v>
      </c>
      <c r="F88">
        <f t="shared" si="11"/>
        <v>9.9999999999994316E-2</v>
      </c>
      <c r="G88">
        <f t="shared" si="11"/>
        <v>0.79999999999999716</v>
      </c>
      <c r="H88">
        <f t="shared" si="11"/>
        <v>0.20000000000000284</v>
      </c>
      <c r="I88">
        <f t="shared" si="11"/>
        <v>-0.5</v>
      </c>
      <c r="J88">
        <f t="shared" si="12"/>
        <v>0.5</v>
      </c>
      <c r="K88">
        <f t="shared" si="12"/>
        <v>0.20000000000000284</v>
      </c>
      <c r="L88">
        <f t="shared" si="12"/>
        <v>-0.20000000000000284</v>
      </c>
      <c r="M88">
        <f t="shared" si="12"/>
        <v>0.20000000000000284</v>
      </c>
      <c r="N88">
        <f t="shared" si="13"/>
        <v>0.29999999999999716</v>
      </c>
      <c r="O88">
        <f t="shared" si="13"/>
        <v>0.20000000000000284</v>
      </c>
      <c r="P88">
        <f t="shared" si="13"/>
        <v>-1.1000000000000085</v>
      </c>
      <c r="R88">
        <v>-3</v>
      </c>
      <c r="S88">
        <v>102.2</v>
      </c>
      <c r="T88">
        <v>1.1000000000000085</v>
      </c>
      <c r="U88">
        <v>9.9999999999994316E-2</v>
      </c>
      <c r="V88">
        <v>0.79999999999999716</v>
      </c>
      <c r="W88">
        <v>0.20000000000000284</v>
      </c>
      <c r="X88">
        <v>-0.5</v>
      </c>
      <c r="Y88">
        <v>0.5</v>
      </c>
      <c r="Z88">
        <v>0.20000000000000284</v>
      </c>
      <c r="AA88">
        <v>-0.20000000000000284</v>
      </c>
      <c r="AB88">
        <v>0.20000000000000284</v>
      </c>
      <c r="AC88">
        <v>0.29999999999999716</v>
      </c>
      <c r="AD88">
        <v>0.20000000000000284</v>
      </c>
      <c r="AE88">
        <v>-1.1000000000000085</v>
      </c>
    </row>
    <row r="89" spans="1:31" x14ac:dyDescent="0.3">
      <c r="A89" s="1">
        <v>37347</v>
      </c>
      <c r="B89">
        <v>100</v>
      </c>
      <c r="C89">
        <f t="shared" si="8"/>
        <v>0.79999999999999716</v>
      </c>
      <c r="D89">
        <f t="shared" si="9"/>
        <v>99.2</v>
      </c>
      <c r="E89">
        <f t="shared" si="10"/>
        <v>-3</v>
      </c>
      <c r="F89">
        <f t="shared" si="11"/>
        <v>1.1000000000000085</v>
      </c>
      <c r="G89">
        <f t="shared" si="11"/>
        <v>9.9999999999994316E-2</v>
      </c>
      <c r="H89">
        <f t="shared" si="11"/>
        <v>0.79999999999999716</v>
      </c>
      <c r="I89">
        <f t="shared" si="11"/>
        <v>0.20000000000000284</v>
      </c>
      <c r="J89">
        <f t="shared" si="12"/>
        <v>-0.5</v>
      </c>
      <c r="K89">
        <f t="shared" si="12"/>
        <v>0.5</v>
      </c>
      <c r="L89">
        <f t="shared" si="12"/>
        <v>0.20000000000000284</v>
      </c>
      <c r="M89">
        <f t="shared" si="12"/>
        <v>-0.20000000000000284</v>
      </c>
      <c r="N89">
        <f t="shared" si="13"/>
        <v>0.20000000000000284</v>
      </c>
      <c r="O89">
        <f t="shared" si="13"/>
        <v>0.29999999999999716</v>
      </c>
      <c r="P89">
        <f t="shared" si="13"/>
        <v>0.20000000000000284</v>
      </c>
      <c r="R89">
        <v>0.79999999999999716</v>
      </c>
      <c r="S89">
        <v>99.2</v>
      </c>
      <c r="T89">
        <v>-3</v>
      </c>
      <c r="U89">
        <v>1.1000000000000085</v>
      </c>
      <c r="V89">
        <v>9.9999999999994316E-2</v>
      </c>
      <c r="W89">
        <v>0.79999999999999716</v>
      </c>
      <c r="X89">
        <v>0.20000000000000284</v>
      </c>
      <c r="Y89">
        <v>-0.5</v>
      </c>
      <c r="Z89">
        <v>0.5</v>
      </c>
      <c r="AA89">
        <v>0.20000000000000284</v>
      </c>
      <c r="AB89">
        <v>-0.20000000000000284</v>
      </c>
      <c r="AC89">
        <v>0.20000000000000284</v>
      </c>
      <c r="AD89">
        <v>0.29999999999999716</v>
      </c>
      <c r="AE89">
        <v>0.20000000000000284</v>
      </c>
    </row>
    <row r="90" spans="1:31" x14ac:dyDescent="0.3">
      <c r="A90" s="1">
        <v>37377</v>
      </c>
      <c r="B90">
        <v>100.3</v>
      </c>
      <c r="C90">
        <f t="shared" si="8"/>
        <v>0.29999999999999716</v>
      </c>
      <c r="D90">
        <f t="shared" si="9"/>
        <v>100</v>
      </c>
      <c r="E90">
        <f t="shared" si="10"/>
        <v>0.79999999999999716</v>
      </c>
      <c r="F90">
        <f t="shared" si="11"/>
        <v>-3</v>
      </c>
      <c r="G90">
        <f t="shared" si="11"/>
        <v>1.1000000000000085</v>
      </c>
      <c r="H90">
        <f t="shared" si="11"/>
        <v>9.9999999999994316E-2</v>
      </c>
      <c r="I90">
        <f t="shared" si="11"/>
        <v>0.79999999999999716</v>
      </c>
      <c r="J90">
        <f t="shared" si="12"/>
        <v>0.20000000000000284</v>
      </c>
      <c r="K90">
        <f t="shared" si="12"/>
        <v>-0.5</v>
      </c>
      <c r="L90">
        <f t="shared" si="12"/>
        <v>0.5</v>
      </c>
      <c r="M90">
        <f t="shared" si="12"/>
        <v>0.20000000000000284</v>
      </c>
      <c r="N90">
        <f t="shared" si="13"/>
        <v>-0.20000000000000284</v>
      </c>
      <c r="O90">
        <f t="shared" si="13"/>
        <v>0.20000000000000284</v>
      </c>
      <c r="P90">
        <f t="shared" si="13"/>
        <v>0.29999999999999716</v>
      </c>
      <c r="R90">
        <v>0.29999999999999716</v>
      </c>
      <c r="S90">
        <v>100</v>
      </c>
      <c r="T90">
        <v>0.79999999999999716</v>
      </c>
      <c r="U90">
        <v>-3</v>
      </c>
      <c r="V90">
        <v>1.1000000000000085</v>
      </c>
      <c r="W90">
        <v>9.9999999999994316E-2</v>
      </c>
      <c r="X90">
        <v>0.79999999999999716</v>
      </c>
      <c r="Y90">
        <v>0.20000000000000284</v>
      </c>
      <c r="Z90">
        <v>-0.5</v>
      </c>
      <c r="AA90">
        <v>0.5</v>
      </c>
      <c r="AB90">
        <v>0.20000000000000284</v>
      </c>
      <c r="AC90">
        <v>-0.20000000000000284</v>
      </c>
      <c r="AD90">
        <v>0.20000000000000284</v>
      </c>
      <c r="AE90">
        <v>0.29999999999999716</v>
      </c>
    </row>
    <row r="91" spans="1:31" x14ac:dyDescent="0.3">
      <c r="A91" s="1">
        <v>37408</v>
      </c>
      <c r="B91">
        <v>100.1</v>
      </c>
      <c r="C91">
        <f t="shared" si="8"/>
        <v>-0.20000000000000284</v>
      </c>
      <c r="D91">
        <f t="shared" si="9"/>
        <v>100.3</v>
      </c>
      <c r="E91">
        <f t="shared" si="10"/>
        <v>0.29999999999999716</v>
      </c>
      <c r="F91">
        <f t="shared" si="11"/>
        <v>0.79999999999999716</v>
      </c>
      <c r="G91">
        <f t="shared" si="11"/>
        <v>-3</v>
      </c>
      <c r="H91">
        <f t="shared" si="11"/>
        <v>1.1000000000000085</v>
      </c>
      <c r="I91">
        <f t="shared" si="11"/>
        <v>9.9999999999994316E-2</v>
      </c>
      <c r="J91">
        <f t="shared" si="12"/>
        <v>0.79999999999999716</v>
      </c>
      <c r="K91">
        <f t="shared" si="12"/>
        <v>0.20000000000000284</v>
      </c>
      <c r="L91">
        <f t="shared" si="12"/>
        <v>-0.5</v>
      </c>
      <c r="M91">
        <f t="shared" si="12"/>
        <v>0.5</v>
      </c>
      <c r="N91">
        <f t="shared" si="13"/>
        <v>0.20000000000000284</v>
      </c>
      <c r="O91">
        <f t="shared" si="13"/>
        <v>-0.20000000000000284</v>
      </c>
      <c r="P91">
        <f t="shared" si="13"/>
        <v>0.20000000000000284</v>
      </c>
      <c r="R91">
        <v>-0.20000000000000284</v>
      </c>
      <c r="S91">
        <v>100.3</v>
      </c>
      <c r="T91">
        <v>0.29999999999999716</v>
      </c>
      <c r="U91">
        <v>0.79999999999999716</v>
      </c>
      <c r="V91">
        <v>-3</v>
      </c>
      <c r="W91">
        <v>1.1000000000000085</v>
      </c>
      <c r="X91">
        <v>9.9999999999994316E-2</v>
      </c>
      <c r="Y91">
        <v>0.79999999999999716</v>
      </c>
      <c r="Z91">
        <v>0.20000000000000284</v>
      </c>
      <c r="AA91">
        <v>-0.5</v>
      </c>
      <c r="AB91">
        <v>0.5</v>
      </c>
      <c r="AC91">
        <v>0.20000000000000284</v>
      </c>
      <c r="AD91">
        <v>-0.20000000000000284</v>
      </c>
      <c r="AE91">
        <v>0.20000000000000284</v>
      </c>
    </row>
    <row r="92" spans="1:31" x14ac:dyDescent="0.3">
      <c r="A92" s="1">
        <v>37438</v>
      </c>
      <c r="B92">
        <v>99.9</v>
      </c>
      <c r="C92">
        <f t="shared" si="8"/>
        <v>-0.19999999999998863</v>
      </c>
      <c r="D92">
        <f t="shared" si="9"/>
        <v>100.1</v>
      </c>
      <c r="E92">
        <f t="shared" si="10"/>
        <v>-0.20000000000000284</v>
      </c>
      <c r="F92">
        <f t="shared" si="11"/>
        <v>0.29999999999999716</v>
      </c>
      <c r="G92">
        <f t="shared" si="11"/>
        <v>0.79999999999999716</v>
      </c>
      <c r="H92">
        <f t="shared" si="11"/>
        <v>-3</v>
      </c>
      <c r="I92">
        <f t="shared" si="11"/>
        <v>1.1000000000000085</v>
      </c>
      <c r="J92">
        <f t="shared" si="12"/>
        <v>9.9999999999994316E-2</v>
      </c>
      <c r="K92">
        <f t="shared" si="12"/>
        <v>0.79999999999999716</v>
      </c>
      <c r="L92">
        <f t="shared" si="12"/>
        <v>0.20000000000000284</v>
      </c>
      <c r="M92">
        <f t="shared" si="12"/>
        <v>-0.5</v>
      </c>
      <c r="N92">
        <f t="shared" si="13"/>
        <v>0.5</v>
      </c>
      <c r="O92">
        <f t="shared" si="13"/>
        <v>0.20000000000000284</v>
      </c>
      <c r="P92">
        <f t="shared" si="13"/>
        <v>-0.20000000000000284</v>
      </c>
      <c r="R92">
        <v>-0.19999999999998863</v>
      </c>
      <c r="S92">
        <v>100.1</v>
      </c>
      <c r="T92">
        <v>-0.20000000000000284</v>
      </c>
      <c r="U92">
        <v>0.29999999999999716</v>
      </c>
      <c r="V92">
        <v>0.79999999999999716</v>
      </c>
      <c r="W92">
        <v>-3</v>
      </c>
      <c r="X92">
        <v>1.1000000000000085</v>
      </c>
      <c r="Y92">
        <v>9.9999999999994316E-2</v>
      </c>
      <c r="Z92">
        <v>0.79999999999999716</v>
      </c>
      <c r="AA92">
        <v>0.20000000000000284</v>
      </c>
      <c r="AB92">
        <v>-0.5</v>
      </c>
      <c r="AC92">
        <v>0.5</v>
      </c>
      <c r="AD92">
        <v>0.20000000000000284</v>
      </c>
      <c r="AE92">
        <v>-0.20000000000000284</v>
      </c>
    </row>
    <row r="93" spans="1:31" x14ac:dyDescent="0.3">
      <c r="A93" s="1">
        <v>37469</v>
      </c>
      <c r="B93">
        <v>100.1</v>
      </c>
      <c r="C93">
        <f t="shared" si="8"/>
        <v>0.19999999999998863</v>
      </c>
      <c r="D93">
        <f t="shared" si="9"/>
        <v>99.9</v>
      </c>
      <c r="E93">
        <f t="shared" si="10"/>
        <v>-0.19999999999998863</v>
      </c>
      <c r="F93">
        <f t="shared" si="11"/>
        <v>-0.20000000000000284</v>
      </c>
      <c r="G93">
        <f t="shared" si="11"/>
        <v>0.29999999999999716</v>
      </c>
      <c r="H93">
        <f t="shared" si="11"/>
        <v>0.79999999999999716</v>
      </c>
      <c r="I93">
        <f t="shared" si="11"/>
        <v>-3</v>
      </c>
      <c r="J93">
        <f t="shared" si="12"/>
        <v>1.1000000000000085</v>
      </c>
      <c r="K93">
        <f t="shared" si="12"/>
        <v>9.9999999999994316E-2</v>
      </c>
      <c r="L93">
        <f t="shared" si="12"/>
        <v>0.79999999999999716</v>
      </c>
      <c r="M93">
        <f t="shared" si="12"/>
        <v>0.20000000000000284</v>
      </c>
      <c r="N93">
        <f t="shared" si="13"/>
        <v>-0.5</v>
      </c>
      <c r="O93">
        <f t="shared" si="13"/>
        <v>0.5</v>
      </c>
      <c r="P93">
        <f t="shared" si="13"/>
        <v>0.20000000000000284</v>
      </c>
      <c r="R93">
        <v>0.19999999999998863</v>
      </c>
      <c r="S93">
        <v>99.9</v>
      </c>
      <c r="T93">
        <v>-0.19999999999998863</v>
      </c>
      <c r="U93">
        <v>-0.20000000000000284</v>
      </c>
      <c r="V93">
        <v>0.29999999999999716</v>
      </c>
      <c r="W93">
        <v>0.79999999999999716</v>
      </c>
      <c r="X93">
        <v>-3</v>
      </c>
      <c r="Y93">
        <v>1.1000000000000085</v>
      </c>
      <c r="Z93">
        <v>9.9999999999994316E-2</v>
      </c>
      <c r="AA93">
        <v>0.79999999999999716</v>
      </c>
      <c r="AB93">
        <v>0.20000000000000284</v>
      </c>
      <c r="AC93">
        <v>-0.5</v>
      </c>
      <c r="AD93">
        <v>0.5</v>
      </c>
      <c r="AE93">
        <v>0.20000000000000284</v>
      </c>
    </row>
    <row r="94" spans="1:31" x14ac:dyDescent="0.3">
      <c r="A94" s="1">
        <v>37500</v>
      </c>
      <c r="B94">
        <v>100.2</v>
      </c>
      <c r="C94">
        <f t="shared" si="8"/>
        <v>0.10000000000000853</v>
      </c>
      <c r="D94">
        <f t="shared" si="9"/>
        <v>100.1</v>
      </c>
      <c r="E94">
        <f t="shared" si="10"/>
        <v>0.19999999999998863</v>
      </c>
      <c r="F94">
        <f t="shared" si="11"/>
        <v>-0.19999999999998863</v>
      </c>
      <c r="G94">
        <f t="shared" si="11"/>
        <v>-0.20000000000000284</v>
      </c>
      <c r="H94">
        <f t="shared" si="11"/>
        <v>0.29999999999999716</v>
      </c>
      <c r="I94">
        <f t="shared" si="11"/>
        <v>0.79999999999999716</v>
      </c>
      <c r="J94">
        <f t="shared" si="12"/>
        <v>-3</v>
      </c>
      <c r="K94">
        <f t="shared" si="12"/>
        <v>1.1000000000000085</v>
      </c>
      <c r="L94">
        <f t="shared" si="12"/>
        <v>9.9999999999994316E-2</v>
      </c>
      <c r="M94">
        <f t="shared" si="12"/>
        <v>0.79999999999999716</v>
      </c>
      <c r="N94">
        <f t="shared" si="13"/>
        <v>0.20000000000000284</v>
      </c>
      <c r="O94">
        <f t="shared" si="13"/>
        <v>-0.5</v>
      </c>
      <c r="P94">
        <f t="shared" si="13"/>
        <v>0.5</v>
      </c>
      <c r="R94">
        <v>0.10000000000000853</v>
      </c>
      <c r="S94">
        <v>100.1</v>
      </c>
      <c r="T94">
        <v>0.19999999999998863</v>
      </c>
      <c r="U94">
        <v>-0.19999999999998863</v>
      </c>
      <c r="V94">
        <v>-0.20000000000000284</v>
      </c>
      <c r="W94">
        <v>0.29999999999999716</v>
      </c>
      <c r="X94">
        <v>0.79999999999999716</v>
      </c>
      <c r="Y94">
        <v>-3</v>
      </c>
      <c r="Z94">
        <v>1.1000000000000085</v>
      </c>
      <c r="AA94">
        <v>9.9999999999994316E-2</v>
      </c>
      <c r="AB94">
        <v>0.79999999999999716</v>
      </c>
      <c r="AC94">
        <v>0.20000000000000284</v>
      </c>
      <c r="AD94">
        <v>-0.5</v>
      </c>
      <c r="AE94">
        <v>0.5</v>
      </c>
    </row>
    <row r="95" spans="1:31" x14ac:dyDescent="0.3">
      <c r="A95" s="1">
        <v>37530</v>
      </c>
      <c r="B95">
        <v>100.3</v>
      </c>
      <c r="C95">
        <f t="shared" si="8"/>
        <v>9.9999999999994316E-2</v>
      </c>
      <c r="D95">
        <f t="shared" si="9"/>
        <v>100.2</v>
      </c>
      <c r="E95">
        <f t="shared" si="10"/>
        <v>0.10000000000000853</v>
      </c>
      <c r="F95">
        <f t="shared" si="11"/>
        <v>0.19999999999998863</v>
      </c>
      <c r="G95">
        <f t="shared" si="11"/>
        <v>-0.19999999999998863</v>
      </c>
      <c r="H95">
        <f t="shared" si="11"/>
        <v>-0.20000000000000284</v>
      </c>
      <c r="I95">
        <f t="shared" si="11"/>
        <v>0.29999999999999716</v>
      </c>
      <c r="J95">
        <f t="shared" si="12"/>
        <v>0.79999999999999716</v>
      </c>
      <c r="K95">
        <f t="shared" si="12"/>
        <v>-3</v>
      </c>
      <c r="L95">
        <f t="shared" si="12"/>
        <v>1.1000000000000085</v>
      </c>
      <c r="M95">
        <f t="shared" si="12"/>
        <v>9.9999999999994316E-2</v>
      </c>
      <c r="N95">
        <f t="shared" si="13"/>
        <v>0.79999999999999716</v>
      </c>
      <c r="O95">
        <f t="shared" si="13"/>
        <v>0.20000000000000284</v>
      </c>
      <c r="P95">
        <f t="shared" si="13"/>
        <v>-0.5</v>
      </c>
      <c r="R95">
        <v>9.9999999999994316E-2</v>
      </c>
      <c r="S95">
        <v>100.2</v>
      </c>
      <c r="T95">
        <v>0.10000000000000853</v>
      </c>
      <c r="U95">
        <v>0.19999999999998863</v>
      </c>
      <c r="V95">
        <v>-0.19999999999998863</v>
      </c>
      <c r="W95">
        <v>-0.20000000000000284</v>
      </c>
      <c r="X95">
        <v>0.29999999999999716</v>
      </c>
      <c r="Y95">
        <v>0.79999999999999716</v>
      </c>
      <c r="Z95">
        <v>-3</v>
      </c>
      <c r="AA95">
        <v>1.1000000000000085</v>
      </c>
      <c r="AB95">
        <v>9.9999999999994316E-2</v>
      </c>
      <c r="AC95">
        <v>0.79999999999999716</v>
      </c>
      <c r="AD95">
        <v>0.20000000000000284</v>
      </c>
      <c r="AE95">
        <v>-0.5</v>
      </c>
    </row>
    <row r="96" spans="1:31" x14ac:dyDescent="0.3">
      <c r="A96" s="1">
        <v>37561</v>
      </c>
      <c r="B96">
        <v>100.3</v>
      </c>
      <c r="C96">
        <f t="shared" si="8"/>
        <v>0</v>
      </c>
      <c r="D96">
        <f t="shared" si="9"/>
        <v>100.3</v>
      </c>
      <c r="E96">
        <f t="shared" si="10"/>
        <v>9.9999999999994316E-2</v>
      </c>
      <c r="F96">
        <f t="shared" si="11"/>
        <v>0.10000000000000853</v>
      </c>
      <c r="G96">
        <f t="shared" si="11"/>
        <v>0.19999999999998863</v>
      </c>
      <c r="H96">
        <f t="shared" si="11"/>
        <v>-0.19999999999998863</v>
      </c>
      <c r="I96">
        <f t="shared" si="11"/>
        <v>-0.20000000000000284</v>
      </c>
      <c r="J96">
        <f t="shared" si="12"/>
        <v>0.29999999999999716</v>
      </c>
      <c r="K96">
        <f t="shared" si="12"/>
        <v>0.79999999999999716</v>
      </c>
      <c r="L96">
        <f t="shared" si="12"/>
        <v>-3</v>
      </c>
      <c r="M96">
        <f t="shared" si="12"/>
        <v>1.1000000000000085</v>
      </c>
      <c r="N96">
        <f t="shared" si="13"/>
        <v>9.9999999999994316E-2</v>
      </c>
      <c r="O96">
        <f t="shared" si="13"/>
        <v>0.79999999999999716</v>
      </c>
      <c r="P96">
        <f t="shared" si="13"/>
        <v>0.20000000000000284</v>
      </c>
      <c r="R96">
        <v>0</v>
      </c>
      <c r="S96">
        <v>100.3</v>
      </c>
      <c r="T96">
        <v>9.9999999999994316E-2</v>
      </c>
      <c r="U96">
        <v>0.10000000000000853</v>
      </c>
      <c r="V96">
        <v>0.19999999999998863</v>
      </c>
      <c r="W96">
        <v>-0.19999999999998863</v>
      </c>
      <c r="X96">
        <v>-0.20000000000000284</v>
      </c>
      <c r="Y96">
        <v>0.29999999999999716</v>
      </c>
      <c r="Z96">
        <v>0.79999999999999716</v>
      </c>
      <c r="AA96">
        <v>-3</v>
      </c>
      <c r="AB96">
        <v>1.1000000000000085</v>
      </c>
      <c r="AC96">
        <v>9.9999999999994316E-2</v>
      </c>
      <c r="AD96">
        <v>0.79999999999999716</v>
      </c>
      <c r="AE96">
        <v>0.20000000000000284</v>
      </c>
    </row>
    <row r="97" spans="1:31" x14ac:dyDescent="0.3">
      <c r="A97" s="1">
        <v>37591</v>
      </c>
      <c r="B97">
        <v>100.3</v>
      </c>
      <c r="C97">
        <f t="shared" si="8"/>
        <v>0</v>
      </c>
      <c r="D97">
        <f t="shared" si="9"/>
        <v>100.3</v>
      </c>
      <c r="E97">
        <f t="shared" si="10"/>
        <v>0</v>
      </c>
      <c r="F97">
        <f t="shared" si="11"/>
        <v>9.9999999999994316E-2</v>
      </c>
      <c r="G97">
        <f t="shared" si="11"/>
        <v>0.10000000000000853</v>
      </c>
      <c r="H97">
        <f t="shared" si="11"/>
        <v>0.19999999999998863</v>
      </c>
      <c r="I97">
        <f t="shared" si="11"/>
        <v>-0.19999999999998863</v>
      </c>
      <c r="J97">
        <f t="shared" si="12"/>
        <v>-0.20000000000000284</v>
      </c>
      <c r="K97">
        <f t="shared" si="12"/>
        <v>0.29999999999999716</v>
      </c>
      <c r="L97">
        <f t="shared" si="12"/>
        <v>0.79999999999999716</v>
      </c>
      <c r="M97">
        <f t="shared" si="12"/>
        <v>-3</v>
      </c>
      <c r="N97">
        <f t="shared" si="13"/>
        <v>1.1000000000000085</v>
      </c>
      <c r="O97">
        <f t="shared" si="13"/>
        <v>9.9999999999994316E-2</v>
      </c>
      <c r="P97">
        <f t="shared" si="13"/>
        <v>0.79999999999999716</v>
      </c>
      <c r="R97">
        <v>0</v>
      </c>
      <c r="S97">
        <v>100.3</v>
      </c>
      <c r="T97">
        <v>0</v>
      </c>
      <c r="U97">
        <v>9.9999999999994316E-2</v>
      </c>
      <c r="V97">
        <v>0.10000000000000853</v>
      </c>
      <c r="W97">
        <v>0.19999999999998863</v>
      </c>
      <c r="X97">
        <v>-0.19999999999998863</v>
      </c>
      <c r="Y97">
        <v>-0.20000000000000284</v>
      </c>
      <c r="Z97">
        <v>0.29999999999999716</v>
      </c>
      <c r="AA97">
        <v>0.79999999999999716</v>
      </c>
      <c r="AB97">
        <v>-3</v>
      </c>
      <c r="AC97">
        <v>1.1000000000000085</v>
      </c>
      <c r="AD97">
        <v>9.9999999999994316E-2</v>
      </c>
      <c r="AE97">
        <v>0.79999999999999716</v>
      </c>
    </row>
    <row r="98" spans="1:31" x14ac:dyDescent="0.3">
      <c r="A98" s="1">
        <v>37622</v>
      </c>
      <c r="B98">
        <v>100.9</v>
      </c>
      <c r="C98">
        <f t="shared" si="8"/>
        <v>0.60000000000000853</v>
      </c>
      <c r="D98">
        <f t="shared" si="9"/>
        <v>100.3</v>
      </c>
      <c r="E98">
        <f t="shared" si="10"/>
        <v>0</v>
      </c>
      <c r="F98">
        <f t="shared" si="11"/>
        <v>0</v>
      </c>
      <c r="G98">
        <f t="shared" si="11"/>
        <v>9.9999999999994316E-2</v>
      </c>
      <c r="H98">
        <f t="shared" si="11"/>
        <v>0.10000000000000853</v>
      </c>
      <c r="I98">
        <f t="shared" si="11"/>
        <v>0.19999999999998863</v>
      </c>
      <c r="J98">
        <f t="shared" si="12"/>
        <v>-0.19999999999998863</v>
      </c>
      <c r="K98">
        <f t="shared" si="12"/>
        <v>-0.20000000000000284</v>
      </c>
      <c r="L98">
        <f t="shared" si="12"/>
        <v>0.29999999999999716</v>
      </c>
      <c r="M98">
        <f t="shared" si="12"/>
        <v>0.79999999999999716</v>
      </c>
      <c r="N98">
        <f t="shared" si="13"/>
        <v>-3</v>
      </c>
      <c r="O98">
        <f t="shared" si="13"/>
        <v>1.1000000000000085</v>
      </c>
      <c r="P98">
        <f t="shared" si="13"/>
        <v>9.9999999999994316E-2</v>
      </c>
      <c r="R98">
        <v>0.60000000000000853</v>
      </c>
      <c r="S98">
        <v>100.3</v>
      </c>
      <c r="T98">
        <v>0</v>
      </c>
      <c r="U98">
        <v>0</v>
      </c>
      <c r="V98">
        <v>9.9999999999994316E-2</v>
      </c>
      <c r="W98">
        <v>0.10000000000000853</v>
      </c>
      <c r="X98">
        <v>0.19999999999998863</v>
      </c>
      <c r="Y98">
        <v>-0.19999999999998863</v>
      </c>
      <c r="Z98">
        <v>-0.20000000000000284</v>
      </c>
      <c r="AA98">
        <v>0.29999999999999716</v>
      </c>
      <c r="AB98">
        <v>0.79999999999999716</v>
      </c>
      <c r="AC98">
        <v>-3</v>
      </c>
      <c r="AD98">
        <v>1.1000000000000085</v>
      </c>
      <c r="AE98">
        <v>9.9999999999994316E-2</v>
      </c>
    </row>
    <row r="99" spans="1:31" x14ac:dyDescent="0.3">
      <c r="A99" s="1">
        <v>37653</v>
      </c>
      <c r="B99">
        <v>102.2</v>
      </c>
      <c r="C99">
        <f t="shared" si="8"/>
        <v>1.2999999999999972</v>
      </c>
      <c r="D99">
        <f t="shared" si="9"/>
        <v>100.9</v>
      </c>
      <c r="E99">
        <f t="shared" si="10"/>
        <v>0.60000000000000853</v>
      </c>
      <c r="F99">
        <f t="shared" si="11"/>
        <v>0</v>
      </c>
      <c r="G99">
        <f t="shared" si="11"/>
        <v>0</v>
      </c>
      <c r="H99">
        <f t="shared" si="11"/>
        <v>9.9999999999994316E-2</v>
      </c>
      <c r="I99">
        <f t="shared" si="11"/>
        <v>0.10000000000000853</v>
      </c>
      <c r="J99">
        <f t="shared" si="12"/>
        <v>0.19999999999998863</v>
      </c>
      <c r="K99">
        <f t="shared" si="12"/>
        <v>-0.19999999999998863</v>
      </c>
      <c r="L99">
        <f t="shared" si="12"/>
        <v>-0.20000000000000284</v>
      </c>
      <c r="M99">
        <f t="shared" si="12"/>
        <v>0.29999999999999716</v>
      </c>
      <c r="N99">
        <f t="shared" si="13"/>
        <v>0.79999999999999716</v>
      </c>
      <c r="O99">
        <f t="shared" si="13"/>
        <v>-3</v>
      </c>
      <c r="P99">
        <f t="shared" si="13"/>
        <v>1.1000000000000085</v>
      </c>
      <c r="R99">
        <v>1.2999999999999972</v>
      </c>
      <c r="S99">
        <v>100.9</v>
      </c>
      <c r="T99">
        <v>0.60000000000000853</v>
      </c>
      <c r="U99">
        <v>0</v>
      </c>
      <c r="V99">
        <v>0</v>
      </c>
      <c r="W99">
        <v>9.9999999999994316E-2</v>
      </c>
      <c r="X99">
        <v>0.10000000000000853</v>
      </c>
      <c r="Y99">
        <v>0.19999999999998863</v>
      </c>
      <c r="Z99">
        <v>-0.19999999999998863</v>
      </c>
      <c r="AA99">
        <v>-0.20000000000000284</v>
      </c>
      <c r="AB99">
        <v>0.29999999999999716</v>
      </c>
      <c r="AC99">
        <v>0.79999999999999716</v>
      </c>
      <c r="AD99">
        <v>-3</v>
      </c>
      <c r="AE99">
        <v>1.1000000000000085</v>
      </c>
    </row>
    <row r="100" spans="1:31" x14ac:dyDescent="0.3">
      <c r="A100" s="1">
        <v>37681</v>
      </c>
      <c r="B100">
        <v>99.4</v>
      </c>
      <c r="C100">
        <f t="shared" si="8"/>
        <v>-2.7999999999999972</v>
      </c>
      <c r="D100">
        <f t="shared" si="9"/>
        <v>102.2</v>
      </c>
      <c r="E100">
        <f t="shared" si="10"/>
        <v>1.2999999999999972</v>
      </c>
      <c r="F100">
        <f t="shared" si="11"/>
        <v>0.60000000000000853</v>
      </c>
      <c r="G100">
        <f t="shared" si="11"/>
        <v>0</v>
      </c>
      <c r="H100">
        <f t="shared" si="11"/>
        <v>0</v>
      </c>
      <c r="I100">
        <f t="shared" si="11"/>
        <v>9.9999999999994316E-2</v>
      </c>
      <c r="J100">
        <f t="shared" si="12"/>
        <v>0.10000000000000853</v>
      </c>
      <c r="K100">
        <f t="shared" si="12"/>
        <v>0.19999999999998863</v>
      </c>
      <c r="L100">
        <f t="shared" si="12"/>
        <v>-0.19999999999998863</v>
      </c>
      <c r="M100">
        <f t="shared" si="12"/>
        <v>-0.20000000000000284</v>
      </c>
      <c r="N100">
        <f t="shared" si="13"/>
        <v>0.29999999999999716</v>
      </c>
      <c r="O100">
        <f t="shared" si="13"/>
        <v>0.79999999999999716</v>
      </c>
      <c r="P100">
        <f t="shared" si="13"/>
        <v>-3</v>
      </c>
      <c r="R100">
        <v>-2.7999999999999972</v>
      </c>
      <c r="S100">
        <v>102.2</v>
      </c>
      <c r="T100">
        <v>1.2999999999999972</v>
      </c>
      <c r="U100">
        <v>0.60000000000000853</v>
      </c>
      <c r="V100">
        <v>0</v>
      </c>
      <c r="W100">
        <v>0</v>
      </c>
      <c r="X100">
        <v>9.9999999999994316E-2</v>
      </c>
      <c r="Y100">
        <v>0.10000000000000853</v>
      </c>
      <c r="Z100">
        <v>0.19999999999998863</v>
      </c>
      <c r="AA100">
        <v>-0.19999999999998863</v>
      </c>
      <c r="AB100">
        <v>-0.20000000000000284</v>
      </c>
      <c r="AC100">
        <v>0.29999999999999716</v>
      </c>
      <c r="AD100">
        <v>0.79999999999999716</v>
      </c>
      <c r="AE100">
        <v>-3</v>
      </c>
    </row>
    <row r="101" spans="1:31" x14ac:dyDescent="0.3">
      <c r="A101" s="1">
        <v>37712</v>
      </c>
      <c r="B101">
        <v>100</v>
      </c>
      <c r="C101">
        <f t="shared" si="8"/>
        <v>0.59999999999999432</v>
      </c>
      <c r="D101">
        <f t="shared" si="9"/>
        <v>99.4</v>
      </c>
      <c r="E101">
        <f t="shared" si="10"/>
        <v>-2.7999999999999972</v>
      </c>
      <c r="F101">
        <f t="shared" si="11"/>
        <v>1.2999999999999972</v>
      </c>
      <c r="G101">
        <f t="shared" si="11"/>
        <v>0.60000000000000853</v>
      </c>
      <c r="H101">
        <f t="shared" si="11"/>
        <v>0</v>
      </c>
      <c r="I101">
        <f t="shared" si="11"/>
        <v>0</v>
      </c>
      <c r="J101">
        <f t="shared" si="12"/>
        <v>9.9999999999994316E-2</v>
      </c>
      <c r="K101">
        <f t="shared" si="12"/>
        <v>0.10000000000000853</v>
      </c>
      <c r="L101">
        <f t="shared" si="12"/>
        <v>0.19999999999998863</v>
      </c>
      <c r="M101">
        <f t="shared" si="12"/>
        <v>-0.19999999999998863</v>
      </c>
      <c r="N101">
        <f t="shared" si="13"/>
        <v>-0.20000000000000284</v>
      </c>
      <c r="O101">
        <f t="shared" si="13"/>
        <v>0.29999999999999716</v>
      </c>
      <c r="P101">
        <f t="shared" si="13"/>
        <v>0.79999999999999716</v>
      </c>
      <c r="R101">
        <v>0.59999999999999432</v>
      </c>
      <c r="S101">
        <v>99.4</v>
      </c>
      <c r="T101">
        <v>-2.7999999999999972</v>
      </c>
      <c r="U101">
        <v>1.2999999999999972</v>
      </c>
      <c r="V101">
        <v>0.60000000000000853</v>
      </c>
      <c r="W101">
        <v>0</v>
      </c>
      <c r="X101">
        <v>0</v>
      </c>
      <c r="Y101">
        <v>9.9999999999994316E-2</v>
      </c>
      <c r="Z101">
        <v>0.10000000000000853</v>
      </c>
      <c r="AA101">
        <v>0.19999999999998863</v>
      </c>
      <c r="AB101">
        <v>-0.19999999999998863</v>
      </c>
      <c r="AC101">
        <v>-0.20000000000000284</v>
      </c>
      <c r="AD101">
        <v>0.29999999999999716</v>
      </c>
      <c r="AE101">
        <v>0.79999999999999716</v>
      </c>
    </row>
    <row r="102" spans="1:31" x14ac:dyDescent="0.3">
      <c r="A102" s="1">
        <v>37742</v>
      </c>
      <c r="B102">
        <v>99.9</v>
      </c>
      <c r="C102">
        <f t="shared" si="8"/>
        <v>-9.9999999999994316E-2</v>
      </c>
      <c r="D102">
        <f t="shared" si="9"/>
        <v>100</v>
      </c>
      <c r="E102">
        <f t="shared" si="10"/>
        <v>0.59999999999999432</v>
      </c>
      <c r="F102">
        <f t="shared" si="11"/>
        <v>-2.7999999999999972</v>
      </c>
      <c r="G102">
        <f t="shared" si="11"/>
        <v>1.2999999999999972</v>
      </c>
      <c r="H102">
        <f t="shared" si="11"/>
        <v>0.60000000000000853</v>
      </c>
      <c r="I102">
        <f t="shared" si="11"/>
        <v>0</v>
      </c>
      <c r="J102">
        <f t="shared" si="12"/>
        <v>0</v>
      </c>
      <c r="K102">
        <f t="shared" si="12"/>
        <v>9.9999999999994316E-2</v>
      </c>
      <c r="L102">
        <f t="shared" si="12"/>
        <v>0.10000000000000853</v>
      </c>
      <c r="M102">
        <f t="shared" si="12"/>
        <v>0.19999999999998863</v>
      </c>
      <c r="N102">
        <f t="shared" si="13"/>
        <v>-0.19999999999998863</v>
      </c>
      <c r="O102">
        <f t="shared" si="13"/>
        <v>-0.20000000000000284</v>
      </c>
      <c r="P102">
        <f t="shared" si="13"/>
        <v>0.29999999999999716</v>
      </c>
      <c r="R102">
        <v>-9.9999999999994316E-2</v>
      </c>
      <c r="S102">
        <v>100</v>
      </c>
      <c r="T102">
        <v>0.59999999999999432</v>
      </c>
      <c r="U102">
        <v>-2.7999999999999972</v>
      </c>
      <c r="V102">
        <v>1.2999999999999972</v>
      </c>
      <c r="W102">
        <v>0.60000000000000853</v>
      </c>
      <c r="X102">
        <v>0</v>
      </c>
      <c r="Y102">
        <v>0</v>
      </c>
      <c r="Z102">
        <v>9.9999999999994316E-2</v>
      </c>
      <c r="AA102">
        <v>0.10000000000000853</v>
      </c>
      <c r="AB102">
        <v>0.19999999999998863</v>
      </c>
      <c r="AC102">
        <v>-0.19999999999998863</v>
      </c>
      <c r="AD102">
        <v>-0.20000000000000284</v>
      </c>
      <c r="AE102">
        <v>0.29999999999999716</v>
      </c>
    </row>
    <row r="103" spans="1:31" x14ac:dyDescent="0.3">
      <c r="A103" s="1">
        <v>37773</v>
      </c>
      <c r="B103">
        <v>99.7</v>
      </c>
      <c r="C103">
        <f t="shared" si="8"/>
        <v>-0.20000000000000284</v>
      </c>
      <c r="D103">
        <f t="shared" si="9"/>
        <v>99.9</v>
      </c>
      <c r="E103">
        <f t="shared" si="10"/>
        <v>-9.9999999999994316E-2</v>
      </c>
      <c r="F103">
        <f t="shared" si="11"/>
        <v>0.59999999999999432</v>
      </c>
      <c r="G103">
        <f t="shared" si="11"/>
        <v>-2.7999999999999972</v>
      </c>
      <c r="H103">
        <f t="shared" si="11"/>
        <v>1.2999999999999972</v>
      </c>
      <c r="I103">
        <f t="shared" si="11"/>
        <v>0.60000000000000853</v>
      </c>
      <c r="J103">
        <f t="shared" si="12"/>
        <v>0</v>
      </c>
      <c r="K103">
        <f t="shared" si="12"/>
        <v>0</v>
      </c>
      <c r="L103">
        <f t="shared" si="12"/>
        <v>9.9999999999994316E-2</v>
      </c>
      <c r="M103">
        <f t="shared" si="12"/>
        <v>0.10000000000000853</v>
      </c>
      <c r="N103">
        <f t="shared" si="13"/>
        <v>0.19999999999998863</v>
      </c>
      <c r="O103">
        <f t="shared" si="13"/>
        <v>-0.19999999999998863</v>
      </c>
      <c r="P103">
        <f t="shared" si="13"/>
        <v>-0.20000000000000284</v>
      </c>
      <c r="R103">
        <v>-0.20000000000000284</v>
      </c>
      <c r="S103">
        <v>99.9</v>
      </c>
      <c r="T103">
        <v>-9.9999999999994316E-2</v>
      </c>
      <c r="U103">
        <v>0.59999999999999432</v>
      </c>
      <c r="V103">
        <v>-2.7999999999999972</v>
      </c>
      <c r="W103">
        <v>1.2999999999999972</v>
      </c>
      <c r="X103">
        <v>0.60000000000000853</v>
      </c>
      <c r="Y103">
        <v>0</v>
      </c>
      <c r="Z103">
        <v>0</v>
      </c>
      <c r="AA103">
        <v>9.9999999999994316E-2</v>
      </c>
      <c r="AB103">
        <v>0.10000000000000853</v>
      </c>
      <c r="AC103">
        <v>0.19999999999998863</v>
      </c>
      <c r="AD103">
        <v>-0.19999999999998863</v>
      </c>
      <c r="AE103">
        <v>-0.20000000000000284</v>
      </c>
    </row>
    <row r="104" spans="1:31" x14ac:dyDescent="0.3">
      <c r="A104" s="1">
        <v>37803</v>
      </c>
      <c r="B104">
        <v>99.7</v>
      </c>
      <c r="C104">
        <f t="shared" si="8"/>
        <v>0</v>
      </c>
      <c r="D104">
        <f t="shared" si="9"/>
        <v>99.7</v>
      </c>
      <c r="E104">
        <f t="shared" si="10"/>
        <v>-0.20000000000000284</v>
      </c>
      <c r="F104">
        <f t="shared" si="11"/>
        <v>-9.9999999999994316E-2</v>
      </c>
      <c r="G104">
        <f t="shared" si="11"/>
        <v>0.59999999999999432</v>
      </c>
      <c r="H104">
        <f t="shared" si="11"/>
        <v>-2.7999999999999972</v>
      </c>
      <c r="I104">
        <f t="shared" si="11"/>
        <v>1.2999999999999972</v>
      </c>
      <c r="J104">
        <f t="shared" si="12"/>
        <v>0.60000000000000853</v>
      </c>
      <c r="K104">
        <f t="shared" si="12"/>
        <v>0</v>
      </c>
      <c r="L104">
        <f t="shared" si="12"/>
        <v>0</v>
      </c>
      <c r="M104">
        <f t="shared" si="12"/>
        <v>9.9999999999994316E-2</v>
      </c>
      <c r="N104">
        <f t="shared" si="13"/>
        <v>0.10000000000000853</v>
      </c>
      <c r="O104">
        <f t="shared" si="13"/>
        <v>0.19999999999998863</v>
      </c>
      <c r="P104">
        <f t="shared" si="13"/>
        <v>-0.19999999999998863</v>
      </c>
      <c r="R104">
        <v>0</v>
      </c>
      <c r="S104">
        <v>99.7</v>
      </c>
      <c r="T104">
        <v>-0.20000000000000284</v>
      </c>
      <c r="U104">
        <v>-9.9999999999994316E-2</v>
      </c>
      <c r="V104">
        <v>0.59999999999999432</v>
      </c>
      <c r="W104">
        <v>-2.7999999999999972</v>
      </c>
      <c r="X104">
        <v>1.2999999999999972</v>
      </c>
      <c r="Y104">
        <v>0.60000000000000853</v>
      </c>
      <c r="Z104">
        <v>0</v>
      </c>
      <c r="AA104">
        <v>0</v>
      </c>
      <c r="AB104">
        <v>9.9999999999994316E-2</v>
      </c>
      <c r="AC104">
        <v>0.10000000000000853</v>
      </c>
      <c r="AD104">
        <v>0.19999999999998863</v>
      </c>
      <c r="AE104">
        <v>-0.19999999999998863</v>
      </c>
    </row>
    <row r="105" spans="1:31" x14ac:dyDescent="0.3">
      <c r="A105" s="1">
        <v>37834</v>
      </c>
      <c r="B105">
        <v>99.9</v>
      </c>
      <c r="C105">
        <f t="shared" si="8"/>
        <v>0.20000000000000284</v>
      </c>
      <c r="D105">
        <f t="shared" si="9"/>
        <v>99.7</v>
      </c>
      <c r="E105">
        <f t="shared" si="10"/>
        <v>0</v>
      </c>
      <c r="F105">
        <f t="shared" si="11"/>
        <v>-0.20000000000000284</v>
      </c>
      <c r="G105">
        <f t="shared" si="11"/>
        <v>-9.9999999999994316E-2</v>
      </c>
      <c r="H105">
        <f t="shared" si="11"/>
        <v>0.59999999999999432</v>
      </c>
      <c r="I105">
        <f t="shared" si="11"/>
        <v>-2.7999999999999972</v>
      </c>
      <c r="J105">
        <f t="shared" si="12"/>
        <v>1.2999999999999972</v>
      </c>
      <c r="K105">
        <f t="shared" si="12"/>
        <v>0.60000000000000853</v>
      </c>
      <c r="L105">
        <f t="shared" si="12"/>
        <v>0</v>
      </c>
      <c r="M105">
        <f t="shared" si="12"/>
        <v>0</v>
      </c>
      <c r="N105">
        <f t="shared" si="13"/>
        <v>9.9999999999994316E-2</v>
      </c>
      <c r="O105">
        <f t="shared" si="13"/>
        <v>0.10000000000000853</v>
      </c>
      <c r="P105">
        <f t="shared" si="13"/>
        <v>0.19999999999998863</v>
      </c>
      <c r="R105">
        <v>0.20000000000000284</v>
      </c>
      <c r="S105">
        <v>99.7</v>
      </c>
      <c r="T105">
        <v>0</v>
      </c>
      <c r="U105">
        <v>-0.20000000000000284</v>
      </c>
      <c r="V105">
        <v>-9.9999999999994316E-2</v>
      </c>
      <c r="W105">
        <v>0.59999999999999432</v>
      </c>
      <c r="X105">
        <v>-2.7999999999999972</v>
      </c>
      <c r="Y105">
        <v>1.2999999999999972</v>
      </c>
      <c r="Z105">
        <v>0.60000000000000853</v>
      </c>
      <c r="AA105">
        <v>0</v>
      </c>
      <c r="AB105">
        <v>0</v>
      </c>
      <c r="AC105">
        <v>9.9999999999994316E-2</v>
      </c>
      <c r="AD105">
        <v>0.10000000000000853</v>
      </c>
      <c r="AE105">
        <v>0.19999999999998863</v>
      </c>
    </row>
    <row r="106" spans="1:31" x14ac:dyDescent="0.3">
      <c r="A106" s="1">
        <v>37865</v>
      </c>
      <c r="B106">
        <v>100.1</v>
      </c>
      <c r="C106">
        <f t="shared" si="8"/>
        <v>0.19999999999998863</v>
      </c>
      <c r="D106">
        <f t="shared" si="9"/>
        <v>99.9</v>
      </c>
      <c r="E106">
        <f t="shared" si="10"/>
        <v>0.20000000000000284</v>
      </c>
      <c r="F106">
        <f t="shared" si="11"/>
        <v>0</v>
      </c>
      <c r="G106">
        <f t="shared" si="11"/>
        <v>-0.20000000000000284</v>
      </c>
      <c r="H106">
        <f t="shared" si="11"/>
        <v>-9.9999999999994316E-2</v>
      </c>
      <c r="I106">
        <f t="shared" si="11"/>
        <v>0.59999999999999432</v>
      </c>
      <c r="J106">
        <f t="shared" si="12"/>
        <v>-2.7999999999999972</v>
      </c>
      <c r="K106">
        <f t="shared" si="12"/>
        <v>1.2999999999999972</v>
      </c>
      <c r="L106">
        <f t="shared" si="12"/>
        <v>0.60000000000000853</v>
      </c>
      <c r="M106">
        <f t="shared" si="12"/>
        <v>0</v>
      </c>
      <c r="N106">
        <f t="shared" si="13"/>
        <v>0</v>
      </c>
      <c r="O106">
        <f t="shared" si="13"/>
        <v>9.9999999999994316E-2</v>
      </c>
      <c r="P106">
        <f t="shared" si="13"/>
        <v>0.10000000000000853</v>
      </c>
      <c r="R106">
        <v>0.19999999999998863</v>
      </c>
      <c r="S106">
        <v>99.9</v>
      </c>
      <c r="T106">
        <v>0.20000000000000284</v>
      </c>
      <c r="U106">
        <v>0</v>
      </c>
      <c r="V106">
        <v>-0.20000000000000284</v>
      </c>
      <c r="W106">
        <v>-9.9999999999994316E-2</v>
      </c>
      <c r="X106">
        <v>0.59999999999999432</v>
      </c>
      <c r="Y106">
        <v>-2.7999999999999972</v>
      </c>
      <c r="Z106">
        <v>1.2999999999999972</v>
      </c>
      <c r="AA106">
        <v>0.60000000000000853</v>
      </c>
      <c r="AB106">
        <v>0</v>
      </c>
      <c r="AC106">
        <v>0</v>
      </c>
      <c r="AD106">
        <v>9.9999999999994316E-2</v>
      </c>
      <c r="AE106">
        <v>0.10000000000000853</v>
      </c>
    </row>
    <row r="107" spans="1:31" x14ac:dyDescent="0.3">
      <c r="A107" s="1">
        <v>37895</v>
      </c>
      <c r="B107">
        <v>99.8</v>
      </c>
      <c r="C107">
        <f t="shared" si="8"/>
        <v>-0.29999999999999716</v>
      </c>
      <c r="D107">
        <f t="shared" si="9"/>
        <v>100.1</v>
      </c>
      <c r="E107">
        <f t="shared" si="10"/>
        <v>0.19999999999998863</v>
      </c>
      <c r="F107">
        <f t="shared" si="11"/>
        <v>0.20000000000000284</v>
      </c>
      <c r="G107">
        <f t="shared" si="11"/>
        <v>0</v>
      </c>
      <c r="H107">
        <f t="shared" si="11"/>
        <v>-0.20000000000000284</v>
      </c>
      <c r="I107">
        <f t="shared" si="11"/>
        <v>-9.9999999999994316E-2</v>
      </c>
      <c r="J107">
        <f t="shared" si="12"/>
        <v>0.59999999999999432</v>
      </c>
      <c r="K107">
        <f t="shared" si="12"/>
        <v>-2.7999999999999972</v>
      </c>
      <c r="L107">
        <f t="shared" si="12"/>
        <v>1.2999999999999972</v>
      </c>
      <c r="M107">
        <f t="shared" si="12"/>
        <v>0.60000000000000853</v>
      </c>
      <c r="N107">
        <f t="shared" si="13"/>
        <v>0</v>
      </c>
      <c r="O107">
        <f t="shared" si="13"/>
        <v>0</v>
      </c>
      <c r="P107">
        <f t="shared" si="13"/>
        <v>9.9999999999994316E-2</v>
      </c>
      <c r="R107">
        <v>-0.29999999999999716</v>
      </c>
      <c r="S107">
        <v>100.1</v>
      </c>
      <c r="T107">
        <v>0.19999999999998863</v>
      </c>
      <c r="U107">
        <v>0.20000000000000284</v>
      </c>
      <c r="V107">
        <v>0</v>
      </c>
      <c r="W107">
        <v>-0.20000000000000284</v>
      </c>
      <c r="X107">
        <v>-9.9999999999994316E-2</v>
      </c>
      <c r="Y107">
        <v>0.59999999999999432</v>
      </c>
      <c r="Z107">
        <v>-2.7999999999999972</v>
      </c>
      <c r="AA107">
        <v>1.2999999999999972</v>
      </c>
      <c r="AB107">
        <v>0.60000000000000853</v>
      </c>
      <c r="AC107">
        <v>0</v>
      </c>
      <c r="AD107">
        <v>0</v>
      </c>
      <c r="AE107">
        <v>9.9999999999994316E-2</v>
      </c>
    </row>
    <row r="108" spans="1:31" x14ac:dyDescent="0.3">
      <c r="A108" s="1">
        <v>37926</v>
      </c>
      <c r="B108">
        <v>100.6</v>
      </c>
      <c r="C108">
        <f t="shared" si="8"/>
        <v>0.79999999999999716</v>
      </c>
      <c r="D108">
        <f t="shared" si="9"/>
        <v>99.8</v>
      </c>
      <c r="E108">
        <f t="shared" si="10"/>
        <v>-0.29999999999999716</v>
      </c>
      <c r="F108">
        <f t="shared" si="11"/>
        <v>0.19999999999998863</v>
      </c>
      <c r="G108">
        <f t="shared" si="11"/>
        <v>0.20000000000000284</v>
      </c>
      <c r="H108">
        <f t="shared" si="11"/>
        <v>0</v>
      </c>
      <c r="I108">
        <f t="shared" si="11"/>
        <v>-0.20000000000000284</v>
      </c>
      <c r="J108">
        <f t="shared" si="12"/>
        <v>-9.9999999999994316E-2</v>
      </c>
      <c r="K108">
        <f t="shared" si="12"/>
        <v>0.59999999999999432</v>
      </c>
      <c r="L108">
        <f t="shared" si="12"/>
        <v>-2.7999999999999972</v>
      </c>
      <c r="M108">
        <f t="shared" si="12"/>
        <v>1.2999999999999972</v>
      </c>
      <c r="N108">
        <f t="shared" si="13"/>
        <v>0.60000000000000853</v>
      </c>
      <c r="O108">
        <f t="shared" si="13"/>
        <v>0</v>
      </c>
      <c r="P108">
        <f t="shared" si="13"/>
        <v>0</v>
      </c>
      <c r="R108">
        <v>0.79999999999999716</v>
      </c>
      <c r="S108">
        <v>99.8</v>
      </c>
      <c r="T108">
        <v>-0.29999999999999716</v>
      </c>
      <c r="U108">
        <v>0.19999999999998863</v>
      </c>
      <c r="V108">
        <v>0.20000000000000284</v>
      </c>
      <c r="W108">
        <v>0</v>
      </c>
      <c r="X108">
        <v>-0.20000000000000284</v>
      </c>
      <c r="Y108">
        <v>-9.9999999999994316E-2</v>
      </c>
      <c r="Z108">
        <v>0.59999999999999432</v>
      </c>
      <c r="AA108">
        <v>-2.7999999999999972</v>
      </c>
      <c r="AB108">
        <v>1.2999999999999972</v>
      </c>
      <c r="AC108">
        <v>0.60000000000000853</v>
      </c>
      <c r="AD108">
        <v>0</v>
      </c>
      <c r="AE108">
        <v>0</v>
      </c>
    </row>
    <row r="109" spans="1:31" x14ac:dyDescent="0.3">
      <c r="A109" s="1">
        <v>37956</v>
      </c>
      <c r="B109">
        <v>100.8</v>
      </c>
      <c r="C109">
        <f t="shared" si="8"/>
        <v>0.20000000000000284</v>
      </c>
      <c r="D109">
        <f t="shared" si="9"/>
        <v>100.6</v>
      </c>
      <c r="E109">
        <f t="shared" si="10"/>
        <v>0.79999999999999716</v>
      </c>
      <c r="F109">
        <f t="shared" si="11"/>
        <v>-0.29999999999999716</v>
      </c>
      <c r="G109">
        <f t="shared" si="11"/>
        <v>0.19999999999998863</v>
      </c>
      <c r="H109">
        <f t="shared" si="11"/>
        <v>0.20000000000000284</v>
      </c>
      <c r="I109">
        <f t="shared" si="11"/>
        <v>0</v>
      </c>
      <c r="J109">
        <f t="shared" si="12"/>
        <v>-0.20000000000000284</v>
      </c>
      <c r="K109">
        <f t="shared" si="12"/>
        <v>-9.9999999999994316E-2</v>
      </c>
      <c r="L109">
        <f t="shared" si="12"/>
        <v>0.59999999999999432</v>
      </c>
      <c r="M109">
        <f t="shared" si="12"/>
        <v>-2.7999999999999972</v>
      </c>
      <c r="N109">
        <f t="shared" si="13"/>
        <v>1.2999999999999972</v>
      </c>
      <c r="O109">
        <f t="shared" si="13"/>
        <v>0.60000000000000853</v>
      </c>
      <c r="P109">
        <f t="shared" si="13"/>
        <v>0</v>
      </c>
      <c r="R109">
        <v>0.20000000000000284</v>
      </c>
      <c r="S109">
        <v>100.6</v>
      </c>
      <c r="T109">
        <v>0.79999999999999716</v>
      </c>
      <c r="U109">
        <v>-0.29999999999999716</v>
      </c>
      <c r="V109">
        <v>0.19999999999998863</v>
      </c>
      <c r="W109">
        <v>0.20000000000000284</v>
      </c>
      <c r="X109">
        <v>0</v>
      </c>
      <c r="Y109">
        <v>-0.20000000000000284</v>
      </c>
      <c r="Z109">
        <v>-9.9999999999994316E-2</v>
      </c>
      <c r="AA109">
        <v>0.59999999999999432</v>
      </c>
      <c r="AB109">
        <v>-2.7999999999999972</v>
      </c>
      <c r="AC109">
        <v>1.2999999999999972</v>
      </c>
      <c r="AD109">
        <v>0.60000000000000853</v>
      </c>
      <c r="AE109">
        <v>0</v>
      </c>
    </row>
    <row r="110" spans="1:31" x14ac:dyDescent="0.3">
      <c r="A110" s="1">
        <v>37987</v>
      </c>
      <c r="B110">
        <v>101.1</v>
      </c>
      <c r="C110">
        <f t="shared" si="8"/>
        <v>0.29999999999999716</v>
      </c>
      <c r="D110">
        <f t="shared" si="9"/>
        <v>100.8</v>
      </c>
      <c r="E110">
        <f t="shared" si="10"/>
        <v>0.20000000000000284</v>
      </c>
      <c r="F110">
        <f t="shared" si="11"/>
        <v>0.79999999999999716</v>
      </c>
      <c r="G110">
        <f t="shared" si="11"/>
        <v>-0.29999999999999716</v>
      </c>
      <c r="H110">
        <f t="shared" si="11"/>
        <v>0.19999999999998863</v>
      </c>
      <c r="I110">
        <f t="shared" si="11"/>
        <v>0.20000000000000284</v>
      </c>
      <c r="J110">
        <f t="shared" si="12"/>
        <v>0</v>
      </c>
      <c r="K110">
        <f t="shared" si="12"/>
        <v>-0.20000000000000284</v>
      </c>
      <c r="L110">
        <f t="shared" si="12"/>
        <v>-9.9999999999994316E-2</v>
      </c>
      <c r="M110">
        <f t="shared" si="12"/>
        <v>0.59999999999999432</v>
      </c>
      <c r="N110">
        <f t="shared" si="13"/>
        <v>-2.7999999999999972</v>
      </c>
      <c r="O110">
        <f t="shared" si="13"/>
        <v>1.2999999999999972</v>
      </c>
      <c r="P110">
        <f t="shared" si="13"/>
        <v>0.60000000000000853</v>
      </c>
      <c r="R110">
        <v>0.29999999999999716</v>
      </c>
      <c r="S110">
        <v>100.8</v>
      </c>
      <c r="T110">
        <v>0.20000000000000284</v>
      </c>
      <c r="U110">
        <v>0.79999999999999716</v>
      </c>
      <c r="V110">
        <v>-0.29999999999999716</v>
      </c>
      <c r="W110">
        <v>0.19999999999998863</v>
      </c>
      <c r="X110">
        <v>0.20000000000000284</v>
      </c>
      <c r="Y110">
        <v>0</v>
      </c>
      <c r="Z110">
        <v>-0.20000000000000284</v>
      </c>
      <c r="AA110">
        <v>-9.9999999999994316E-2</v>
      </c>
      <c r="AB110">
        <v>0.59999999999999432</v>
      </c>
      <c r="AC110">
        <v>-2.7999999999999972</v>
      </c>
      <c r="AD110">
        <v>1.2999999999999972</v>
      </c>
      <c r="AE110">
        <v>0.60000000000000853</v>
      </c>
    </row>
    <row r="111" spans="1:31" x14ac:dyDescent="0.3">
      <c r="A111" s="1">
        <v>38018</v>
      </c>
      <c r="B111">
        <v>103</v>
      </c>
      <c r="C111">
        <f t="shared" si="8"/>
        <v>1.9000000000000057</v>
      </c>
      <c r="D111">
        <f t="shared" si="9"/>
        <v>101.1</v>
      </c>
      <c r="E111">
        <f t="shared" si="10"/>
        <v>0.29999999999999716</v>
      </c>
      <c r="F111">
        <f t="shared" si="11"/>
        <v>0.20000000000000284</v>
      </c>
      <c r="G111">
        <f t="shared" si="11"/>
        <v>0.79999999999999716</v>
      </c>
      <c r="H111">
        <f t="shared" si="11"/>
        <v>-0.29999999999999716</v>
      </c>
      <c r="I111">
        <f t="shared" si="11"/>
        <v>0.19999999999998863</v>
      </c>
      <c r="J111">
        <f t="shared" si="12"/>
        <v>0.20000000000000284</v>
      </c>
      <c r="K111">
        <f t="shared" si="12"/>
        <v>0</v>
      </c>
      <c r="L111">
        <f t="shared" si="12"/>
        <v>-0.20000000000000284</v>
      </c>
      <c r="M111">
        <f t="shared" si="12"/>
        <v>-9.9999999999994316E-2</v>
      </c>
      <c r="N111">
        <f t="shared" si="13"/>
        <v>0.59999999999999432</v>
      </c>
      <c r="O111">
        <f t="shared" si="13"/>
        <v>-2.7999999999999972</v>
      </c>
      <c r="P111">
        <f t="shared" si="13"/>
        <v>1.2999999999999972</v>
      </c>
      <c r="R111">
        <v>1.9000000000000057</v>
      </c>
      <c r="S111">
        <v>101.1</v>
      </c>
      <c r="T111">
        <v>0.29999999999999716</v>
      </c>
      <c r="U111">
        <v>0.20000000000000284</v>
      </c>
      <c r="V111">
        <v>0.79999999999999716</v>
      </c>
      <c r="W111">
        <v>-0.29999999999999716</v>
      </c>
      <c r="X111">
        <v>0.19999999999998863</v>
      </c>
      <c r="Y111">
        <v>0.20000000000000284</v>
      </c>
      <c r="Z111">
        <v>0</v>
      </c>
      <c r="AA111">
        <v>-0.20000000000000284</v>
      </c>
      <c r="AB111">
        <v>-9.9999999999994316E-2</v>
      </c>
      <c r="AC111">
        <v>0.59999999999999432</v>
      </c>
      <c r="AD111">
        <v>-2.7999999999999972</v>
      </c>
      <c r="AE111">
        <v>1.2999999999999972</v>
      </c>
    </row>
    <row r="112" spans="1:31" x14ac:dyDescent="0.3">
      <c r="A112" s="1">
        <v>38047</v>
      </c>
      <c r="B112">
        <v>100.8</v>
      </c>
      <c r="C112">
        <f t="shared" si="8"/>
        <v>-2.2000000000000028</v>
      </c>
      <c r="D112">
        <f t="shared" si="9"/>
        <v>103</v>
      </c>
      <c r="E112">
        <f t="shared" si="10"/>
        <v>1.9000000000000057</v>
      </c>
      <c r="F112">
        <f t="shared" si="11"/>
        <v>0.29999999999999716</v>
      </c>
      <c r="G112">
        <f t="shared" si="11"/>
        <v>0.20000000000000284</v>
      </c>
      <c r="H112">
        <f t="shared" si="11"/>
        <v>0.79999999999999716</v>
      </c>
      <c r="I112">
        <f t="shared" si="11"/>
        <v>-0.29999999999999716</v>
      </c>
      <c r="J112">
        <f t="shared" si="12"/>
        <v>0.19999999999998863</v>
      </c>
      <c r="K112">
        <f t="shared" si="12"/>
        <v>0.20000000000000284</v>
      </c>
      <c r="L112">
        <f t="shared" si="12"/>
        <v>0</v>
      </c>
      <c r="M112">
        <f t="shared" si="12"/>
        <v>-0.20000000000000284</v>
      </c>
      <c r="N112">
        <f t="shared" si="13"/>
        <v>-9.9999999999994316E-2</v>
      </c>
      <c r="O112">
        <f t="shared" si="13"/>
        <v>0.59999999999999432</v>
      </c>
      <c r="P112">
        <f t="shared" si="13"/>
        <v>-2.7999999999999972</v>
      </c>
      <c r="R112">
        <v>-2.2000000000000028</v>
      </c>
      <c r="S112">
        <v>103</v>
      </c>
      <c r="T112">
        <v>1.9000000000000057</v>
      </c>
      <c r="U112">
        <v>0.29999999999999716</v>
      </c>
      <c r="V112">
        <v>0.20000000000000284</v>
      </c>
      <c r="W112">
        <v>0.79999999999999716</v>
      </c>
      <c r="X112">
        <v>-0.29999999999999716</v>
      </c>
      <c r="Y112">
        <v>0.19999999999998863</v>
      </c>
      <c r="Z112">
        <v>0.20000000000000284</v>
      </c>
      <c r="AA112">
        <v>0</v>
      </c>
      <c r="AB112">
        <v>-0.20000000000000284</v>
      </c>
      <c r="AC112">
        <v>-9.9999999999994316E-2</v>
      </c>
      <c r="AD112">
        <v>0.59999999999999432</v>
      </c>
      <c r="AE112">
        <v>-2.7999999999999972</v>
      </c>
    </row>
    <row r="113" spans="1:31" x14ac:dyDescent="0.3">
      <c r="A113" s="1">
        <v>38078</v>
      </c>
      <c r="B113">
        <v>100.5</v>
      </c>
      <c r="C113">
        <f t="shared" si="8"/>
        <v>-0.29999999999999716</v>
      </c>
      <c r="D113">
        <f t="shared" si="9"/>
        <v>100.8</v>
      </c>
      <c r="E113">
        <f t="shared" si="10"/>
        <v>-2.2000000000000028</v>
      </c>
      <c r="F113">
        <f t="shared" si="11"/>
        <v>1.9000000000000057</v>
      </c>
      <c r="G113">
        <f t="shared" si="11"/>
        <v>0.29999999999999716</v>
      </c>
      <c r="H113">
        <f t="shared" si="11"/>
        <v>0.20000000000000284</v>
      </c>
      <c r="I113">
        <f t="shared" si="11"/>
        <v>0.79999999999999716</v>
      </c>
      <c r="J113">
        <f t="shared" si="12"/>
        <v>-0.29999999999999716</v>
      </c>
      <c r="K113">
        <f t="shared" si="12"/>
        <v>0.19999999999998863</v>
      </c>
      <c r="L113">
        <f t="shared" si="12"/>
        <v>0.20000000000000284</v>
      </c>
      <c r="M113">
        <f t="shared" si="12"/>
        <v>0</v>
      </c>
      <c r="N113">
        <f t="shared" si="13"/>
        <v>-0.20000000000000284</v>
      </c>
      <c r="O113">
        <f t="shared" si="13"/>
        <v>-9.9999999999994316E-2</v>
      </c>
      <c r="P113">
        <f t="shared" si="13"/>
        <v>0.59999999999999432</v>
      </c>
      <c r="R113">
        <v>-0.29999999999999716</v>
      </c>
      <c r="S113">
        <v>100.8</v>
      </c>
      <c r="T113">
        <v>-2.2000000000000028</v>
      </c>
      <c r="U113">
        <v>1.9000000000000057</v>
      </c>
      <c r="V113">
        <v>0.29999999999999716</v>
      </c>
      <c r="W113">
        <v>0.20000000000000284</v>
      </c>
      <c r="X113">
        <v>0.79999999999999716</v>
      </c>
      <c r="Y113">
        <v>-0.29999999999999716</v>
      </c>
      <c r="Z113">
        <v>0.19999999999998863</v>
      </c>
      <c r="AA113">
        <v>0.20000000000000284</v>
      </c>
      <c r="AB113">
        <v>0</v>
      </c>
      <c r="AC113">
        <v>-0.20000000000000284</v>
      </c>
      <c r="AD113">
        <v>-9.9999999999994316E-2</v>
      </c>
      <c r="AE113">
        <v>0.59999999999999432</v>
      </c>
    </row>
    <row r="114" spans="1:31" x14ac:dyDescent="0.3">
      <c r="A114" s="1">
        <v>38108</v>
      </c>
      <c r="B114">
        <v>100.9</v>
      </c>
      <c r="C114">
        <f t="shared" si="8"/>
        <v>0.40000000000000568</v>
      </c>
      <c r="D114">
        <f t="shared" si="9"/>
        <v>100.5</v>
      </c>
      <c r="E114">
        <f t="shared" si="10"/>
        <v>-0.29999999999999716</v>
      </c>
      <c r="F114">
        <f t="shared" si="11"/>
        <v>-2.2000000000000028</v>
      </c>
      <c r="G114">
        <f t="shared" si="11"/>
        <v>1.9000000000000057</v>
      </c>
      <c r="H114">
        <f t="shared" si="11"/>
        <v>0.29999999999999716</v>
      </c>
      <c r="I114">
        <f t="shared" si="11"/>
        <v>0.20000000000000284</v>
      </c>
      <c r="J114">
        <f t="shared" si="12"/>
        <v>0.79999999999999716</v>
      </c>
      <c r="K114">
        <f t="shared" si="12"/>
        <v>-0.29999999999999716</v>
      </c>
      <c r="L114">
        <f t="shared" si="12"/>
        <v>0.19999999999998863</v>
      </c>
      <c r="M114">
        <f t="shared" si="12"/>
        <v>0.20000000000000284</v>
      </c>
      <c r="N114">
        <f t="shared" si="13"/>
        <v>0</v>
      </c>
      <c r="O114">
        <f t="shared" si="13"/>
        <v>-0.20000000000000284</v>
      </c>
      <c r="P114">
        <f t="shared" si="13"/>
        <v>-9.9999999999994316E-2</v>
      </c>
      <c r="R114">
        <v>0.40000000000000568</v>
      </c>
      <c r="S114">
        <v>100.5</v>
      </c>
      <c r="T114">
        <v>-0.29999999999999716</v>
      </c>
      <c r="U114">
        <v>-2.2000000000000028</v>
      </c>
      <c r="V114">
        <v>1.9000000000000057</v>
      </c>
      <c r="W114">
        <v>0.29999999999999716</v>
      </c>
      <c r="X114">
        <v>0.20000000000000284</v>
      </c>
      <c r="Y114">
        <v>0.79999999999999716</v>
      </c>
      <c r="Z114">
        <v>-0.29999999999999716</v>
      </c>
      <c r="AA114">
        <v>0.19999999999998863</v>
      </c>
      <c r="AB114">
        <v>0.20000000000000284</v>
      </c>
      <c r="AC114">
        <v>0</v>
      </c>
      <c r="AD114">
        <v>-0.20000000000000284</v>
      </c>
      <c r="AE114">
        <v>-9.9999999999994316E-2</v>
      </c>
    </row>
    <row r="115" spans="1:31" x14ac:dyDescent="0.3">
      <c r="A115" s="1">
        <v>38139</v>
      </c>
      <c r="B115">
        <v>100.8</v>
      </c>
      <c r="C115">
        <f t="shared" si="8"/>
        <v>-0.10000000000000853</v>
      </c>
      <c r="D115">
        <f t="shared" si="9"/>
        <v>100.9</v>
      </c>
      <c r="E115">
        <f t="shared" si="10"/>
        <v>0.40000000000000568</v>
      </c>
      <c r="F115">
        <f t="shared" si="11"/>
        <v>-0.29999999999999716</v>
      </c>
      <c r="G115">
        <f t="shared" si="11"/>
        <v>-2.2000000000000028</v>
      </c>
      <c r="H115">
        <f t="shared" si="11"/>
        <v>1.9000000000000057</v>
      </c>
      <c r="I115">
        <f t="shared" si="11"/>
        <v>0.29999999999999716</v>
      </c>
      <c r="J115">
        <f t="shared" si="12"/>
        <v>0.20000000000000284</v>
      </c>
      <c r="K115">
        <f t="shared" si="12"/>
        <v>0.79999999999999716</v>
      </c>
      <c r="L115">
        <f t="shared" si="12"/>
        <v>-0.29999999999999716</v>
      </c>
      <c r="M115">
        <f t="shared" si="12"/>
        <v>0.19999999999998863</v>
      </c>
      <c r="N115">
        <f t="shared" si="13"/>
        <v>0.20000000000000284</v>
      </c>
      <c r="O115">
        <f t="shared" si="13"/>
        <v>0</v>
      </c>
      <c r="P115">
        <f t="shared" si="13"/>
        <v>-0.20000000000000284</v>
      </c>
      <c r="R115">
        <v>-0.10000000000000853</v>
      </c>
      <c r="S115">
        <v>100.9</v>
      </c>
      <c r="T115">
        <v>0.40000000000000568</v>
      </c>
      <c r="U115">
        <v>-0.29999999999999716</v>
      </c>
      <c r="V115">
        <v>-2.2000000000000028</v>
      </c>
      <c r="W115">
        <v>1.9000000000000057</v>
      </c>
      <c r="X115">
        <v>0.29999999999999716</v>
      </c>
      <c r="Y115">
        <v>0.20000000000000284</v>
      </c>
      <c r="Z115">
        <v>0.79999999999999716</v>
      </c>
      <c r="AA115">
        <v>-0.29999999999999716</v>
      </c>
      <c r="AB115">
        <v>0.19999999999998863</v>
      </c>
      <c r="AC115">
        <v>0.20000000000000284</v>
      </c>
      <c r="AD115">
        <v>0</v>
      </c>
      <c r="AE115">
        <v>-0.20000000000000284</v>
      </c>
    </row>
    <row r="116" spans="1:31" x14ac:dyDescent="0.3">
      <c r="A116" s="1">
        <v>38169</v>
      </c>
      <c r="B116">
        <v>100.5</v>
      </c>
      <c r="C116">
        <f t="shared" si="8"/>
        <v>-0.29999999999999716</v>
      </c>
      <c r="D116">
        <f t="shared" si="9"/>
        <v>100.8</v>
      </c>
      <c r="E116">
        <f t="shared" si="10"/>
        <v>-0.10000000000000853</v>
      </c>
      <c r="F116">
        <f t="shared" si="11"/>
        <v>0.40000000000000568</v>
      </c>
      <c r="G116">
        <f t="shared" si="11"/>
        <v>-0.29999999999999716</v>
      </c>
      <c r="H116">
        <f t="shared" si="11"/>
        <v>-2.2000000000000028</v>
      </c>
      <c r="I116">
        <f t="shared" si="11"/>
        <v>1.9000000000000057</v>
      </c>
      <c r="J116">
        <f t="shared" si="12"/>
        <v>0.29999999999999716</v>
      </c>
      <c r="K116">
        <f t="shared" si="12"/>
        <v>0.20000000000000284</v>
      </c>
      <c r="L116">
        <f t="shared" si="12"/>
        <v>0.79999999999999716</v>
      </c>
      <c r="M116">
        <f t="shared" si="12"/>
        <v>-0.29999999999999716</v>
      </c>
      <c r="N116">
        <f t="shared" si="13"/>
        <v>0.19999999999998863</v>
      </c>
      <c r="O116">
        <f t="shared" si="13"/>
        <v>0.20000000000000284</v>
      </c>
      <c r="P116">
        <f t="shared" si="13"/>
        <v>0</v>
      </c>
      <c r="R116">
        <v>-0.29999999999999716</v>
      </c>
      <c r="S116">
        <v>100.8</v>
      </c>
      <c r="T116">
        <v>-0.10000000000000853</v>
      </c>
      <c r="U116">
        <v>0.40000000000000568</v>
      </c>
      <c r="V116">
        <v>-0.29999999999999716</v>
      </c>
      <c r="W116">
        <v>-2.2000000000000028</v>
      </c>
      <c r="X116">
        <v>1.9000000000000057</v>
      </c>
      <c r="Y116">
        <v>0.29999999999999716</v>
      </c>
      <c r="Z116">
        <v>0.20000000000000284</v>
      </c>
      <c r="AA116">
        <v>0.79999999999999716</v>
      </c>
      <c r="AB116">
        <v>-0.29999999999999716</v>
      </c>
      <c r="AC116">
        <v>0.19999999999998863</v>
      </c>
      <c r="AD116">
        <v>0.20000000000000284</v>
      </c>
      <c r="AE116">
        <v>0</v>
      </c>
    </row>
    <row r="117" spans="1:31" x14ac:dyDescent="0.3">
      <c r="A117" s="1">
        <v>38200</v>
      </c>
      <c r="B117">
        <v>100.6</v>
      </c>
      <c r="C117">
        <f t="shared" si="8"/>
        <v>9.9999999999994316E-2</v>
      </c>
      <c r="D117">
        <f t="shared" si="9"/>
        <v>100.5</v>
      </c>
      <c r="E117">
        <f t="shared" si="10"/>
        <v>-0.29999999999999716</v>
      </c>
      <c r="F117">
        <f t="shared" si="11"/>
        <v>-0.10000000000000853</v>
      </c>
      <c r="G117">
        <f t="shared" si="11"/>
        <v>0.40000000000000568</v>
      </c>
      <c r="H117">
        <f t="shared" si="11"/>
        <v>-0.29999999999999716</v>
      </c>
      <c r="I117">
        <f t="shared" si="11"/>
        <v>-2.2000000000000028</v>
      </c>
      <c r="J117">
        <f t="shared" si="12"/>
        <v>1.9000000000000057</v>
      </c>
      <c r="K117">
        <f t="shared" si="12"/>
        <v>0.29999999999999716</v>
      </c>
      <c r="L117">
        <f t="shared" si="12"/>
        <v>0.20000000000000284</v>
      </c>
      <c r="M117">
        <f t="shared" si="12"/>
        <v>0.79999999999999716</v>
      </c>
      <c r="N117">
        <f t="shared" si="13"/>
        <v>-0.29999999999999716</v>
      </c>
      <c r="O117">
        <f t="shared" si="13"/>
        <v>0.19999999999998863</v>
      </c>
      <c r="P117">
        <f t="shared" si="13"/>
        <v>0.20000000000000284</v>
      </c>
      <c r="R117">
        <v>9.9999999999994316E-2</v>
      </c>
      <c r="S117">
        <v>100.5</v>
      </c>
      <c r="T117">
        <v>-0.29999999999999716</v>
      </c>
      <c r="U117">
        <v>-0.10000000000000853</v>
      </c>
      <c r="V117">
        <v>0.40000000000000568</v>
      </c>
      <c r="W117">
        <v>-0.29999999999999716</v>
      </c>
      <c r="X117">
        <v>-2.2000000000000028</v>
      </c>
      <c r="Y117">
        <v>1.9000000000000057</v>
      </c>
      <c r="Z117">
        <v>0.29999999999999716</v>
      </c>
      <c r="AA117">
        <v>0.20000000000000284</v>
      </c>
      <c r="AB117">
        <v>0.79999999999999716</v>
      </c>
      <c r="AC117">
        <v>-0.29999999999999716</v>
      </c>
      <c r="AD117">
        <v>0.19999999999998863</v>
      </c>
      <c r="AE117">
        <v>0.20000000000000284</v>
      </c>
    </row>
    <row r="118" spans="1:31" x14ac:dyDescent="0.3">
      <c r="A118" s="1">
        <v>38231</v>
      </c>
      <c r="B118">
        <v>100.3</v>
      </c>
      <c r="C118">
        <f t="shared" si="8"/>
        <v>-0.29999999999999716</v>
      </c>
      <c r="D118">
        <f t="shared" si="9"/>
        <v>100.6</v>
      </c>
      <c r="E118">
        <f t="shared" si="10"/>
        <v>9.9999999999994316E-2</v>
      </c>
      <c r="F118">
        <f t="shared" si="11"/>
        <v>-0.29999999999999716</v>
      </c>
      <c r="G118">
        <f t="shared" si="11"/>
        <v>-0.10000000000000853</v>
      </c>
      <c r="H118">
        <f t="shared" si="11"/>
        <v>0.40000000000000568</v>
      </c>
      <c r="I118">
        <f t="shared" si="11"/>
        <v>-0.29999999999999716</v>
      </c>
      <c r="J118">
        <f t="shared" si="12"/>
        <v>-2.2000000000000028</v>
      </c>
      <c r="K118">
        <f t="shared" si="12"/>
        <v>1.9000000000000057</v>
      </c>
      <c r="L118">
        <f t="shared" si="12"/>
        <v>0.29999999999999716</v>
      </c>
      <c r="M118">
        <f t="shared" si="12"/>
        <v>0.20000000000000284</v>
      </c>
      <c r="N118">
        <f t="shared" si="13"/>
        <v>0.79999999999999716</v>
      </c>
      <c r="O118">
        <f t="shared" si="13"/>
        <v>-0.29999999999999716</v>
      </c>
      <c r="P118">
        <f t="shared" si="13"/>
        <v>0.19999999999998863</v>
      </c>
      <c r="R118">
        <v>-0.29999999999999716</v>
      </c>
      <c r="S118">
        <v>100.6</v>
      </c>
      <c r="T118">
        <v>9.9999999999994316E-2</v>
      </c>
      <c r="U118">
        <v>-0.29999999999999716</v>
      </c>
      <c r="V118">
        <v>-0.10000000000000853</v>
      </c>
      <c r="W118">
        <v>0.40000000000000568</v>
      </c>
      <c r="X118">
        <v>-0.29999999999999716</v>
      </c>
      <c r="Y118">
        <v>-2.2000000000000028</v>
      </c>
      <c r="Z118">
        <v>1.9000000000000057</v>
      </c>
      <c r="AA118">
        <v>0.29999999999999716</v>
      </c>
      <c r="AB118">
        <v>0.20000000000000284</v>
      </c>
      <c r="AC118">
        <v>0.79999999999999716</v>
      </c>
      <c r="AD118">
        <v>-0.29999999999999716</v>
      </c>
      <c r="AE118">
        <v>0.19999999999998863</v>
      </c>
    </row>
    <row r="119" spans="1:31" x14ac:dyDescent="0.3">
      <c r="A119" s="1">
        <v>38261</v>
      </c>
      <c r="B119">
        <v>100</v>
      </c>
      <c r="C119">
        <f t="shared" si="8"/>
        <v>-0.29999999999999716</v>
      </c>
      <c r="D119">
        <f t="shared" si="9"/>
        <v>100.3</v>
      </c>
      <c r="E119">
        <f t="shared" si="10"/>
        <v>-0.29999999999999716</v>
      </c>
      <c r="F119">
        <f t="shared" si="11"/>
        <v>9.9999999999994316E-2</v>
      </c>
      <c r="G119">
        <f t="shared" si="11"/>
        <v>-0.29999999999999716</v>
      </c>
      <c r="H119">
        <f t="shared" si="11"/>
        <v>-0.10000000000000853</v>
      </c>
      <c r="I119">
        <f t="shared" si="11"/>
        <v>0.40000000000000568</v>
      </c>
      <c r="J119">
        <f t="shared" si="12"/>
        <v>-0.29999999999999716</v>
      </c>
      <c r="K119">
        <f t="shared" si="12"/>
        <v>-2.2000000000000028</v>
      </c>
      <c r="L119">
        <f t="shared" si="12"/>
        <v>1.9000000000000057</v>
      </c>
      <c r="M119">
        <f t="shared" si="12"/>
        <v>0.29999999999999716</v>
      </c>
      <c r="N119">
        <f t="shared" si="13"/>
        <v>0.20000000000000284</v>
      </c>
      <c r="O119">
        <f t="shared" si="13"/>
        <v>0.79999999999999716</v>
      </c>
      <c r="P119">
        <f t="shared" si="13"/>
        <v>-0.29999999999999716</v>
      </c>
      <c r="R119">
        <v>-0.29999999999999716</v>
      </c>
      <c r="S119">
        <v>100.3</v>
      </c>
      <c r="T119">
        <v>-0.29999999999999716</v>
      </c>
      <c r="U119">
        <v>9.9999999999994316E-2</v>
      </c>
      <c r="V119">
        <v>-0.29999999999999716</v>
      </c>
      <c r="W119">
        <v>-0.10000000000000853</v>
      </c>
      <c r="X119">
        <v>0.40000000000000568</v>
      </c>
      <c r="Y119">
        <v>-0.29999999999999716</v>
      </c>
      <c r="Z119">
        <v>-2.2000000000000028</v>
      </c>
      <c r="AA119">
        <v>1.9000000000000057</v>
      </c>
      <c r="AB119">
        <v>0.29999999999999716</v>
      </c>
      <c r="AC119">
        <v>0.20000000000000284</v>
      </c>
      <c r="AD119">
        <v>0.79999999999999716</v>
      </c>
      <c r="AE119">
        <v>-0.29999999999999716</v>
      </c>
    </row>
    <row r="120" spans="1:31" x14ac:dyDescent="0.3">
      <c r="A120" s="1">
        <v>38292</v>
      </c>
      <c r="B120">
        <v>100.2</v>
      </c>
      <c r="C120">
        <f t="shared" si="8"/>
        <v>0.20000000000000284</v>
      </c>
      <c r="D120">
        <f t="shared" si="9"/>
        <v>100</v>
      </c>
      <c r="E120">
        <f t="shared" si="10"/>
        <v>-0.29999999999999716</v>
      </c>
      <c r="F120">
        <f t="shared" si="11"/>
        <v>-0.29999999999999716</v>
      </c>
      <c r="G120">
        <f t="shared" si="11"/>
        <v>9.9999999999994316E-2</v>
      </c>
      <c r="H120">
        <f t="shared" si="11"/>
        <v>-0.29999999999999716</v>
      </c>
      <c r="I120">
        <f t="shared" si="11"/>
        <v>-0.10000000000000853</v>
      </c>
      <c r="J120">
        <f t="shared" si="12"/>
        <v>0.40000000000000568</v>
      </c>
      <c r="K120">
        <f t="shared" si="12"/>
        <v>-0.29999999999999716</v>
      </c>
      <c r="L120">
        <f t="shared" si="12"/>
        <v>-2.2000000000000028</v>
      </c>
      <c r="M120">
        <f t="shared" si="12"/>
        <v>1.9000000000000057</v>
      </c>
      <c r="N120">
        <f t="shared" si="13"/>
        <v>0.29999999999999716</v>
      </c>
      <c r="O120">
        <f t="shared" si="13"/>
        <v>0.20000000000000284</v>
      </c>
      <c r="P120">
        <f t="shared" si="13"/>
        <v>0.79999999999999716</v>
      </c>
      <c r="R120">
        <v>0.20000000000000284</v>
      </c>
      <c r="S120">
        <v>100</v>
      </c>
      <c r="T120">
        <v>-0.29999999999999716</v>
      </c>
      <c r="U120">
        <v>-0.29999999999999716</v>
      </c>
      <c r="V120">
        <v>9.9999999999994316E-2</v>
      </c>
      <c r="W120">
        <v>-0.29999999999999716</v>
      </c>
      <c r="X120">
        <v>-0.10000000000000853</v>
      </c>
      <c r="Y120">
        <v>0.40000000000000568</v>
      </c>
      <c r="Z120">
        <v>-0.29999999999999716</v>
      </c>
      <c r="AA120">
        <v>-2.2000000000000028</v>
      </c>
      <c r="AB120">
        <v>1.9000000000000057</v>
      </c>
      <c r="AC120">
        <v>0.29999999999999716</v>
      </c>
      <c r="AD120">
        <v>0.20000000000000284</v>
      </c>
      <c r="AE120">
        <v>0.79999999999999716</v>
      </c>
    </row>
    <row r="121" spans="1:31" x14ac:dyDescent="0.3">
      <c r="A121" s="1">
        <v>38322</v>
      </c>
      <c r="B121">
        <v>100.6</v>
      </c>
      <c r="C121">
        <f t="shared" si="8"/>
        <v>0.39999999999999147</v>
      </c>
      <c r="D121">
        <f t="shared" si="9"/>
        <v>100.2</v>
      </c>
      <c r="E121">
        <f t="shared" si="10"/>
        <v>0.20000000000000284</v>
      </c>
      <c r="F121">
        <f t="shared" si="11"/>
        <v>-0.29999999999999716</v>
      </c>
      <c r="G121">
        <f t="shared" si="11"/>
        <v>-0.29999999999999716</v>
      </c>
      <c r="H121">
        <f t="shared" si="11"/>
        <v>9.9999999999994316E-2</v>
      </c>
      <c r="I121">
        <f t="shared" si="11"/>
        <v>-0.29999999999999716</v>
      </c>
      <c r="J121">
        <f t="shared" si="12"/>
        <v>-0.10000000000000853</v>
      </c>
      <c r="K121">
        <f t="shared" si="12"/>
        <v>0.40000000000000568</v>
      </c>
      <c r="L121">
        <f t="shared" si="12"/>
        <v>-0.29999999999999716</v>
      </c>
      <c r="M121">
        <f t="shared" si="12"/>
        <v>-2.2000000000000028</v>
      </c>
      <c r="N121">
        <f t="shared" si="13"/>
        <v>1.9000000000000057</v>
      </c>
      <c r="O121">
        <f t="shared" si="13"/>
        <v>0.29999999999999716</v>
      </c>
      <c r="P121">
        <f t="shared" si="13"/>
        <v>0.20000000000000284</v>
      </c>
      <c r="R121">
        <v>0.39999999999999147</v>
      </c>
      <c r="S121">
        <v>100.2</v>
      </c>
      <c r="T121">
        <v>0.20000000000000284</v>
      </c>
      <c r="U121">
        <v>-0.29999999999999716</v>
      </c>
      <c r="V121">
        <v>-0.29999999999999716</v>
      </c>
      <c r="W121">
        <v>9.9999999999994316E-2</v>
      </c>
      <c r="X121">
        <v>-0.29999999999999716</v>
      </c>
      <c r="Y121">
        <v>-0.10000000000000853</v>
      </c>
      <c r="Z121">
        <v>0.40000000000000568</v>
      </c>
      <c r="AA121">
        <v>-0.29999999999999716</v>
      </c>
      <c r="AB121">
        <v>-2.2000000000000028</v>
      </c>
      <c r="AC121">
        <v>1.9000000000000057</v>
      </c>
      <c r="AD121">
        <v>0.29999999999999716</v>
      </c>
      <c r="AE121">
        <v>0.20000000000000284</v>
      </c>
    </row>
    <row r="122" spans="1:31" x14ac:dyDescent="0.3">
      <c r="A122" s="1">
        <v>38353</v>
      </c>
      <c r="B122">
        <v>101.1</v>
      </c>
      <c r="C122">
        <f t="shared" si="8"/>
        <v>0.5</v>
      </c>
      <c r="D122">
        <f t="shared" si="9"/>
        <v>100.6</v>
      </c>
      <c r="E122">
        <f t="shared" si="10"/>
        <v>0.39999999999999147</v>
      </c>
      <c r="F122">
        <f t="shared" si="11"/>
        <v>0.20000000000000284</v>
      </c>
      <c r="G122">
        <f t="shared" si="11"/>
        <v>-0.29999999999999716</v>
      </c>
      <c r="H122">
        <f t="shared" si="11"/>
        <v>-0.29999999999999716</v>
      </c>
      <c r="I122">
        <f t="shared" si="11"/>
        <v>9.9999999999994316E-2</v>
      </c>
      <c r="J122">
        <f t="shared" si="12"/>
        <v>-0.29999999999999716</v>
      </c>
      <c r="K122">
        <f t="shared" si="12"/>
        <v>-0.10000000000000853</v>
      </c>
      <c r="L122">
        <f t="shared" si="12"/>
        <v>0.40000000000000568</v>
      </c>
      <c r="M122">
        <f t="shared" si="12"/>
        <v>-0.29999999999999716</v>
      </c>
      <c r="N122">
        <f t="shared" si="13"/>
        <v>-2.2000000000000028</v>
      </c>
      <c r="O122">
        <f t="shared" si="13"/>
        <v>1.9000000000000057</v>
      </c>
      <c r="P122">
        <f t="shared" si="13"/>
        <v>0.29999999999999716</v>
      </c>
      <c r="R122">
        <v>0.5</v>
      </c>
      <c r="S122">
        <v>100.6</v>
      </c>
      <c r="T122">
        <v>0.39999999999999147</v>
      </c>
      <c r="U122">
        <v>0.20000000000000284</v>
      </c>
      <c r="V122">
        <v>-0.29999999999999716</v>
      </c>
      <c r="W122">
        <v>-0.29999999999999716</v>
      </c>
      <c r="X122">
        <v>9.9999999999994316E-2</v>
      </c>
      <c r="Y122">
        <v>-0.29999999999999716</v>
      </c>
      <c r="Z122">
        <v>-0.10000000000000853</v>
      </c>
      <c r="AA122">
        <v>0.40000000000000568</v>
      </c>
      <c r="AB122">
        <v>-0.29999999999999716</v>
      </c>
      <c r="AC122">
        <v>-2.2000000000000028</v>
      </c>
      <c r="AD122">
        <v>1.9000000000000057</v>
      </c>
      <c r="AE122">
        <v>0.29999999999999716</v>
      </c>
    </row>
    <row r="123" spans="1:31" x14ac:dyDescent="0.3">
      <c r="A123" s="1">
        <v>38384</v>
      </c>
      <c r="B123">
        <v>102.5</v>
      </c>
      <c r="C123">
        <f t="shared" si="8"/>
        <v>1.4000000000000057</v>
      </c>
      <c r="D123">
        <f t="shared" si="9"/>
        <v>101.1</v>
      </c>
      <c r="E123">
        <f t="shared" si="10"/>
        <v>0.5</v>
      </c>
      <c r="F123">
        <f t="shared" si="11"/>
        <v>0.39999999999999147</v>
      </c>
      <c r="G123">
        <f t="shared" si="11"/>
        <v>0.20000000000000284</v>
      </c>
      <c r="H123">
        <f t="shared" si="11"/>
        <v>-0.29999999999999716</v>
      </c>
      <c r="I123">
        <f t="shared" si="11"/>
        <v>-0.29999999999999716</v>
      </c>
      <c r="J123">
        <f t="shared" si="12"/>
        <v>9.9999999999994316E-2</v>
      </c>
      <c r="K123">
        <f t="shared" si="12"/>
        <v>-0.29999999999999716</v>
      </c>
      <c r="L123">
        <f t="shared" si="12"/>
        <v>-0.10000000000000853</v>
      </c>
      <c r="M123">
        <f t="shared" si="12"/>
        <v>0.40000000000000568</v>
      </c>
      <c r="N123">
        <f t="shared" si="13"/>
        <v>-0.29999999999999716</v>
      </c>
      <c r="O123">
        <f t="shared" si="13"/>
        <v>-2.2000000000000028</v>
      </c>
      <c r="P123">
        <f t="shared" si="13"/>
        <v>1.9000000000000057</v>
      </c>
      <c r="R123">
        <v>1.4000000000000057</v>
      </c>
      <c r="S123">
        <v>101.1</v>
      </c>
      <c r="T123">
        <v>0.5</v>
      </c>
      <c r="U123">
        <v>0.39999999999999147</v>
      </c>
      <c r="V123">
        <v>0.20000000000000284</v>
      </c>
      <c r="W123">
        <v>-0.29999999999999716</v>
      </c>
      <c r="X123">
        <v>-0.29999999999999716</v>
      </c>
      <c r="Y123">
        <v>9.9999999999994316E-2</v>
      </c>
      <c r="Z123">
        <v>-0.29999999999999716</v>
      </c>
      <c r="AA123">
        <v>-0.10000000000000853</v>
      </c>
      <c r="AB123">
        <v>0.40000000000000568</v>
      </c>
      <c r="AC123">
        <v>-0.29999999999999716</v>
      </c>
      <c r="AD123">
        <v>-2.2000000000000028</v>
      </c>
      <c r="AE123">
        <v>1.9000000000000057</v>
      </c>
    </row>
    <row r="124" spans="1:31" x14ac:dyDescent="0.3">
      <c r="A124" s="1">
        <v>38412</v>
      </c>
      <c r="B124">
        <v>100.1</v>
      </c>
      <c r="C124">
        <f t="shared" si="8"/>
        <v>-2.4000000000000057</v>
      </c>
      <c r="D124">
        <f t="shared" si="9"/>
        <v>102.5</v>
      </c>
      <c r="E124">
        <f t="shared" si="10"/>
        <v>1.4000000000000057</v>
      </c>
      <c r="F124">
        <f t="shared" si="11"/>
        <v>0.5</v>
      </c>
      <c r="G124">
        <f t="shared" si="11"/>
        <v>0.39999999999999147</v>
      </c>
      <c r="H124">
        <f t="shared" si="11"/>
        <v>0.20000000000000284</v>
      </c>
      <c r="I124">
        <f t="shared" si="11"/>
        <v>-0.29999999999999716</v>
      </c>
      <c r="J124">
        <f t="shared" si="12"/>
        <v>-0.29999999999999716</v>
      </c>
      <c r="K124">
        <f t="shared" si="12"/>
        <v>9.9999999999994316E-2</v>
      </c>
      <c r="L124">
        <f t="shared" si="12"/>
        <v>-0.29999999999999716</v>
      </c>
      <c r="M124">
        <f t="shared" si="12"/>
        <v>-0.10000000000000853</v>
      </c>
      <c r="N124">
        <f t="shared" si="13"/>
        <v>0.40000000000000568</v>
      </c>
      <c r="O124">
        <f t="shared" si="13"/>
        <v>-0.29999999999999716</v>
      </c>
      <c r="P124">
        <f t="shared" si="13"/>
        <v>-2.2000000000000028</v>
      </c>
      <c r="R124">
        <v>-2.4000000000000057</v>
      </c>
      <c r="S124">
        <v>102.5</v>
      </c>
      <c r="T124">
        <v>1.4000000000000057</v>
      </c>
      <c r="U124">
        <v>0.5</v>
      </c>
      <c r="V124">
        <v>0.39999999999999147</v>
      </c>
      <c r="W124">
        <v>0.20000000000000284</v>
      </c>
      <c r="X124">
        <v>-0.29999999999999716</v>
      </c>
      <c r="Y124">
        <v>-0.29999999999999716</v>
      </c>
      <c r="Z124">
        <v>9.9999999999994316E-2</v>
      </c>
      <c r="AA124">
        <v>-0.29999999999999716</v>
      </c>
      <c r="AB124">
        <v>-0.10000000000000853</v>
      </c>
      <c r="AC124">
        <v>0.40000000000000568</v>
      </c>
      <c r="AD124">
        <v>-0.29999999999999716</v>
      </c>
      <c r="AE124">
        <v>-2.2000000000000028</v>
      </c>
    </row>
    <row r="125" spans="1:31" x14ac:dyDescent="0.3">
      <c r="A125" s="1">
        <v>38443</v>
      </c>
      <c r="B125">
        <v>100.6</v>
      </c>
      <c r="C125">
        <f t="shared" si="8"/>
        <v>0.5</v>
      </c>
      <c r="D125">
        <f t="shared" si="9"/>
        <v>100.1</v>
      </c>
      <c r="E125">
        <f t="shared" si="10"/>
        <v>-2.4000000000000057</v>
      </c>
      <c r="F125">
        <f t="shared" si="11"/>
        <v>1.4000000000000057</v>
      </c>
      <c r="G125">
        <f t="shared" si="11"/>
        <v>0.5</v>
      </c>
      <c r="H125">
        <f t="shared" si="11"/>
        <v>0.39999999999999147</v>
      </c>
      <c r="I125">
        <f t="shared" si="11"/>
        <v>0.20000000000000284</v>
      </c>
      <c r="J125">
        <f t="shared" si="12"/>
        <v>-0.29999999999999716</v>
      </c>
      <c r="K125">
        <f t="shared" si="12"/>
        <v>-0.29999999999999716</v>
      </c>
      <c r="L125">
        <f t="shared" si="12"/>
        <v>9.9999999999994316E-2</v>
      </c>
      <c r="M125">
        <f t="shared" si="12"/>
        <v>-0.29999999999999716</v>
      </c>
      <c r="N125">
        <f t="shared" si="13"/>
        <v>-0.10000000000000853</v>
      </c>
      <c r="O125">
        <f t="shared" si="13"/>
        <v>0.40000000000000568</v>
      </c>
      <c r="P125">
        <f t="shared" si="13"/>
        <v>-0.29999999999999716</v>
      </c>
      <c r="R125">
        <v>0.5</v>
      </c>
      <c r="S125">
        <v>100.1</v>
      </c>
      <c r="T125">
        <v>-2.4000000000000057</v>
      </c>
      <c r="U125">
        <v>1.4000000000000057</v>
      </c>
      <c r="V125">
        <v>0.5</v>
      </c>
      <c r="W125">
        <v>0.39999999999999147</v>
      </c>
      <c r="X125">
        <v>0.20000000000000284</v>
      </c>
      <c r="Y125">
        <v>-0.29999999999999716</v>
      </c>
      <c r="Z125">
        <v>-0.29999999999999716</v>
      </c>
      <c r="AA125">
        <v>9.9999999999994316E-2</v>
      </c>
      <c r="AB125">
        <v>-0.29999999999999716</v>
      </c>
      <c r="AC125">
        <v>-0.10000000000000853</v>
      </c>
      <c r="AD125">
        <v>0.40000000000000568</v>
      </c>
      <c r="AE125">
        <v>-0.29999999999999716</v>
      </c>
    </row>
    <row r="126" spans="1:31" x14ac:dyDescent="0.3">
      <c r="A126" s="1">
        <v>38473</v>
      </c>
      <c r="B126">
        <v>100.5</v>
      </c>
      <c r="C126">
        <f t="shared" si="8"/>
        <v>-9.9999999999994316E-2</v>
      </c>
      <c r="D126">
        <f t="shared" si="9"/>
        <v>100.6</v>
      </c>
      <c r="E126">
        <f t="shared" si="10"/>
        <v>0.5</v>
      </c>
      <c r="F126">
        <f t="shared" si="11"/>
        <v>-2.4000000000000057</v>
      </c>
      <c r="G126">
        <f t="shared" si="11"/>
        <v>1.4000000000000057</v>
      </c>
      <c r="H126">
        <f t="shared" si="11"/>
        <v>0.5</v>
      </c>
      <c r="I126">
        <f t="shared" si="11"/>
        <v>0.39999999999999147</v>
      </c>
      <c r="J126">
        <f t="shared" si="12"/>
        <v>0.20000000000000284</v>
      </c>
      <c r="K126">
        <f t="shared" si="12"/>
        <v>-0.29999999999999716</v>
      </c>
      <c r="L126">
        <f t="shared" si="12"/>
        <v>-0.29999999999999716</v>
      </c>
      <c r="M126">
        <f t="shared" si="12"/>
        <v>9.9999999999994316E-2</v>
      </c>
      <c r="N126">
        <f t="shared" si="13"/>
        <v>-0.29999999999999716</v>
      </c>
      <c r="O126">
        <f t="shared" si="13"/>
        <v>-0.10000000000000853</v>
      </c>
      <c r="P126">
        <f t="shared" si="13"/>
        <v>0.40000000000000568</v>
      </c>
      <c r="R126">
        <v>-9.9999999999994316E-2</v>
      </c>
      <c r="S126">
        <v>100.6</v>
      </c>
      <c r="T126">
        <v>0.5</v>
      </c>
      <c r="U126">
        <v>-2.4000000000000057</v>
      </c>
      <c r="V126">
        <v>1.4000000000000057</v>
      </c>
      <c r="W126">
        <v>0.5</v>
      </c>
      <c r="X126">
        <v>0.39999999999999147</v>
      </c>
      <c r="Y126">
        <v>0.20000000000000284</v>
      </c>
      <c r="Z126">
        <v>-0.29999999999999716</v>
      </c>
      <c r="AA126">
        <v>-0.29999999999999716</v>
      </c>
      <c r="AB126">
        <v>9.9999999999994316E-2</v>
      </c>
      <c r="AC126">
        <v>-0.29999999999999716</v>
      </c>
      <c r="AD126">
        <v>-0.10000000000000853</v>
      </c>
      <c r="AE126">
        <v>0.40000000000000568</v>
      </c>
    </row>
    <row r="127" spans="1:31" x14ac:dyDescent="0.3">
      <c r="A127" s="1">
        <v>38504</v>
      </c>
      <c r="B127">
        <v>100.4</v>
      </c>
      <c r="C127">
        <f t="shared" si="8"/>
        <v>-9.9999999999994316E-2</v>
      </c>
      <c r="D127">
        <f t="shared" si="9"/>
        <v>100.5</v>
      </c>
      <c r="E127">
        <f t="shared" si="10"/>
        <v>-9.9999999999994316E-2</v>
      </c>
      <c r="F127">
        <f t="shared" si="11"/>
        <v>0.5</v>
      </c>
      <c r="G127">
        <f t="shared" si="11"/>
        <v>-2.4000000000000057</v>
      </c>
      <c r="H127">
        <f t="shared" si="11"/>
        <v>1.4000000000000057</v>
      </c>
      <c r="I127">
        <f t="shared" si="11"/>
        <v>0.5</v>
      </c>
      <c r="J127">
        <f t="shared" si="12"/>
        <v>0.39999999999999147</v>
      </c>
      <c r="K127">
        <f t="shared" si="12"/>
        <v>0.20000000000000284</v>
      </c>
      <c r="L127">
        <f t="shared" si="12"/>
        <v>-0.29999999999999716</v>
      </c>
      <c r="M127">
        <f t="shared" si="12"/>
        <v>-0.29999999999999716</v>
      </c>
      <c r="N127">
        <f t="shared" si="13"/>
        <v>9.9999999999994316E-2</v>
      </c>
      <c r="O127">
        <f t="shared" si="13"/>
        <v>-0.29999999999999716</v>
      </c>
      <c r="P127">
        <f t="shared" si="13"/>
        <v>-0.10000000000000853</v>
      </c>
      <c r="R127">
        <v>-9.9999999999994316E-2</v>
      </c>
      <c r="S127">
        <v>100.5</v>
      </c>
      <c r="T127">
        <v>-9.9999999999994316E-2</v>
      </c>
      <c r="U127">
        <v>0.5</v>
      </c>
      <c r="V127">
        <v>-2.4000000000000057</v>
      </c>
      <c r="W127">
        <v>1.4000000000000057</v>
      </c>
      <c r="X127">
        <v>0.5</v>
      </c>
      <c r="Y127">
        <v>0.39999999999999147</v>
      </c>
      <c r="Z127">
        <v>0.20000000000000284</v>
      </c>
      <c r="AA127">
        <v>-0.29999999999999716</v>
      </c>
      <c r="AB127">
        <v>-0.29999999999999716</v>
      </c>
      <c r="AC127">
        <v>9.9999999999994316E-2</v>
      </c>
      <c r="AD127">
        <v>-0.29999999999999716</v>
      </c>
      <c r="AE127">
        <v>-0.10000000000000853</v>
      </c>
    </row>
    <row r="128" spans="1:31" x14ac:dyDescent="0.3">
      <c r="A128" s="1">
        <v>38534</v>
      </c>
      <c r="B128">
        <v>100.4</v>
      </c>
      <c r="C128">
        <f t="shared" si="8"/>
        <v>0</v>
      </c>
      <c r="D128">
        <f t="shared" si="9"/>
        <v>100.4</v>
      </c>
      <c r="E128">
        <f t="shared" si="10"/>
        <v>-9.9999999999994316E-2</v>
      </c>
      <c r="F128">
        <f t="shared" si="11"/>
        <v>-9.9999999999994316E-2</v>
      </c>
      <c r="G128">
        <f t="shared" si="11"/>
        <v>0.5</v>
      </c>
      <c r="H128">
        <f t="shared" si="11"/>
        <v>-2.4000000000000057</v>
      </c>
      <c r="I128">
        <f t="shared" si="11"/>
        <v>1.4000000000000057</v>
      </c>
      <c r="J128">
        <f t="shared" si="12"/>
        <v>0.5</v>
      </c>
      <c r="K128">
        <f t="shared" si="12"/>
        <v>0.39999999999999147</v>
      </c>
      <c r="L128">
        <f t="shared" si="12"/>
        <v>0.20000000000000284</v>
      </c>
      <c r="M128">
        <f t="shared" si="12"/>
        <v>-0.29999999999999716</v>
      </c>
      <c r="N128">
        <f t="shared" si="13"/>
        <v>-0.29999999999999716</v>
      </c>
      <c r="O128">
        <f t="shared" si="13"/>
        <v>9.9999999999994316E-2</v>
      </c>
      <c r="P128">
        <f t="shared" si="13"/>
        <v>-0.29999999999999716</v>
      </c>
      <c r="R128">
        <v>0</v>
      </c>
      <c r="S128">
        <v>100.4</v>
      </c>
      <c r="T128">
        <v>-9.9999999999994316E-2</v>
      </c>
      <c r="U128">
        <v>-9.9999999999994316E-2</v>
      </c>
      <c r="V128">
        <v>0.5</v>
      </c>
      <c r="W128">
        <v>-2.4000000000000057</v>
      </c>
      <c r="X128">
        <v>1.4000000000000057</v>
      </c>
      <c r="Y128">
        <v>0.5</v>
      </c>
      <c r="Z128">
        <v>0.39999999999999147</v>
      </c>
      <c r="AA128">
        <v>0.20000000000000284</v>
      </c>
      <c r="AB128">
        <v>-0.29999999999999716</v>
      </c>
      <c r="AC128">
        <v>-0.29999999999999716</v>
      </c>
      <c r="AD128">
        <v>9.9999999999994316E-2</v>
      </c>
      <c r="AE128">
        <v>-0.29999999999999716</v>
      </c>
    </row>
    <row r="129" spans="1:31" x14ac:dyDescent="0.3">
      <c r="A129" s="1">
        <v>38565</v>
      </c>
      <c r="B129">
        <v>100.4</v>
      </c>
      <c r="C129">
        <f t="shared" si="8"/>
        <v>0</v>
      </c>
      <c r="D129">
        <f t="shared" si="9"/>
        <v>100.4</v>
      </c>
      <c r="E129">
        <f t="shared" si="10"/>
        <v>0</v>
      </c>
      <c r="F129">
        <f t="shared" si="11"/>
        <v>-9.9999999999994316E-2</v>
      </c>
      <c r="G129">
        <f t="shared" si="11"/>
        <v>-9.9999999999994316E-2</v>
      </c>
      <c r="H129">
        <f t="shared" si="11"/>
        <v>0.5</v>
      </c>
      <c r="I129">
        <f t="shared" si="11"/>
        <v>-2.4000000000000057</v>
      </c>
      <c r="J129">
        <f t="shared" si="12"/>
        <v>1.4000000000000057</v>
      </c>
      <c r="K129">
        <f t="shared" si="12"/>
        <v>0.5</v>
      </c>
      <c r="L129">
        <f t="shared" si="12"/>
        <v>0.39999999999999147</v>
      </c>
      <c r="M129">
        <f t="shared" si="12"/>
        <v>0.20000000000000284</v>
      </c>
      <c r="N129">
        <f t="shared" si="13"/>
        <v>-0.29999999999999716</v>
      </c>
      <c r="O129">
        <f t="shared" si="13"/>
        <v>-0.29999999999999716</v>
      </c>
      <c r="P129">
        <f t="shared" si="13"/>
        <v>9.9999999999994316E-2</v>
      </c>
      <c r="R129">
        <v>0</v>
      </c>
      <c r="S129">
        <v>100.4</v>
      </c>
      <c r="T129">
        <v>0</v>
      </c>
      <c r="U129">
        <v>-9.9999999999994316E-2</v>
      </c>
      <c r="V129">
        <v>-9.9999999999994316E-2</v>
      </c>
      <c r="W129">
        <v>0.5</v>
      </c>
      <c r="X129">
        <v>-2.4000000000000057</v>
      </c>
      <c r="Y129">
        <v>1.4000000000000057</v>
      </c>
      <c r="Z129">
        <v>0.5</v>
      </c>
      <c r="AA129">
        <v>0.39999999999999147</v>
      </c>
      <c r="AB129">
        <v>0.20000000000000284</v>
      </c>
      <c r="AC129">
        <v>-0.29999999999999716</v>
      </c>
      <c r="AD129">
        <v>-0.29999999999999716</v>
      </c>
      <c r="AE129">
        <v>9.9999999999994316E-2</v>
      </c>
    </row>
    <row r="130" spans="1:31" x14ac:dyDescent="0.3">
      <c r="A130" s="1">
        <v>38596</v>
      </c>
      <c r="B130">
        <v>100.8</v>
      </c>
      <c r="C130">
        <f t="shared" si="8"/>
        <v>0.39999999999999147</v>
      </c>
      <c r="D130">
        <f t="shared" si="9"/>
        <v>100.4</v>
      </c>
      <c r="E130">
        <f t="shared" si="10"/>
        <v>0</v>
      </c>
      <c r="F130">
        <f t="shared" si="11"/>
        <v>0</v>
      </c>
      <c r="G130">
        <f t="shared" si="11"/>
        <v>-9.9999999999994316E-2</v>
      </c>
      <c r="H130">
        <f t="shared" si="11"/>
        <v>-9.9999999999994316E-2</v>
      </c>
      <c r="I130">
        <f t="shared" si="11"/>
        <v>0.5</v>
      </c>
      <c r="J130">
        <f t="shared" si="12"/>
        <v>-2.4000000000000057</v>
      </c>
      <c r="K130">
        <f t="shared" si="12"/>
        <v>1.4000000000000057</v>
      </c>
      <c r="L130">
        <f t="shared" si="12"/>
        <v>0.5</v>
      </c>
      <c r="M130">
        <f t="shared" si="12"/>
        <v>0.39999999999999147</v>
      </c>
      <c r="N130">
        <f t="shared" si="13"/>
        <v>0.20000000000000284</v>
      </c>
      <c r="O130">
        <f t="shared" si="13"/>
        <v>-0.29999999999999716</v>
      </c>
      <c r="P130">
        <f t="shared" si="13"/>
        <v>-0.29999999999999716</v>
      </c>
      <c r="R130">
        <v>0.39999999999999147</v>
      </c>
      <c r="S130">
        <v>100.4</v>
      </c>
      <c r="T130">
        <v>0</v>
      </c>
      <c r="U130">
        <v>0</v>
      </c>
      <c r="V130">
        <v>-9.9999999999994316E-2</v>
      </c>
      <c r="W130">
        <v>-9.9999999999994316E-2</v>
      </c>
      <c r="X130">
        <v>0.5</v>
      </c>
      <c r="Y130">
        <v>-2.4000000000000057</v>
      </c>
      <c r="Z130">
        <v>1.4000000000000057</v>
      </c>
      <c r="AA130">
        <v>0.5</v>
      </c>
      <c r="AB130">
        <v>0.39999999999999147</v>
      </c>
      <c r="AC130">
        <v>0.20000000000000284</v>
      </c>
      <c r="AD130">
        <v>-0.29999999999999716</v>
      </c>
      <c r="AE130">
        <v>-0.29999999999999716</v>
      </c>
    </row>
    <row r="131" spans="1:31" x14ac:dyDescent="0.3">
      <c r="A131" s="1">
        <v>38626</v>
      </c>
      <c r="B131">
        <v>100.4</v>
      </c>
      <c r="C131">
        <f t="shared" si="8"/>
        <v>-0.39999999999999147</v>
      </c>
      <c r="D131">
        <f t="shared" si="9"/>
        <v>100.8</v>
      </c>
      <c r="E131">
        <f t="shared" si="10"/>
        <v>0.39999999999999147</v>
      </c>
      <c r="F131">
        <f t="shared" si="11"/>
        <v>0</v>
      </c>
      <c r="G131">
        <f t="shared" si="11"/>
        <v>0</v>
      </c>
      <c r="H131">
        <f t="shared" si="11"/>
        <v>-9.9999999999994316E-2</v>
      </c>
      <c r="I131">
        <f t="shared" si="11"/>
        <v>-9.9999999999994316E-2</v>
      </c>
      <c r="J131">
        <f t="shared" si="12"/>
        <v>0.5</v>
      </c>
      <c r="K131">
        <f t="shared" si="12"/>
        <v>-2.4000000000000057</v>
      </c>
      <c r="L131">
        <f t="shared" si="12"/>
        <v>1.4000000000000057</v>
      </c>
      <c r="M131">
        <f t="shared" si="12"/>
        <v>0.5</v>
      </c>
      <c r="N131">
        <f t="shared" si="13"/>
        <v>0.39999999999999147</v>
      </c>
      <c r="O131">
        <f t="shared" si="13"/>
        <v>0.20000000000000284</v>
      </c>
      <c r="P131">
        <f t="shared" si="13"/>
        <v>-0.29999999999999716</v>
      </c>
      <c r="R131">
        <v>-0.39999999999999147</v>
      </c>
      <c r="S131">
        <v>100.8</v>
      </c>
      <c r="T131">
        <v>0.39999999999999147</v>
      </c>
      <c r="U131">
        <v>0</v>
      </c>
      <c r="V131">
        <v>0</v>
      </c>
      <c r="W131">
        <v>-9.9999999999994316E-2</v>
      </c>
      <c r="X131">
        <v>-9.9999999999994316E-2</v>
      </c>
      <c r="Y131">
        <v>0.5</v>
      </c>
      <c r="Z131">
        <v>-2.4000000000000057</v>
      </c>
      <c r="AA131">
        <v>1.4000000000000057</v>
      </c>
      <c r="AB131">
        <v>0.5</v>
      </c>
      <c r="AC131">
        <v>0.39999999999999147</v>
      </c>
      <c r="AD131">
        <v>0.20000000000000284</v>
      </c>
      <c r="AE131">
        <v>-0.29999999999999716</v>
      </c>
    </row>
    <row r="132" spans="1:31" x14ac:dyDescent="0.3">
      <c r="A132" s="1">
        <v>38657</v>
      </c>
      <c r="B132">
        <v>100.4</v>
      </c>
      <c r="C132">
        <f t="shared" ref="C132:C195" si="14">B132-B131</f>
        <v>0</v>
      </c>
      <c r="D132">
        <f t="shared" ref="D132:D195" si="15">B131</f>
        <v>100.4</v>
      </c>
      <c r="E132">
        <f t="shared" si="10"/>
        <v>-0.39999999999999147</v>
      </c>
      <c r="F132">
        <f t="shared" si="11"/>
        <v>0.39999999999999147</v>
      </c>
      <c r="G132">
        <f t="shared" si="11"/>
        <v>0</v>
      </c>
      <c r="H132">
        <f t="shared" si="11"/>
        <v>0</v>
      </c>
      <c r="I132">
        <f t="shared" si="11"/>
        <v>-9.9999999999994316E-2</v>
      </c>
      <c r="J132">
        <f t="shared" si="12"/>
        <v>-9.9999999999994316E-2</v>
      </c>
      <c r="K132">
        <f t="shared" si="12"/>
        <v>0.5</v>
      </c>
      <c r="L132">
        <f t="shared" si="12"/>
        <v>-2.4000000000000057</v>
      </c>
      <c r="M132">
        <f t="shared" si="12"/>
        <v>1.4000000000000057</v>
      </c>
      <c r="N132">
        <f t="shared" si="13"/>
        <v>0.5</v>
      </c>
      <c r="O132">
        <f t="shared" si="13"/>
        <v>0.39999999999999147</v>
      </c>
      <c r="P132">
        <f t="shared" si="13"/>
        <v>0.20000000000000284</v>
      </c>
      <c r="R132">
        <v>0</v>
      </c>
      <c r="S132">
        <v>100.4</v>
      </c>
      <c r="T132">
        <v>-0.39999999999999147</v>
      </c>
      <c r="U132">
        <v>0.39999999999999147</v>
      </c>
      <c r="V132">
        <v>0</v>
      </c>
      <c r="W132">
        <v>0</v>
      </c>
      <c r="X132">
        <v>-9.9999999999994316E-2</v>
      </c>
      <c r="Y132">
        <v>-9.9999999999994316E-2</v>
      </c>
      <c r="Z132">
        <v>0.5</v>
      </c>
      <c r="AA132">
        <v>-2.4000000000000057</v>
      </c>
      <c r="AB132">
        <v>1.4000000000000057</v>
      </c>
      <c r="AC132">
        <v>0.5</v>
      </c>
      <c r="AD132">
        <v>0.39999999999999147</v>
      </c>
      <c r="AE132">
        <v>0.20000000000000284</v>
      </c>
    </row>
    <row r="133" spans="1:31" x14ac:dyDescent="0.3">
      <c r="A133" s="1">
        <v>38687</v>
      </c>
      <c r="B133">
        <v>100.8</v>
      </c>
      <c r="C133">
        <f t="shared" si="14"/>
        <v>0.39999999999999147</v>
      </c>
      <c r="D133">
        <f t="shared" si="15"/>
        <v>100.4</v>
      </c>
      <c r="E133">
        <f t="shared" ref="E133:E196" si="16">C132</f>
        <v>0</v>
      </c>
      <c r="F133">
        <f t="shared" si="11"/>
        <v>-0.39999999999999147</v>
      </c>
      <c r="G133">
        <f t="shared" si="11"/>
        <v>0.39999999999999147</v>
      </c>
      <c r="H133">
        <f t="shared" si="11"/>
        <v>0</v>
      </c>
      <c r="I133">
        <f t="shared" ref="I133:L196" si="17">H132</f>
        <v>0</v>
      </c>
      <c r="J133">
        <f t="shared" si="12"/>
        <v>-9.9999999999994316E-2</v>
      </c>
      <c r="K133">
        <f t="shared" si="12"/>
        <v>-9.9999999999994316E-2</v>
      </c>
      <c r="L133">
        <f t="shared" si="12"/>
        <v>0.5</v>
      </c>
      <c r="M133">
        <f t="shared" si="12"/>
        <v>-2.4000000000000057</v>
      </c>
      <c r="N133">
        <f t="shared" si="13"/>
        <v>1.4000000000000057</v>
      </c>
      <c r="O133">
        <f t="shared" si="13"/>
        <v>0.5</v>
      </c>
      <c r="P133">
        <f t="shared" si="13"/>
        <v>0.39999999999999147</v>
      </c>
      <c r="R133">
        <v>0.39999999999999147</v>
      </c>
      <c r="S133">
        <v>100.4</v>
      </c>
      <c r="T133">
        <v>0</v>
      </c>
      <c r="U133">
        <v>-0.39999999999999147</v>
      </c>
      <c r="V133">
        <v>0.39999999999999147</v>
      </c>
      <c r="W133">
        <v>0</v>
      </c>
      <c r="X133">
        <v>0</v>
      </c>
      <c r="Y133">
        <v>-9.9999999999994316E-2</v>
      </c>
      <c r="Z133">
        <v>-9.9999999999994316E-2</v>
      </c>
      <c r="AA133">
        <v>0.5</v>
      </c>
      <c r="AB133">
        <v>-2.4000000000000057</v>
      </c>
      <c r="AC133">
        <v>1.4000000000000057</v>
      </c>
      <c r="AD133">
        <v>0.5</v>
      </c>
      <c r="AE133">
        <v>0.39999999999999147</v>
      </c>
    </row>
    <row r="134" spans="1:31" x14ac:dyDescent="0.3">
      <c r="A134" s="1">
        <v>38718</v>
      </c>
      <c r="B134">
        <v>101.2</v>
      </c>
      <c r="C134">
        <f t="shared" si="14"/>
        <v>0.40000000000000568</v>
      </c>
      <c r="D134">
        <f t="shared" si="15"/>
        <v>100.8</v>
      </c>
      <c r="E134">
        <f t="shared" si="16"/>
        <v>0.39999999999999147</v>
      </c>
      <c r="F134">
        <f t="shared" ref="F134:L197" si="18">E133</f>
        <v>0</v>
      </c>
      <c r="G134">
        <f t="shared" si="18"/>
        <v>-0.39999999999999147</v>
      </c>
      <c r="H134">
        <f t="shared" si="18"/>
        <v>0.39999999999999147</v>
      </c>
      <c r="I134">
        <f t="shared" si="17"/>
        <v>0</v>
      </c>
      <c r="J134">
        <f t="shared" si="12"/>
        <v>0</v>
      </c>
      <c r="K134">
        <f t="shared" si="12"/>
        <v>-9.9999999999994316E-2</v>
      </c>
      <c r="L134">
        <f t="shared" si="12"/>
        <v>-9.9999999999994316E-2</v>
      </c>
      <c r="M134">
        <f t="shared" si="12"/>
        <v>0.5</v>
      </c>
      <c r="N134">
        <f t="shared" si="13"/>
        <v>-2.4000000000000057</v>
      </c>
      <c r="O134">
        <f t="shared" si="13"/>
        <v>1.4000000000000057</v>
      </c>
      <c r="P134">
        <f t="shared" si="13"/>
        <v>0.5</v>
      </c>
      <c r="R134">
        <v>0.40000000000000568</v>
      </c>
      <c r="S134">
        <v>100.8</v>
      </c>
      <c r="T134">
        <v>0.39999999999999147</v>
      </c>
      <c r="U134">
        <v>0</v>
      </c>
      <c r="V134">
        <v>-0.39999999999999147</v>
      </c>
      <c r="W134">
        <v>0.39999999999999147</v>
      </c>
      <c r="X134">
        <v>0</v>
      </c>
      <c r="Y134">
        <v>0</v>
      </c>
      <c r="Z134">
        <v>-9.9999999999994316E-2</v>
      </c>
      <c r="AA134">
        <v>-9.9999999999994316E-2</v>
      </c>
      <c r="AB134">
        <v>0.5</v>
      </c>
      <c r="AC134">
        <v>-2.4000000000000057</v>
      </c>
      <c r="AD134">
        <v>1.4000000000000057</v>
      </c>
      <c r="AE134">
        <v>0.5</v>
      </c>
    </row>
    <row r="135" spans="1:31" x14ac:dyDescent="0.3">
      <c r="A135" s="1">
        <v>38749</v>
      </c>
      <c r="B135">
        <v>102.1</v>
      </c>
      <c r="C135">
        <f t="shared" si="14"/>
        <v>0.89999999999999147</v>
      </c>
      <c r="D135">
        <f t="shared" si="15"/>
        <v>101.2</v>
      </c>
      <c r="E135">
        <f t="shared" si="16"/>
        <v>0.40000000000000568</v>
      </c>
      <c r="F135">
        <f t="shared" si="18"/>
        <v>0.39999999999999147</v>
      </c>
      <c r="G135">
        <f t="shared" si="18"/>
        <v>0</v>
      </c>
      <c r="H135">
        <f t="shared" si="18"/>
        <v>-0.39999999999999147</v>
      </c>
      <c r="I135">
        <f t="shared" si="17"/>
        <v>0.39999999999999147</v>
      </c>
      <c r="J135">
        <f t="shared" si="12"/>
        <v>0</v>
      </c>
      <c r="K135">
        <f t="shared" si="12"/>
        <v>0</v>
      </c>
      <c r="L135">
        <f t="shared" si="12"/>
        <v>-9.9999999999994316E-2</v>
      </c>
      <c r="M135">
        <f t="shared" si="12"/>
        <v>-9.9999999999994316E-2</v>
      </c>
      <c r="N135">
        <f t="shared" si="13"/>
        <v>0.5</v>
      </c>
      <c r="O135">
        <f t="shared" si="13"/>
        <v>-2.4000000000000057</v>
      </c>
      <c r="P135">
        <f t="shared" si="13"/>
        <v>1.4000000000000057</v>
      </c>
      <c r="R135">
        <v>0.89999999999999147</v>
      </c>
      <c r="S135">
        <v>101.2</v>
      </c>
      <c r="T135">
        <v>0.40000000000000568</v>
      </c>
      <c r="U135">
        <v>0.39999999999999147</v>
      </c>
      <c r="V135">
        <v>0</v>
      </c>
      <c r="W135">
        <v>-0.39999999999999147</v>
      </c>
      <c r="X135">
        <v>0.39999999999999147</v>
      </c>
      <c r="Y135">
        <v>0</v>
      </c>
      <c r="Z135">
        <v>0</v>
      </c>
      <c r="AA135">
        <v>-9.9999999999994316E-2</v>
      </c>
      <c r="AB135">
        <v>-9.9999999999994316E-2</v>
      </c>
      <c r="AC135">
        <v>0.5</v>
      </c>
      <c r="AD135">
        <v>-2.4000000000000057</v>
      </c>
      <c r="AE135">
        <v>1.4000000000000057</v>
      </c>
    </row>
    <row r="136" spans="1:31" x14ac:dyDescent="0.3">
      <c r="A136" s="1">
        <v>38777</v>
      </c>
      <c r="B136">
        <v>99.5</v>
      </c>
      <c r="C136">
        <f t="shared" si="14"/>
        <v>-2.5999999999999943</v>
      </c>
      <c r="D136">
        <f t="shared" si="15"/>
        <v>102.1</v>
      </c>
      <c r="E136">
        <f t="shared" si="16"/>
        <v>0.89999999999999147</v>
      </c>
      <c r="F136">
        <f t="shared" si="18"/>
        <v>0.40000000000000568</v>
      </c>
      <c r="G136">
        <f t="shared" si="18"/>
        <v>0.39999999999999147</v>
      </c>
      <c r="H136">
        <f t="shared" si="18"/>
        <v>0</v>
      </c>
      <c r="I136">
        <f t="shared" si="17"/>
        <v>-0.39999999999999147</v>
      </c>
      <c r="J136">
        <f t="shared" si="12"/>
        <v>0.39999999999999147</v>
      </c>
      <c r="K136">
        <f t="shared" si="12"/>
        <v>0</v>
      </c>
      <c r="L136">
        <f t="shared" si="12"/>
        <v>0</v>
      </c>
      <c r="M136">
        <f t="shared" si="12"/>
        <v>-9.9999999999994316E-2</v>
      </c>
      <c r="N136">
        <f t="shared" si="13"/>
        <v>-9.9999999999994316E-2</v>
      </c>
      <c r="O136">
        <f t="shared" si="13"/>
        <v>0.5</v>
      </c>
      <c r="P136">
        <f t="shared" si="13"/>
        <v>-2.4000000000000057</v>
      </c>
      <c r="R136">
        <v>-2.5999999999999943</v>
      </c>
      <c r="S136">
        <v>102.1</v>
      </c>
      <c r="T136">
        <v>0.89999999999999147</v>
      </c>
      <c r="U136">
        <v>0.40000000000000568</v>
      </c>
      <c r="V136">
        <v>0.39999999999999147</v>
      </c>
      <c r="W136">
        <v>0</v>
      </c>
      <c r="X136">
        <v>-0.39999999999999147</v>
      </c>
      <c r="Y136">
        <v>0.39999999999999147</v>
      </c>
      <c r="Z136">
        <v>0</v>
      </c>
      <c r="AA136">
        <v>0</v>
      </c>
      <c r="AB136">
        <v>-9.9999999999994316E-2</v>
      </c>
      <c r="AC136">
        <v>-9.9999999999994316E-2</v>
      </c>
      <c r="AD136">
        <v>0.5</v>
      </c>
      <c r="AE136">
        <v>-2.4000000000000057</v>
      </c>
    </row>
    <row r="137" spans="1:31" x14ac:dyDescent="0.3">
      <c r="A137" s="1">
        <v>38808</v>
      </c>
      <c r="B137">
        <v>100.2</v>
      </c>
      <c r="C137">
        <f t="shared" si="14"/>
        <v>0.70000000000000284</v>
      </c>
      <c r="D137">
        <f t="shared" si="15"/>
        <v>99.5</v>
      </c>
      <c r="E137">
        <f t="shared" si="16"/>
        <v>-2.5999999999999943</v>
      </c>
      <c r="F137">
        <f t="shared" si="18"/>
        <v>0.89999999999999147</v>
      </c>
      <c r="G137">
        <f t="shared" si="18"/>
        <v>0.40000000000000568</v>
      </c>
      <c r="H137">
        <f t="shared" si="18"/>
        <v>0.39999999999999147</v>
      </c>
      <c r="I137">
        <f t="shared" si="17"/>
        <v>0</v>
      </c>
      <c r="J137">
        <f t="shared" si="12"/>
        <v>-0.39999999999999147</v>
      </c>
      <c r="K137">
        <f t="shared" si="12"/>
        <v>0.39999999999999147</v>
      </c>
      <c r="L137">
        <f t="shared" si="12"/>
        <v>0</v>
      </c>
      <c r="M137">
        <f t="shared" si="12"/>
        <v>0</v>
      </c>
      <c r="N137">
        <f t="shared" si="13"/>
        <v>-9.9999999999994316E-2</v>
      </c>
      <c r="O137">
        <f t="shared" si="13"/>
        <v>-9.9999999999994316E-2</v>
      </c>
      <c r="P137">
        <f t="shared" si="13"/>
        <v>0.5</v>
      </c>
      <c r="R137">
        <v>0.70000000000000284</v>
      </c>
      <c r="S137">
        <v>99.5</v>
      </c>
      <c r="T137">
        <v>-2.5999999999999943</v>
      </c>
      <c r="U137">
        <v>0.89999999999999147</v>
      </c>
      <c r="V137">
        <v>0.40000000000000568</v>
      </c>
      <c r="W137">
        <v>0.39999999999999147</v>
      </c>
      <c r="X137">
        <v>0</v>
      </c>
      <c r="Y137">
        <v>-0.39999999999999147</v>
      </c>
      <c r="Z137">
        <v>0.39999999999999147</v>
      </c>
      <c r="AA137">
        <v>0</v>
      </c>
      <c r="AB137">
        <v>0</v>
      </c>
      <c r="AC137">
        <v>-9.9999999999994316E-2</v>
      </c>
      <c r="AD137">
        <v>-9.9999999999994316E-2</v>
      </c>
      <c r="AE137">
        <v>0.5</v>
      </c>
    </row>
    <row r="138" spans="1:31" x14ac:dyDescent="0.3">
      <c r="A138" s="1">
        <v>38838</v>
      </c>
      <c r="B138">
        <v>100.6</v>
      </c>
      <c r="C138">
        <f t="shared" si="14"/>
        <v>0.39999999999999147</v>
      </c>
      <c r="D138">
        <f t="shared" si="15"/>
        <v>100.2</v>
      </c>
      <c r="E138">
        <f t="shared" si="16"/>
        <v>0.70000000000000284</v>
      </c>
      <c r="F138">
        <f t="shared" si="18"/>
        <v>-2.5999999999999943</v>
      </c>
      <c r="G138">
        <f t="shared" si="18"/>
        <v>0.89999999999999147</v>
      </c>
      <c r="H138">
        <f t="shared" si="18"/>
        <v>0.40000000000000568</v>
      </c>
      <c r="I138">
        <f t="shared" si="17"/>
        <v>0.39999999999999147</v>
      </c>
      <c r="J138">
        <f t="shared" si="12"/>
        <v>0</v>
      </c>
      <c r="K138">
        <f t="shared" si="12"/>
        <v>-0.39999999999999147</v>
      </c>
      <c r="L138">
        <f t="shared" si="12"/>
        <v>0.39999999999999147</v>
      </c>
      <c r="M138">
        <f t="shared" si="12"/>
        <v>0</v>
      </c>
      <c r="N138">
        <f t="shared" si="13"/>
        <v>0</v>
      </c>
      <c r="O138">
        <f t="shared" si="13"/>
        <v>-9.9999999999994316E-2</v>
      </c>
      <c r="P138">
        <f t="shared" si="13"/>
        <v>-9.9999999999994316E-2</v>
      </c>
      <c r="R138">
        <v>0.39999999999999147</v>
      </c>
      <c r="S138">
        <v>100.2</v>
      </c>
      <c r="T138">
        <v>0.70000000000000284</v>
      </c>
      <c r="U138">
        <v>-2.5999999999999943</v>
      </c>
      <c r="V138">
        <v>0.89999999999999147</v>
      </c>
      <c r="W138">
        <v>0.40000000000000568</v>
      </c>
      <c r="X138">
        <v>0.39999999999999147</v>
      </c>
      <c r="Y138">
        <v>0</v>
      </c>
      <c r="Z138">
        <v>-0.39999999999999147</v>
      </c>
      <c r="AA138">
        <v>0.39999999999999147</v>
      </c>
      <c r="AB138">
        <v>0</v>
      </c>
      <c r="AC138">
        <v>0</v>
      </c>
      <c r="AD138">
        <v>-9.9999999999994316E-2</v>
      </c>
      <c r="AE138">
        <v>-9.9999999999994316E-2</v>
      </c>
    </row>
    <row r="139" spans="1:31" x14ac:dyDescent="0.3">
      <c r="A139" s="1">
        <v>38869</v>
      </c>
      <c r="B139">
        <v>100.4</v>
      </c>
      <c r="C139">
        <f t="shared" si="14"/>
        <v>-0.19999999999998863</v>
      </c>
      <c r="D139">
        <f t="shared" si="15"/>
        <v>100.6</v>
      </c>
      <c r="E139">
        <f t="shared" si="16"/>
        <v>0.39999999999999147</v>
      </c>
      <c r="F139">
        <f t="shared" si="18"/>
        <v>0.70000000000000284</v>
      </c>
      <c r="G139">
        <f t="shared" si="18"/>
        <v>-2.5999999999999943</v>
      </c>
      <c r="H139">
        <f t="shared" si="18"/>
        <v>0.89999999999999147</v>
      </c>
      <c r="I139">
        <f t="shared" si="17"/>
        <v>0.40000000000000568</v>
      </c>
      <c r="J139">
        <f t="shared" si="12"/>
        <v>0.39999999999999147</v>
      </c>
      <c r="K139">
        <f t="shared" si="12"/>
        <v>0</v>
      </c>
      <c r="L139">
        <f t="shared" si="12"/>
        <v>-0.39999999999999147</v>
      </c>
      <c r="M139">
        <f t="shared" si="12"/>
        <v>0.39999999999999147</v>
      </c>
      <c r="N139">
        <f t="shared" si="13"/>
        <v>0</v>
      </c>
      <c r="O139">
        <f t="shared" si="13"/>
        <v>0</v>
      </c>
      <c r="P139">
        <f t="shared" si="13"/>
        <v>-9.9999999999994316E-2</v>
      </c>
      <c r="R139">
        <v>-0.19999999999998863</v>
      </c>
      <c r="S139">
        <v>100.6</v>
      </c>
      <c r="T139">
        <v>0.39999999999999147</v>
      </c>
      <c r="U139">
        <v>0.70000000000000284</v>
      </c>
      <c r="V139">
        <v>-2.5999999999999943</v>
      </c>
      <c r="W139">
        <v>0.89999999999999147</v>
      </c>
      <c r="X139">
        <v>0.40000000000000568</v>
      </c>
      <c r="Y139">
        <v>0.39999999999999147</v>
      </c>
      <c r="Z139">
        <v>0</v>
      </c>
      <c r="AA139">
        <v>-0.39999999999999147</v>
      </c>
      <c r="AB139">
        <v>0.39999999999999147</v>
      </c>
      <c r="AC139">
        <v>0</v>
      </c>
      <c r="AD139">
        <v>0</v>
      </c>
      <c r="AE139">
        <v>-9.9999999999994316E-2</v>
      </c>
    </row>
    <row r="140" spans="1:31" x14ac:dyDescent="0.3">
      <c r="A140" s="1">
        <v>38899</v>
      </c>
      <c r="B140">
        <v>100.4</v>
      </c>
      <c r="C140">
        <f t="shared" si="14"/>
        <v>0</v>
      </c>
      <c r="D140">
        <f t="shared" si="15"/>
        <v>100.4</v>
      </c>
      <c r="E140">
        <f t="shared" si="16"/>
        <v>-0.19999999999998863</v>
      </c>
      <c r="F140">
        <f t="shared" si="18"/>
        <v>0.39999999999999147</v>
      </c>
      <c r="G140">
        <f t="shared" si="18"/>
        <v>0.70000000000000284</v>
      </c>
      <c r="H140">
        <f t="shared" si="18"/>
        <v>-2.5999999999999943</v>
      </c>
      <c r="I140">
        <f t="shared" si="17"/>
        <v>0.89999999999999147</v>
      </c>
      <c r="J140">
        <f t="shared" si="12"/>
        <v>0.40000000000000568</v>
      </c>
      <c r="K140">
        <f t="shared" si="12"/>
        <v>0.39999999999999147</v>
      </c>
      <c r="L140">
        <f t="shared" si="12"/>
        <v>0</v>
      </c>
      <c r="M140">
        <f t="shared" si="12"/>
        <v>-0.39999999999999147</v>
      </c>
      <c r="N140">
        <f t="shared" si="13"/>
        <v>0.39999999999999147</v>
      </c>
      <c r="O140">
        <f t="shared" si="13"/>
        <v>0</v>
      </c>
      <c r="P140">
        <f t="shared" si="13"/>
        <v>0</v>
      </c>
      <c r="R140">
        <v>0</v>
      </c>
      <c r="S140">
        <v>100.4</v>
      </c>
      <c r="T140">
        <v>-0.19999999999998863</v>
      </c>
      <c r="U140">
        <v>0.39999999999999147</v>
      </c>
      <c r="V140">
        <v>0.70000000000000284</v>
      </c>
      <c r="W140">
        <v>-2.5999999999999943</v>
      </c>
      <c r="X140">
        <v>0.89999999999999147</v>
      </c>
      <c r="Y140">
        <v>0.40000000000000568</v>
      </c>
      <c r="Z140">
        <v>0.39999999999999147</v>
      </c>
      <c r="AA140">
        <v>0</v>
      </c>
      <c r="AB140">
        <v>-0.39999999999999147</v>
      </c>
      <c r="AC140">
        <v>0.39999999999999147</v>
      </c>
      <c r="AD140">
        <v>0</v>
      </c>
      <c r="AE140">
        <v>0</v>
      </c>
    </row>
    <row r="141" spans="1:31" x14ac:dyDescent="0.3">
      <c r="A141" s="1">
        <v>38930</v>
      </c>
      <c r="B141">
        <v>100.4</v>
      </c>
      <c r="C141">
        <f t="shared" si="14"/>
        <v>0</v>
      </c>
      <c r="D141">
        <f t="shared" si="15"/>
        <v>100.4</v>
      </c>
      <c r="E141">
        <f t="shared" si="16"/>
        <v>0</v>
      </c>
      <c r="F141">
        <f t="shared" si="18"/>
        <v>-0.19999999999998863</v>
      </c>
      <c r="G141">
        <f t="shared" si="18"/>
        <v>0.39999999999999147</v>
      </c>
      <c r="H141">
        <f t="shared" si="18"/>
        <v>0.70000000000000284</v>
      </c>
      <c r="I141">
        <f t="shared" si="17"/>
        <v>-2.5999999999999943</v>
      </c>
      <c r="J141">
        <f t="shared" si="12"/>
        <v>0.89999999999999147</v>
      </c>
      <c r="K141">
        <f t="shared" si="12"/>
        <v>0.40000000000000568</v>
      </c>
      <c r="L141">
        <f t="shared" si="12"/>
        <v>0.39999999999999147</v>
      </c>
      <c r="M141">
        <f t="shared" si="12"/>
        <v>0</v>
      </c>
      <c r="N141">
        <f t="shared" si="13"/>
        <v>-0.39999999999999147</v>
      </c>
      <c r="O141">
        <f t="shared" si="13"/>
        <v>0.39999999999999147</v>
      </c>
      <c r="P141">
        <f t="shared" si="13"/>
        <v>0</v>
      </c>
      <c r="R141">
        <v>0</v>
      </c>
      <c r="S141">
        <v>100.4</v>
      </c>
      <c r="T141">
        <v>0</v>
      </c>
      <c r="U141">
        <v>-0.19999999999998863</v>
      </c>
      <c r="V141">
        <v>0.39999999999999147</v>
      </c>
      <c r="W141">
        <v>0.70000000000000284</v>
      </c>
      <c r="X141">
        <v>-2.5999999999999943</v>
      </c>
      <c r="Y141">
        <v>0.89999999999999147</v>
      </c>
      <c r="Z141">
        <v>0.40000000000000568</v>
      </c>
      <c r="AA141">
        <v>0.39999999999999147</v>
      </c>
      <c r="AB141">
        <v>0</v>
      </c>
      <c r="AC141">
        <v>-0.39999999999999147</v>
      </c>
      <c r="AD141">
        <v>0.39999999999999147</v>
      </c>
      <c r="AE141">
        <v>0</v>
      </c>
    </row>
    <row r="142" spans="1:31" x14ac:dyDescent="0.3">
      <c r="A142" s="1">
        <v>38961</v>
      </c>
      <c r="B142">
        <v>100.3</v>
      </c>
      <c r="C142">
        <f t="shared" si="14"/>
        <v>-0.10000000000000853</v>
      </c>
      <c r="D142">
        <f t="shared" si="15"/>
        <v>100.4</v>
      </c>
      <c r="E142">
        <f t="shared" si="16"/>
        <v>0</v>
      </c>
      <c r="F142">
        <f t="shared" si="18"/>
        <v>0</v>
      </c>
      <c r="G142">
        <f t="shared" si="18"/>
        <v>-0.19999999999998863</v>
      </c>
      <c r="H142">
        <f t="shared" si="18"/>
        <v>0.39999999999999147</v>
      </c>
      <c r="I142">
        <f t="shared" si="17"/>
        <v>0.70000000000000284</v>
      </c>
      <c r="J142">
        <f t="shared" si="12"/>
        <v>-2.5999999999999943</v>
      </c>
      <c r="K142">
        <f t="shared" si="12"/>
        <v>0.89999999999999147</v>
      </c>
      <c r="L142">
        <f t="shared" si="12"/>
        <v>0.40000000000000568</v>
      </c>
      <c r="M142">
        <f t="shared" ref="M142:P205" si="19">L141</f>
        <v>0.39999999999999147</v>
      </c>
      <c r="N142">
        <f t="shared" si="13"/>
        <v>0</v>
      </c>
      <c r="O142">
        <f t="shared" si="13"/>
        <v>-0.39999999999999147</v>
      </c>
      <c r="P142">
        <f t="shared" si="13"/>
        <v>0.39999999999999147</v>
      </c>
      <c r="R142">
        <v>-0.10000000000000853</v>
      </c>
      <c r="S142">
        <v>100.4</v>
      </c>
      <c r="T142">
        <v>0</v>
      </c>
      <c r="U142">
        <v>0</v>
      </c>
      <c r="V142">
        <v>-0.19999999999998863</v>
      </c>
      <c r="W142">
        <v>0.39999999999999147</v>
      </c>
      <c r="X142">
        <v>0.70000000000000284</v>
      </c>
      <c r="Y142">
        <v>-2.5999999999999943</v>
      </c>
      <c r="Z142">
        <v>0.89999999999999147</v>
      </c>
      <c r="AA142">
        <v>0.40000000000000568</v>
      </c>
      <c r="AB142">
        <v>0.39999999999999147</v>
      </c>
      <c r="AC142">
        <v>0</v>
      </c>
      <c r="AD142">
        <v>-0.39999999999999147</v>
      </c>
      <c r="AE142">
        <v>0.39999999999999147</v>
      </c>
    </row>
    <row r="143" spans="1:31" x14ac:dyDescent="0.3">
      <c r="A143" s="1">
        <v>38991</v>
      </c>
      <c r="B143">
        <v>100.2</v>
      </c>
      <c r="C143">
        <f t="shared" si="14"/>
        <v>-9.9999999999994316E-2</v>
      </c>
      <c r="D143">
        <f t="shared" si="15"/>
        <v>100.3</v>
      </c>
      <c r="E143">
        <f t="shared" si="16"/>
        <v>-0.10000000000000853</v>
      </c>
      <c r="F143">
        <f t="shared" si="18"/>
        <v>0</v>
      </c>
      <c r="G143">
        <f t="shared" si="18"/>
        <v>0</v>
      </c>
      <c r="H143">
        <f t="shared" si="18"/>
        <v>-0.19999999999998863</v>
      </c>
      <c r="I143">
        <f t="shared" si="17"/>
        <v>0.39999999999999147</v>
      </c>
      <c r="J143">
        <f t="shared" si="17"/>
        <v>0.70000000000000284</v>
      </c>
      <c r="K143">
        <f t="shared" si="17"/>
        <v>-2.5999999999999943</v>
      </c>
      <c r="L143">
        <f t="shared" si="17"/>
        <v>0.89999999999999147</v>
      </c>
      <c r="M143">
        <f t="shared" si="19"/>
        <v>0.40000000000000568</v>
      </c>
      <c r="N143">
        <f t="shared" si="19"/>
        <v>0.39999999999999147</v>
      </c>
      <c r="O143">
        <f t="shared" si="19"/>
        <v>0</v>
      </c>
      <c r="P143">
        <f t="shared" si="19"/>
        <v>-0.39999999999999147</v>
      </c>
      <c r="R143">
        <v>-9.9999999999994316E-2</v>
      </c>
      <c r="S143">
        <v>100.3</v>
      </c>
      <c r="T143">
        <v>-0.10000000000000853</v>
      </c>
      <c r="U143">
        <v>0</v>
      </c>
      <c r="V143">
        <v>0</v>
      </c>
      <c r="W143">
        <v>-0.19999999999998863</v>
      </c>
      <c r="X143">
        <v>0.39999999999999147</v>
      </c>
      <c r="Y143">
        <v>0.70000000000000284</v>
      </c>
      <c r="Z143">
        <v>-2.5999999999999943</v>
      </c>
      <c r="AA143">
        <v>0.89999999999999147</v>
      </c>
      <c r="AB143">
        <v>0.40000000000000568</v>
      </c>
      <c r="AC143">
        <v>0.39999999999999147</v>
      </c>
      <c r="AD143">
        <v>0</v>
      </c>
      <c r="AE143">
        <v>-0.39999999999999147</v>
      </c>
    </row>
    <row r="144" spans="1:31" x14ac:dyDescent="0.3">
      <c r="A144" s="1">
        <v>39022</v>
      </c>
      <c r="B144">
        <v>100.6</v>
      </c>
      <c r="C144">
        <f t="shared" si="14"/>
        <v>0.39999999999999147</v>
      </c>
      <c r="D144">
        <f t="shared" si="15"/>
        <v>100.2</v>
      </c>
      <c r="E144">
        <f t="shared" si="16"/>
        <v>-9.9999999999994316E-2</v>
      </c>
      <c r="F144">
        <f t="shared" si="18"/>
        <v>-0.10000000000000853</v>
      </c>
      <c r="G144">
        <f t="shared" si="18"/>
        <v>0</v>
      </c>
      <c r="H144">
        <f t="shared" si="18"/>
        <v>0</v>
      </c>
      <c r="I144">
        <f t="shared" si="17"/>
        <v>-0.19999999999998863</v>
      </c>
      <c r="J144">
        <f t="shared" si="17"/>
        <v>0.39999999999999147</v>
      </c>
      <c r="K144">
        <f t="shared" si="17"/>
        <v>0.70000000000000284</v>
      </c>
      <c r="L144">
        <f t="shared" si="17"/>
        <v>-2.5999999999999943</v>
      </c>
      <c r="M144">
        <f t="shared" si="19"/>
        <v>0.89999999999999147</v>
      </c>
      <c r="N144">
        <f t="shared" si="19"/>
        <v>0.40000000000000568</v>
      </c>
      <c r="O144">
        <f t="shared" si="19"/>
        <v>0.39999999999999147</v>
      </c>
      <c r="P144">
        <f t="shared" si="19"/>
        <v>0</v>
      </c>
      <c r="R144">
        <v>0.39999999999999147</v>
      </c>
      <c r="S144">
        <v>100.2</v>
      </c>
      <c r="T144">
        <v>-9.9999999999994316E-2</v>
      </c>
      <c r="U144">
        <v>-0.10000000000000853</v>
      </c>
      <c r="V144">
        <v>0</v>
      </c>
      <c r="W144">
        <v>0</v>
      </c>
      <c r="X144">
        <v>-0.19999999999998863</v>
      </c>
      <c r="Y144">
        <v>0.39999999999999147</v>
      </c>
      <c r="Z144">
        <v>0.70000000000000284</v>
      </c>
      <c r="AA144">
        <v>-2.5999999999999943</v>
      </c>
      <c r="AB144">
        <v>0.89999999999999147</v>
      </c>
      <c r="AC144">
        <v>0.40000000000000568</v>
      </c>
      <c r="AD144">
        <v>0.39999999999999147</v>
      </c>
      <c r="AE144">
        <v>0</v>
      </c>
    </row>
    <row r="145" spans="1:31" x14ac:dyDescent="0.3">
      <c r="A145" s="1">
        <v>39052</v>
      </c>
      <c r="B145">
        <v>100.5</v>
      </c>
      <c r="C145">
        <f t="shared" si="14"/>
        <v>-9.9999999999994316E-2</v>
      </c>
      <c r="D145">
        <f t="shared" si="15"/>
        <v>100.6</v>
      </c>
      <c r="E145">
        <f t="shared" si="16"/>
        <v>0.39999999999999147</v>
      </c>
      <c r="F145">
        <f t="shared" si="18"/>
        <v>-9.9999999999994316E-2</v>
      </c>
      <c r="G145">
        <f t="shared" si="18"/>
        <v>-0.10000000000000853</v>
      </c>
      <c r="H145">
        <f t="shared" si="18"/>
        <v>0</v>
      </c>
      <c r="I145">
        <f t="shared" si="17"/>
        <v>0</v>
      </c>
      <c r="J145">
        <f t="shared" si="17"/>
        <v>-0.19999999999998863</v>
      </c>
      <c r="K145">
        <f t="shared" si="17"/>
        <v>0.39999999999999147</v>
      </c>
      <c r="L145">
        <f t="shared" si="17"/>
        <v>0.70000000000000284</v>
      </c>
      <c r="M145">
        <f t="shared" si="19"/>
        <v>-2.5999999999999943</v>
      </c>
      <c r="N145">
        <f t="shared" si="19"/>
        <v>0.89999999999999147</v>
      </c>
      <c r="O145">
        <f t="shared" si="19"/>
        <v>0.40000000000000568</v>
      </c>
      <c r="P145">
        <f t="shared" si="19"/>
        <v>0.39999999999999147</v>
      </c>
      <c r="R145">
        <v>-9.9999999999994316E-2</v>
      </c>
      <c r="S145">
        <v>100.6</v>
      </c>
      <c r="T145">
        <v>0.39999999999999147</v>
      </c>
      <c r="U145">
        <v>-9.9999999999994316E-2</v>
      </c>
      <c r="V145">
        <v>-0.10000000000000853</v>
      </c>
      <c r="W145">
        <v>0</v>
      </c>
      <c r="X145">
        <v>0</v>
      </c>
      <c r="Y145">
        <v>-0.19999999999998863</v>
      </c>
      <c r="Z145">
        <v>0.39999999999999147</v>
      </c>
      <c r="AA145">
        <v>0.70000000000000284</v>
      </c>
      <c r="AB145">
        <v>-2.5999999999999943</v>
      </c>
      <c r="AC145">
        <v>0.89999999999999147</v>
      </c>
      <c r="AD145">
        <v>0.40000000000000568</v>
      </c>
      <c r="AE145">
        <v>0.39999999999999147</v>
      </c>
    </row>
    <row r="146" spans="1:31" x14ac:dyDescent="0.3">
      <c r="A146" s="1">
        <v>39083</v>
      </c>
      <c r="B146">
        <v>101.1</v>
      </c>
      <c r="C146">
        <f t="shared" si="14"/>
        <v>0.59999999999999432</v>
      </c>
      <c r="D146">
        <f t="shared" si="15"/>
        <v>100.5</v>
      </c>
      <c r="E146">
        <f t="shared" si="16"/>
        <v>-9.9999999999994316E-2</v>
      </c>
      <c r="F146">
        <f t="shared" si="18"/>
        <v>0.39999999999999147</v>
      </c>
      <c r="G146">
        <f t="shared" si="18"/>
        <v>-9.9999999999994316E-2</v>
      </c>
      <c r="H146">
        <f t="shared" si="18"/>
        <v>-0.10000000000000853</v>
      </c>
      <c r="I146">
        <f t="shared" si="17"/>
        <v>0</v>
      </c>
      <c r="J146">
        <f t="shared" si="17"/>
        <v>0</v>
      </c>
      <c r="K146">
        <f t="shared" si="17"/>
        <v>-0.19999999999998863</v>
      </c>
      <c r="L146">
        <f t="shared" si="17"/>
        <v>0.39999999999999147</v>
      </c>
      <c r="M146">
        <f t="shared" si="19"/>
        <v>0.70000000000000284</v>
      </c>
      <c r="N146">
        <f t="shared" si="19"/>
        <v>-2.5999999999999943</v>
      </c>
      <c r="O146">
        <f t="shared" si="19"/>
        <v>0.89999999999999147</v>
      </c>
      <c r="P146">
        <f t="shared" si="19"/>
        <v>0.40000000000000568</v>
      </c>
      <c r="R146">
        <v>0.59999999999999432</v>
      </c>
      <c r="S146">
        <v>100.5</v>
      </c>
      <c r="T146">
        <v>-9.9999999999994316E-2</v>
      </c>
      <c r="U146">
        <v>0.39999999999999147</v>
      </c>
      <c r="V146">
        <v>-9.9999999999994316E-2</v>
      </c>
      <c r="W146">
        <v>-0.10000000000000853</v>
      </c>
      <c r="X146">
        <v>0</v>
      </c>
      <c r="Y146">
        <v>0</v>
      </c>
      <c r="Z146">
        <v>-0.19999999999998863</v>
      </c>
      <c r="AA146">
        <v>0.39999999999999147</v>
      </c>
      <c r="AB146">
        <v>0.70000000000000284</v>
      </c>
      <c r="AC146">
        <v>-2.5999999999999943</v>
      </c>
      <c r="AD146">
        <v>0.89999999999999147</v>
      </c>
      <c r="AE146">
        <v>0.40000000000000568</v>
      </c>
    </row>
    <row r="147" spans="1:31" x14ac:dyDescent="0.3">
      <c r="A147" s="1">
        <v>39114</v>
      </c>
      <c r="B147">
        <v>102.2</v>
      </c>
      <c r="C147">
        <f t="shared" si="14"/>
        <v>1.1000000000000085</v>
      </c>
      <c r="D147">
        <f t="shared" si="15"/>
        <v>101.1</v>
      </c>
      <c r="E147">
        <f t="shared" si="16"/>
        <v>0.59999999999999432</v>
      </c>
      <c r="F147">
        <f t="shared" si="18"/>
        <v>-9.9999999999994316E-2</v>
      </c>
      <c r="G147">
        <f t="shared" si="18"/>
        <v>0.39999999999999147</v>
      </c>
      <c r="H147">
        <f t="shared" si="18"/>
        <v>-9.9999999999994316E-2</v>
      </c>
      <c r="I147">
        <f t="shared" si="17"/>
        <v>-0.10000000000000853</v>
      </c>
      <c r="J147">
        <f t="shared" si="17"/>
        <v>0</v>
      </c>
      <c r="K147">
        <f t="shared" si="17"/>
        <v>0</v>
      </c>
      <c r="L147">
        <f t="shared" si="17"/>
        <v>-0.19999999999998863</v>
      </c>
      <c r="M147">
        <f t="shared" si="19"/>
        <v>0.39999999999999147</v>
      </c>
      <c r="N147">
        <f t="shared" si="19"/>
        <v>0.70000000000000284</v>
      </c>
      <c r="O147">
        <f t="shared" si="19"/>
        <v>-2.5999999999999943</v>
      </c>
      <c r="P147">
        <f t="shared" si="19"/>
        <v>0.89999999999999147</v>
      </c>
      <c r="R147">
        <v>1.1000000000000085</v>
      </c>
      <c r="S147">
        <v>101.1</v>
      </c>
      <c r="T147">
        <v>0.59999999999999432</v>
      </c>
      <c r="U147">
        <v>-9.9999999999994316E-2</v>
      </c>
      <c r="V147">
        <v>0.39999999999999147</v>
      </c>
      <c r="W147">
        <v>-9.9999999999994316E-2</v>
      </c>
      <c r="X147">
        <v>-0.10000000000000853</v>
      </c>
      <c r="Y147">
        <v>0</v>
      </c>
      <c r="Z147">
        <v>0</v>
      </c>
      <c r="AA147">
        <v>-0.19999999999998863</v>
      </c>
      <c r="AB147">
        <v>0.39999999999999147</v>
      </c>
      <c r="AC147">
        <v>0.70000000000000284</v>
      </c>
      <c r="AD147">
        <v>-2.5999999999999943</v>
      </c>
      <c r="AE147">
        <v>0.89999999999999147</v>
      </c>
    </row>
    <row r="148" spans="1:31" x14ac:dyDescent="0.3">
      <c r="A148" s="1">
        <v>39142</v>
      </c>
      <c r="B148">
        <v>99.8</v>
      </c>
      <c r="C148">
        <f t="shared" si="14"/>
        <v>-2.4000000000000057</v>
      </c>
      <c r="D148">
        <f t="shared" si="15"/>
        <v>102.2</v>
      </c>
      <c r="E148">
        <f t="shared" si="16"/>
        <v>1.1000000000000085</v>
      </c>
      <c r="F148">
        <f t="shared" si="18"/>
        <v>0.59999999999999432</v>
      </c>
      <c r="G148">
        <f t="shared" si="18"/>
        <v>-9.9999999999994316E-2</v>
      </c>
      <c r="H148">
        <f t="shared" si="18"/>
        <v>0.39999999999999147</v>
      </c>
      <c r="I148">
        <f t="shared" si="17"/>
        <v>-9.9999999999994316E-2</v>
      </c>
      <c r="J148">
        <f t="shared" si="17"/>
        <v>-0.10000000000000853</v>
      </c>
      <c r="K148">
        <f t="shared" si="17"/>
        <v>0</v>
      </c>
      <c r="L148">
        <f t="shared" si="17"/>
        <v>0</v>
      </c>
      <c r="M148">
        <f t="shared" si="19"/>
        <v>-0.19999999999998863</v>
      </c>
      <c r="N148">
        <f t="shared" si="19"/>
        <v>0.39999999999999147</v>
      </c>
      <c r="O148">
        <f t="shared" si="19"/>
        <v>0.70000000000000284</v>
      </c>
      <c r="P148">
        <f t="shared" si="19"/>
        <v>-2.5999999999999943</v>
      </c>
      <c r="R148">
        <v>-2.4000000000000057</v>
      </c>
      <c r="S148">
        <v>102.2</v>
      </c>
      <c r="T148">
        <v>1.1000000000000085</v>
      </c>
      <c r="U148">
        <v>0.59999999999999432</v>
      </c>
      <c r="V148">
        <v>-9.9999999999994316E-2</v>
      </c>
      <c r="W148">
        <v>0.39999999999999147</v>
      </c>
      <c r="X148">
        <v>-9.9999999999994316E-2</v>
      </c>
      <c r="Y148">
        <v>-0.10000000000000853</v>
      </c>
      <c r="Z148">
        <v>0</v>
      </c>
      <c r="AA148">
        <v>0</v>
      </c>
      <c r="AB148">
        <v>-0.19999999999998863</v>
      </c>
      <c r="AC148">
        <v>0.39999999999999147</v>
      </c>
      <c r="AD148">
        <v>0.70000000000000284</v>
      </c>
      <c r="AE148">
        <v>-2.5999999999999943</v>
      </c>
    </row>
    <row r="149" spans="1:31" x14ac:dyDescent="0.3">
      <c r="A149" s="1">
        <v>39173</v>
      </c>
      <c r="B149">
        <v>100.5</v>
      </c>
      <c r="C149">
        <f t="shared" si="14"/>
        <v>0.70000000000000284</v>
      </c>
      <c r="D149">
        <f t="shared" si="15"/>
        <v>99.8</v>
      </c>
      <c r="E149">
        <f t="shared" si="16"/>
        <v>-2.4000000000000057</v>
      </c>
      <c r="F149">
        <f t="shared" si="18"/>
        <v>1.1000000000000085</v>
      </c>
      <c r="G149">
        <f t="shared" si="18"/>
        <v>0.59999999999999432</v>
      </c>
      <c r="H149">
        <f t="shared" si="18"/>
        <v>-9.9999999999994316E-2</v>
      </c>
      <c r="I149">
        <f t="shared" si="17"/>
        <v>0.39999999999999147</v>
      </c>
      <c r="J149">
        <f t="shared" si="17"/>
        <v>-9.9999999999994316E-2</v>
      </c>
      <c r="K149">
        <f t="shared" si="17"/>
        <v>-0.10000000000000853</v>
      </c>
      <c r="L149">
        <f t="shared" si="17"/>
        <v>0</v>
      </c>
      <c r="M149">
        <f t="shared" si="19"/>
        <v>0</v>
      </c>
      <c r="N149">
        <f t="shared" si="19"/>
        <v>-0.19999999999998863</v>
      </c>
      <c r="O149">
        <f t="shared" si="19"/>
        <v>0.39999999999999147</v>
      </c>
      <c r="P149">
        <f t="shared" si="19"/>
        <v>0.70000000000000284</v>
      </c>
      <c r="R149">
        <v>0.70000000000000284</v>
      </c>
      <c r="S149">
        <v>99.8</v>
      </c>
      <c r="T149">
        <v>-2.4000000000000057</v>
      </c>
      <c r="U149">
        <v>1.1000000000000085</v>
      </c>
      <c r="V149">
        <v>0.59999999999999432</v>
      </c>
      <c r="W149">
        <v>-9.9999999999994316E-2</v>
      </c>
      <c r="X149">
        <v>0.39999999999999147</v>
      </c>
      <c r="Y149">
        <v>-9.9999999999994316E-2</v>
      </c>
      <c r="Z149">
        <v>-0.10000000000000853</v>
      </c>
      <c r="AA149">
        <v>0</v>
      </c>
      <c r="AB149">
        <v>0</v>
      </c>
      <c r="AC149">
        <v>-0.19999999999998863</v>
      </c>
      <c r="AD149">
        <v>0.39999999999999147</v>
      </c>
      <c r="AE149">
        <v>0.70000000000000284</v>
      </c>
    </row>
    <row r="150" spans="1:31" x14ac:dyDescent="0.3">
      <c r="A150" s="1">
        <v>39203</v>
      </c>
      <c r="B150">
        <v>100.8</v>
      </c>
      <c r="C150">
        <f t="shared" si="14"/>
        <v>0.29999999999999716</v>
      </c>
      <c r="D150">
        <f t="shared" si="15"/>
        <v>100.5</v>
      </c>
      <c r="E150">
        <f t="shared" si="16"/>
        <v>0.70000000000000284</v>
      </c>
      <c r="F150">
        <f t="shared" si="18"/>
        <v>-2.4000000000000057</v>
      </c>
      <c r="G150">
        <f t="shared" si="18"/>
        <v>1.1000000000000085</v>
      </c>
      <c r="H150">
        <f t="shared" si="18"/>
        <v>0.59999999999999432</v>
      </c>
      <c r="I150">
        <f t="shared" si="17"/>
        <v>-9.9999999999994316E-2</v>
      </c>
      <c r="J150">
        <f t="shared" si="17"/>
        <v>0.39999999999999147</v>
      </c>
      <c r="K150">
        <f t="shared" si="17"/>
        <v>-9.9999999999994316E-2</v>
      </c>
      <c r="L150">
        <f t="shared" si="17"/>
        <v>-0.10000000000000853</v>
      </c>
      <c r="M150">
        <f t="shared" si="19"/>
        <v>0</v>
      </c>
      <c r="N150">
        <f t="shared" si="19"/>
        <v>0</v>
      </c>
      <c r="O150">
        <f t="shared" si="19"/>
        <v>-0.19999999999998863</v>
      </c>
      <c r="P150">
        <f t="shared" si="19"/>
        <v>0.39999999999999147</v>
      </c>
      <c r="R150">
        <v>0.29999999999999716</v>
      </c>
      <c r="S150">
        <v>100.5</v>
      </c>
      <c r="T150">
        <v>0.70000000000000284</v>
      </c>
      <c r="U150">
        <v>-2.4000000000000057</v>
      </c>
      <c r="V150">
        <v>1.1000000000000085</v>
      </c>
      <c r="W150">
        <v>0.59999999999999432</v>
      </c>
      <c r="X150">
        <v>-9.9999999999994316E-2</v>
      </c>
      <c r="Y150">
        <v>0.39999999999999147</v>
      </c>
      <c r="Z150">
        <v>-9.9999999999994316E-2</v>
      </c>
      <c r="AA150">
        <v>-0.10000000000000853</v>
      </c>
      <c r="AB150">
        <v>0</v>
      </c>
      <c r="AC150">
        <v>0</v>
      </c>
      <c r="AD150">
        <v>-0.19999999999998863</v>
      </c>
      <c r="AE150">
        <v>0.39999999999999147</v>
      </c>
    </row>
    <row r="151" spans="1:31" x14ac:dyDescent="0.3">
      <c r="A151" s="1">
        <v>39234</v>
      </c>
      <c r="B151">
        <v>100.9</v>
      </c>
      <c r="C151">
        <f t="shared" si="14"/>
        <v>0.10000000000000853</v>
      </c>
      <c r="D151">
        <f t="shared" si="15"/>
        <v>100.8</v>
      </c>
      <c r="E151">
        <f t="shared" si="16"/>
        <v>0.29999999999999716</v>
      </c>
      <c r="F151">
        <f t="shared" si="18"/>
        <v>0.70000000000000284</v>
      </c>
      <c r="G151">
        <f t="shared" si="18"/>
        <v>-2.4000000000000057</v>
      </c>
      <c r="H151">
        <f t="shared" si="18"/>
        <v>1.1000000000000085</v>
      </c>
      <c r="I151">
        <f t="shared" si="17"/>
        <v>0.59999999999999432</v>
      </c>
      <c r="J151">
        <f t="shared" si="17"/>
        <v>-9.9999999999994316E-2</v>
      </c>
      <c r="K151">
        <f t="shared" si="17"/>
        <v>0.39999999999999147</v>
      </c>
      <c r="L151">
        <f t="shared" si="17"/>
        <v>-9.9999999999994316E-2</v>
      </c>
      <c r="M151">
        <f t="shared" si="19"/>
        <v>-0.10000000000000853</v>
      </c>
      <c r="N151">
        <f t="shared" si="19"/>
        <v>0</v>
      </c>
      <c r="O151">
        <f t="shared" si="19"/>
        <v>0</v>
      </c>
      <c r="P151">
        <f t="shared" si="19"/>
        <v>-0.19999999999998863</v>
      </c>
      <c r="R151">
        <v>0.10000000000000853</v>
      </c>
      <c r="S151">
        <v>100.8</v>
      </c>
      <c r="T151">
        <v>0.29999999999999716</v>
      </c>
      <c r="U151">
        <v>0.70000000000000284</v>
      </c>
      <c r="V151">
        <v>-2.4000000000000057</v>
      </c>
      <c r="W151">
        <v>1.1000000000000085</v>
      </c>
      <c r="X151">
        <v>0.59999999999999432</v>
      </c>
      <c r="Y151">
        <v>-9.9999999999994316E-2</v>
      </c>
      <c r="Z151">
        <v>0.39999999999999147</v>
      </c>
      <c r="AA151">
        <v>-9.9999999999994316E-2</v>
      </c>
      <c r="AB151">
        <v>-0.10000000000000853</v>
      </c>
      <c r="AC151">
        <v>0</v>
      </c>
      <c r="AD151">
        <v>0</v>
      </c>
      <c r="AE151">
        <v>-0.19999999999998863</v>
      </c>
    </row>
    <row r="152" spans="1:31" x14ac:dyDescent="0.3">
      <c r="A152" s="1">
        <v>39264</v>
      </c>
      <c r="B152">
        <v>100.9</v>
      </c>
      <c r="C152">
        <f t="shared" si="14"/>
        <v>0</v>
      </c>
      <c r="D152">
        <f t="shared" si="15"/>
        <v>100.9</v>
      </c>
      <c r="E152">
        <f t="shared" si="16"/>
        <v>0.10000000000000853</v>
      </c>
      <c r="F152">
        <f t="shared" si="18"/>
        <v>0.29999999999999716</v>
      </c>
      <c r="G152">
        <f t="shared" si="18"/>
        <v>0.70000000000000284</v>
      </c>
      <c r="H152">
        <f t="shared" si="18"/>
        <v>-2.4000000000000057</v>
      </c>
      <c r="I152">
        <f t="shared" si="17"/>
        <v>1.1000000000000085</v>
      </c>
      <c r="J152">
        <f t="shared" si="17"/>
        <v>0.59999999999999432</v>
      </c>
      <c r="K152">
        <f t="shared" si="17"/>
        <v>-9.9999999999994316E-2</v>
      </c>
      <c r="L152">
        <f t="shared" si="17"/>
        <v>0.39999999999999147</v>
      </c>
      <c r="M152">
        <f t="shared" si="19"/>
        <v>-9.9999999999994316E-2</v>
      </c>
      <c r="N152">
        <f t="shared" si="19"/>
        <v>-0.10000000000000853</v>
      </c>
      <c r="O152">
        <f t="shared" si="19"/>
        <v>0</v>
      </c>
      <c r="P152">
        <f t="shared" si="19"/>
        <v>0</v>
      </c>
      <c r="R152">
        <v>0</v>
      </c>
      <c r="S152">
        <v>100.9</v>
      </c>
      <c r="T152">
        <v>0.10000000000000853</v>
      </c>
      <c r="U152">
        <v>0.29999999999999716</v>
      </c>
      <c r="V152">
        <v>0.70000000000000284</v>
      </c>
      <c r="W152">
        <v>-2.4000000000000057</v>
      </c>
      <c r="X152">
        <v>1.1000000000000085</v>
      </c>
      <c r="Y152">
        <v>0.59999999999999432</v>
      </c>
      <c r="Z152">
        <v>-9.9999999999994316E-2</v>
      </c>
      <c r="AA152">
        <v>0.39999999999999147</v>
      </c>
      <c r="AB152">
        <v>-9.9999999999994316E-2</v>
      </c>
      <c r="AC152">
        <v>-0.10000000000000853</v>
      </c>
      <c r="AD152">
        <v>0</v>
      </c>
      <c r="AE152">
        <v>0</v>
      </c>
    </row>
    <row r="153" spans="1:31" x14ac:dyDescent="0.3">
      <c r="A153" s="1">
        <v>39295</v>
      </c>
      <c r="B153">
        <v>100.6</v>
      </c>
      <c r="C153">
        <f t="shared" si="14"/>
        <v>-0.30000000000001137</v>
      </c>
      <c r="D153">
        <f t="shared" si="15"/>
        <v>100.9</v>
      </c>
      <c r="E153">
        <f t="shared" si="16"/>
        <v>0</v>
      </c>
      <c r="F153">
        <f t="shared" si="18"/>
        <v>0.10000000000000853</v>
      </c>
      <c r="G153">
        <f t="shared" si="18"/>
        <v>0.29999999999999716</v>
      </c>
      <c r="H153">
        <f t="shared" si="18"/>
        <v>0.70000000000000284</v>
      </c>
      <c r="I153">
        <f t="shared" si="17"/>
        <v>-2.4000000000000057</v>
      </c>
      <c r="J153">
        <f t="shared" si="17"/>
        <v>1.1000000000000085</v>
      </c>
      <c r="K153">
        <f t="shared" si="17"/>
        <v>0.59999999999999432</v>
      </c>
      <c r="L153">
        <f t="shared" si="17"/>
        <v>-9.9999999999994316E-2</v>
      </c>
      <c r="M153">
        <f t="shared" si="19"/>
        <v>0.39999999999999147</v>
      </c>
      <c r="N153">
        <f t="shared" si="19"/>
        <v>-9.9999999999994316E-2</v>
      </c>
      <c r="O153">
        <f t="shared" si="19"/>
        <v>-0.10000000000000853</v>
      </c>
      <c r="P153">
        <f t="shared" si="19"/>
        <v>0</v>
      </c>
      <c r="R153">
        <v>-0.30000000000001137</v>
      </c>
      <c r="S153">
        <v>100.9</v>
      </c>
      <c r="T153">
        <v>0</v>
      </c>
      <c r="U153">
        <v>0.10000000000000853</v>
      </c>
      <c r="V153">
        <v>0.29999999999999716</v>
      </c>
      <c r="W153">
        <v>0.70000000000000284</v>
      </c>
      <c r="X153">
        <v>-2.4000000000000057</v>
      </c>
      <c r="Y153">
        <v>1.1000000000000085</v>
      </c>
      <c r="Z153">
        <v>0.59999999999999432</v>
      </c>
      <c r="AA153">
        <v>-9.9999999999994316E-2</v>
      </c>
      <c r="AB153">
        <v>0.39999999999999147</v>
      </c>
      <c r="AC153">
        <v>-9.9999999999994316E-2</v>
      </c>
      <c r="AD153">
        <v>-0.10000000000000853</v>
      </c>
      <c r="AE153">
        <v>0</v>
      </c>
    </row>
    <row r="154" spans="1:31" x14ac:dyDescent="0.3">
      <c r="A154" s="1">
        <v>39326</v>
      </c>
      <c r="B154">
        <v>100.5</v>
      </c>
      <c r="C154">
        <f t="shared" si="14"/>
        <v>-9.9999999999994316E-2</v>
      </c>
      <c r="D154">
        <f t="shared" si="15"/>
        <v>100.6</v>
      </c>
      <c r="E154">
        <f t="shared" si="16"/>
        <v>-0.30000000000001137</v>
      </c>
      <c r="F154">
        <f t="shared" si="18"/>
        <v>0</v>
      </c>
      <c r="G154">
        <f t="shared" si="18"/>
        <v>0.10000000000000853</v>
      </c>
      <c r="H154">
        <f t="shared" si="18"/>
        <v>0.29999999999999716</v>
      </c>
      <c r="I154">
        <f t="shared" si="17"/>
        <v>0.70000000000000284</v>
      </c>
      <c r="J154">
        <f t="shared" si="17"/>
        <v>-2.4000000000000057</v>
      </c>
      <c r="K154">
        <f t="shared" si="17"/>
        <v>1.1000000000000085</v>
      </c>
      <c r="L154">
        <f t="shared" si="17"/>
        <v>0.59999999999999432</v>
      </c>
      <c r="M154">
        <f t="shared" si="19"/>
        <v>-9.9999999999994316E-2</v>
      </c>
      <c r="N154">
        <f t="shared" si="19"/>
        <v>0.39999999999999147</v>
      </c>
      <c r="O154">
        <f t="shared" si="19"/>
        <v>-9.9999999999994316E-2</v>
      </c>
      <c r="P154">
        <f t="shared" si="19"/>
        <v>-0.10000000000000853</v>
      </c>
      <c r="R154">
        <v>-9.9999999999994316E-2</v>
      </c>
      <c r="S154">
        <v>100.6</v>
      </c>
      <c r="T154">
        <v>-0.30000000000001137</v>
      </c>
      <c r="U154">
        <v>0</v>
      </c>
      <c r="V154">
        <v>0.10000000000000853</v>
      </c>
      <c r="W154">
        <v>0.29999999999999716</v>
      </c>
      <c r="X154">
        <v>0.70000000000000284</v>
      </c>
      <c r="Y154">
        <v>-2.4000000000000057</v>
      </c>
      <c r="Z154">
        <v>1.1000000000000085</v>
      </c>
      <c r="AA154">
        <v>0.59999999999999432</v>
      </c>
      <c r="AB154">
        <v>-9.9999999999994316E-2</v>
      </c>
      <c r="AC154">
        <v>0.39999999999999147</v>
      </c>
      <c r="AD154">
        <v>-9.9999999999994316E-2</v>
      </c>
      <c r="AE154">
        <v>-0.10000000000000853</v>
      </c>
    </row>
    <row r="155" spans="1:31" x14ac:dyDescent="0.3">
      <c r="A155" s="1">
        <v>39356</v>
      </c>
      <c r="B155">
        <v>100.7</v>
      </c>
      <c r="C155">
        <f t="shared" si="14"/>
        <v>0.20000000000000284</v>
      </c>
      <c r="D155">
        <f t="shared" si="15"/>
        <v>100.5</v>
      </c>
      <c r="E155">
        <f t="shared" si="16"/>
        <v>-9.9999999999994316E-2</v>
      </c>
      <c r="F155">
        <f t="shared" si="18"/>
        <v>-0.30000000000001137</v>
      </c>
      <c r="G155">
        <f t="shared" si="18"/>
        <v>0</v>
      </c>
      <c r="H155">
        <f t="shared" si="18"/>
        <v>0.10000000000000853</v>
      </c>
      <c r="I155">
        <f t="shared" si="17"/>
        <v>0.29999999999999716</v>
      </c>
      <c r="J155">
        <f t="shared" si="17"/>
        <v>0.70000000000000284</v>
      </c>
      <c r="K155">
        <f t="shared" si="17"/>
        <v>-2.4000000000000057</v>
      </c>
      <c r="L155">
        <f t="shared" si="17"/>
        <v>1.1000000000000085</v>
      </c>
      <c r="M155">
        <f t="shared" si="19"/>
        <v>0.59999999999999432</v>
      </c>
      <c r="N155">
        <f t="shared" si="19"/>
        <v>-9.9999999999994316E-2</v>
      </c>
      <c r="O155">
        <f t="shared" si="19"/>
        <v>0.39999999999999147</v>
      </c>
      <c r="P155">
        <f t="shared" si="19"/>
        <v>-9.9999999999994316E-2</v>
      </c>
      <c r="R155">
        <v>0.20000000000000284</v>
      </c>
      <c r="S155">
        <v>100.5</v>
      </c>
      <c r="T155">
        <v>-9.9999999999994316E-2</v>
      </c>
      <c r="U155">
        <v>-0.30000000000001137</v>
      </c>
      <c r="V155">
        <v>0</v>
      </c>
      <c r="W155">
        <v>0.10000000000000853</v>
      </c>
      <c r="X155">
        <v>0.29999999999999716</v>
      </c>
      <c r="Y155">
        <v>0.70000000000000284</v>
      </c>
      <c r="Z155">
        <v>-2.4000000000000057</v>
      </c>
      <c r="AA155">
        <v>1.1000000000000085</v>
      </c>
      <c r="AB155">
        <v>0.59999999999999432</v>
      </c>
      <c r="AC155">
        <v>-9.9999999999994316E-2</v>
      </c>
      <c r="AD155">
        <v>0.39999999999999147</v>
      </c>
      <c r="AE155">
        <v>-9.9999999999994316E-2</v>
      </c>
    </row>
    <row r="156" spans="1:31" x14ac:dyDescent="0.3">
      <c r="A156" s="1">
        <v>39387</v>
      </c>
      <c r="B156">
        <v>101.2</v>
      </c>
      <c r="C156">
        <f t="shared" si="14"/>
        <v>0.5</v>
      </c>
      <c r="D156">
        <f t="shared" si="15"/>
        <v>100.7</v>
      </c>
      <c r="E156">
        <f t="shared" si="16"/>
        <v>0.20000000000000284</v>
      </c>
      <c r="F156">
        <f t="shared" si="18"/>
        <v>-9.9999999999994316E-2</v>
      </c>
      <c r="G156">
        <f t="shared" si="18"/>
        <v>-0.30000000000001137</v>
      </c>
      <c r="H156">
        <f t="shared" si="18"/>
        <v>0</v>
      </c>
      <c r="I156">
        <f t="shared" si="17"/>
        <v>0.10000000000000853</v>
      </c>
      <c r="J156">
        <f t="shared" si="17"/>
        <v>0.29999999999999716</v>
      </c>
      <c r="K156">
        <f t="shared" si="17"/>
        <v>0.70000000000000284</v>
      </c>
      <c r="L156">
        <f t="shared" si="17"/>
        <v>-2.4000000000000057</v>
      </c>
      <c r="M156">
        <f t="shared" si="19"/>
        <v>1.1000000000000085</v>
      </c>
      <c r="N156">
        <f t="shared" si="19"/>
        <v>0.59999999999999432</v>
      </c>
      <c r="O156">
        <f t="shared" si="19"/>
        <v>-9.9999999999994316E-2</v>
      </c>
      <c r="P156">
        <f t="shared" si="19"/>
        <v>0.39999999999999147</v>
      </c>
      <c r="R156">
        <v>0.5</v>
      </c>
      <c r="S156">
        <v>100.7</v>
      </c>
      <c r="T156">
        <v>0.20000000000000284</v>
      </c>
      <c r="U156">
        <v>-9.9999999999994316E-2</v>
      </c>
      <c r="V156">
        <v>-0.30000000000001137</v>
      </c>
      <c r="W156">
        <v>0</v>
      </c>
      <c r="X156">
        <v>0.10000000000000853</v>
      </c>
      <c r="Y156">
        <v>0.29999999999999716</v>
      </c>
      <c r="Z156">
        <v>0.70000000000000284</v>
      </c>
      <c r="AA156">
        <v>-2.4000000000000057</v>
      </c>
      <c r="AB156">
        <v>1.1000000000000085</v>
      </c>
      <c r="AC156">
        <v>0.59999999999999432</v>
      </c>
      <c r="AD156">
        <v>-9.9999999999994316E-2</v>
      </c>
      <c r="AE156">
        <v>0.39999999999999147</v>
      </c>
    </row>
    <row r="157" spans="1:31" x14ac:dyDescent="0.3">
      <c r="A157" s="1">
        <v>39417</v>
      </c>
      <c r="B157">
        <v>102.9</v>
      </c>
      <c r="C157">
        <f t="shared" si="14"/>
        <v>1.7000000000000028</v>
      </c>
      <c r="D157">
        <f t="shared" si="15"/>
        <v>101.2</v>
      </c>
      <c r="E157">
        <f t="shared" si="16"/>
        <v>0.5</v>
      </c>
      <c r="F157">
        <f t="shared" si="18"/>
        <v>0.20000000000000284</v>
      </c>
      <c r="G157">
        <f t="shared" si="18"/>
        <v>-9.9999999999994316E-2</v>
      </c>
      <c r="H157">
        <f t="shared" si="18"/>
        <v>-0.30000000000001137</v>
      </c>
      <c r="I157">
        <f t="shared" si="17"/>
        <v>0</v>
      </c>
      <c r="J157">
        <f t="shared" si="17"/>
        <v>0.10000000000000853</v>
      </c>
      <c r="K157">
        <f t="shared" si="17"/>
        <v>0.29999999999999716</v>
      </c>
      <c r="L157">
        <f t="shared" si="17"/>
        <v>0.70000000000000284</v>
      </c>
      <c r="M157">
        <f t="shared" si="19"/>
        <v>-2.4000000000000057</v>
      </c>
      <c r="N157">
        <f t="shared" si="19"/>
        <v>1.1000000000000085</v>
      </c>
      <c r="O157">
        <f t="shared" si="19"/>
        <v>0.59999999999999432</v>
      </c>
      <c r="P157">
        <f t="shared" si="19"/>
        <v>-9.9999999999994316E-2</v>
      </c>
      <c r="R157">
        <v>1.7000000000000028</v>
      </c>
      <c r="S157">
        <v>101.2</v>
      </c>
      <c r="T157">
        <v>0.5</v>
      </c>
      <c r="U157">
        <v>0.20000000000000284</v>
      </c>
      <c r="V157">
        <v>-9.9999999999994316E-2</v>
      </c>
      <c r="W157">
        <v>-0.30000000000001137</v>
      </c>
      <c r="X157">
        <v>0</v>
      </c>
      <c r="Y157">
        <v>0.10000000000000853</v>
      </c>
      <c r="Z157">
        <v>0.29999999999999716</v>
      </c>
      <c r="AA157">
        <v>0.70000000000000284</v>
      </c>
      <c r="AB157">
        <v>-2.4000000000000057</v>
      </c>
      <c r="AC157">
        <v>1.1000000000000085</v>
      </c>
      <c r="AD157">
        <v>0.59999999999999432</v>
      </c>
      <c r="AE157">
        <v>-9.9999999999994316E-2</v>
      </c>
    </row>
    <row r="158" spans="1:31" x14ac:dyDescent="0.3">
      <c r="A158" s="1">
        <v>39448</v>
      </c>
      <c r="B158">
        <v>102.4</v>
      </c>
      <c r="C158">
        <f t="shared" si="14"/>
        <v>-0.5</v>
      </c>
      <c r="D158">
        <f t="shared" si="15"/>
        <v>102.9</v>
      </c>
      <c r="E158">
        <f t="shared" si="16"/>
        <v>1.7000000000000028</v>
      </c>
      <c r="F158">
        <f t="shared" si="18"/>
        <v>0.5</v>
      </c>
      <c r="G158">
        <f t="shared" si="18"/>
        <v>0.20000000000000284</v>
      </c>
      <c r="H158">
        <f t="shared" si="18"/>
        <v>-9.9999999999994316E-2</v>
      </c>
      <c r="I158">
        <f t="shared" si="17"/>
        <v>-0.30000000000001137</v>
      </c>
      <c r="J158">
        <f t="shared" si="17"/>
        <v>0</v>
      </c>
      <c r="K158">
        <f t="shared" si="17"/>
        <v>0.10000000000000853</v>
      </c>
      <c r="L158">
        <f t="shared" si="17"/>
        <v>0.29999999999999716</v>
      </c>
      <c r="M158">
        <f t="shared" si="19"/>
        <v>0.70000000000000284</v>
      </c>
      <c r="N158">
        <f t="shared" si="19"/>
        <v>-2.4000000000000057</v>
      </c>
      <c r="O158">
        <f t="shared" si="19"/>
        <v>1.1000000000000085</v>
      </c>
      <c r="P158">
        <f t="shared" si="19"/>
        <v>0.59999999999999432</v>
      </c>
      <c r="R158">
        <v>-0.5</v>
      </c>
      <c r="S158">
        <v>102.9</v>
      </c>
      <c r="T158">
        <v>1.7000000000000028</v>
      </c>
      <c r="U158">
        <v>0.5</v>
      </c>
      <c r="V158">
        <v>0.20000000000000284</v>
      </c>
      <c r="W158">
        <v>-9.9999999999994316E-2</v>
      </c>
      <c r="X158">
        <v>-0.30000000000001137</v>
      </c>
      <c r="Y158">
        <v>0</v>
      </c>
      <c r="Z158">
        <v>0.10000000000000853</v>
      </c>
      <c r="AA158">
        <v>0.29999999999999716</v>
      </c>
      <c r="AB158">
        <v>0.70000000000000284</v>
      </c>
      <c r="AC158">
        <v>-2.4000000000000057</v>
      </c>
      <c r="AD158">
        <v>1.1000000000000085</v>
      </c>
      <c r="AE158">
        <v>0.59999999999999432</v>
      </c>
    </row>
    <row r="159" spans="1:31" x14ac:dyDescent="0.3">
      <c r="A159" s="1">
        <v>39479</v>
      </c>
      <c r="B159">
        <v>103.6</v>
      </c>
      <c r="C159">
        <f t="shared" si="14"/>
        <v>1.1999999999999886</v>
      </c>
      <c r="D159">
        <f t="shared" si="15"/>
        <v>102.4</v>
      </c>
      <c r="E159">
        <f t="shared" si="16"/>
        <v>-0.5</v>
      </c>
      <c r="F159">
        <f t="shared" si="18"/>
        <v>1.7000000000000028</v>
      </c>
      <c r="G159">
        <f t="shared" si="18"/>
        <v>0.5</v>
      </c>
      <c r="H159">
        <f t="shared" si="18"/>
        <v>0.20000000000000284</v>
      </c>
      <c r="I159">
        <f t="shared" si="17"/>
        <v>-9.9999999999994316E-2</v>
      </c>
      <c r="J159">
        <f t="shared" si="17"/>
        <v>-0.30000000000001137</v>
      </c>
      <c r="K159">
        <f t="shared" si="17"/>
        <v>0</v>
      </c>
      <c r="L159">
        <f t="shared" si="17"/>
        <v>0.10000000000000853</v>
      </c>
      <c r="M159">
        <f t="shared" si="19"/>
        <v>0.29999999999999716</v>
      </c>
      <c r="N159">
        <f t="shared" si="19"/>
        <v>0.70000000000000284</v>
      </c>
      <c r="O159">
        <f t="shared" si="19"/>
        <v>-2.4000000000000057</v>
      </c>
      <c r="P159">
        <f t="shared" si="19"/>
        <v>1.1000000000000085</v>
      </c>
      <c r="R159">
        <v>1.1999999999999886</v>
      </c>
      <c r="S159">
        <v>102.4</v>
      </c>
      <c r="T159">
        <v>-0.5</v>
      </c>
      <c r="U159">
        <v>1.7000000000000028</v>
      </c>
      <c r="V159">
        <v>0.5</v>
      </c>
      <c r="W159">
        <v>0.20000000000000284</v>
      </c>
      <c r="X159">
        <v>-9.9999999999994316E-2</v>
      </c>
      <c r="Y159">
        <v>-0.30000000000001137</v>
      </c>
      <c r="Z159">
        <v>0</v>
      </c>
      <c r="AA159">
        <v>0.10000000000000853</v>
      </c>
      <c r="AB159">
        <v>0.29999999999999716</v>
      </c>
      <c r="AC159">
        <v>0.70000000000000284</v>
      </c>
      <c r="AD159">
        <v>-2.4000000000000057</v>
      </c>
      <c r="AE159">
        <v>1.1000000000000085</v>
      </c>
    </row>
    <row r="160" spans="1:31" x14ac:dyDescent="0.3">
      <c r="A160" s="1">
        <v>39508</v>
      </c>
      <c r="B160">
        <v>103</v>
      </c>
      <c r="C160">
        <f t="shared" si="14"/>
        <v>-0.59999999999999432</v>
      </c>
      <c r="D160">
        <f t="shared" si="15"/>
        <v>103.6</v>
      </c>
      <c r="E160">
        <f t="shared" si="16"/>
        <v>1.1999999999999886</v>
      </c>
      <c r="F160">
        <f t="shared" si="18"/>
        <v>-0.5</v>
      </c>
      <c r="G160">
        <f t="shared" si="18"/>
        <v>1.7000000000000028</v>
      </c>
      <c r="H160">
        <f t="shared" si="18"/>
        <v>0.5</v>
      </c>
      <c r="I160">
        <f t="shared" si="17"/>
        <v>0.20000000000000284</v>
      </c>
      <c r="J160">
        <f t="shared" si="17"/>
        <v>-9.9999999999994316E-2</v>
      </c>
      <c r="K160">
        <f t="shared" si="17"/>
        <v>-0.30000000000001137</v>
      </c>
      <c r="L160">
        <f t="shared" si="17"/>
        <v>0</v>
      </c>
      <c r="M160">
        <f t="shared" si="19"/>
        <v>0.10000000000000853</v>
      </c>
      <c r="N160">
        <f t="shared" si="19"/>
        <v>0.29999999999999716</v>
      </c>
      <c r="O160">
        <f t="shared" si="19"/>
        <v>0.70000000000000284</v>
      </c>
      <c r="P160">
        <f t="shared" si="19"/>
        <v>-2.4000000000000057</v>
      </c>
      <c r="R160">
        <v>-0.59999999999999432</v>
      </c>
      <c r="S160">
        <v>103.6</v>
      </c>
      <c r="T160">
        <v>1.1999999999999886</v>
      </c>
      <c r="U160">
        <v>-0.5</v>
      </c>
      <c r="V160">
        <v>1.7000000000000028</v>
      </c>
      <c r="W160">
        <v>0.5</v>
      </c>
      <c r="X160">
        <v>0.20000000000000284</v>
      </c>
      <c r="Y160">
        <v>-9.9999999999994316E-2</v>
      </c>
      <c r="Z160">
        <v>-0.30000000000001137</v>
      </c>
      <c r="AA160">
        <v>0</v>
      </c>
      <c r="AB160">
        <v>0.10000000000000853</v>
      </c>
      <c r="AC160">
        <v>0.29999999999999716</v>
      </c>
      <c r="AD160">
        <v>0.70000000000000284</v>
      </c>
      <c r="AE160">
        <v>-2.4000000000000057</v>
      </c>
    </row>
    <row r="161" spans="1:31" x14ac:dyDescent="0.3">
      <c r="A161" s="1">
        <v>39539</v>
      </c>
      <c r="B161">
        <v>102.2</v>
      </c>
      <c r="C161">
        <f t="shared" si="14"/>
        <v>-0.79999999999999716</v>
      </c>
      <c r="D161">
        <f t="shared" si="15"/>
        <v>103</v>
      </c>
      <c r="E161">
        <f t="shared" si="16"/>
        <v>-0.59999999999999432</v>
      </c>
      <c r="F161">
        <f t="shared" si="18"/>
        <v>1.1999999999999886</v>
      </c>
      <c r="G161">
        <f t="shared" si="18"/>
        <v>-0.5</v>
      </c>
      <c r="H161">
        <f t="shared" si="18"/>
        <v>1.7000000000000028</v>
      </c>
      <c r="I161">
        <f t="shared" si="17"/>
        <v>0.5</v>
      </c>
      <c r="J161">
        <f t="shared" si="17"/>
        <v>0.20000000000000284</v>
      </c>
      <c r="K161">
        <f t="shared" si="17"/>
        <v>-9.9999999999994316E-2</v>
      </c>
      <c r="L161">
        <f t="shared" si="17"/>
        <v>-0.30000000000001137</v>
      </c>
      <c r="M161">
        <f t="shared" si="19"/>
        <v>0</v>
      </c>
      <c r="N161">
        <f t="shared" si="19"/>
        <v>0.10000000000000853</v>
      </c>
      <c r="O161">
        <f t="shared" si="19"/>
        <v>0.29999999999999716</v>
      </c>
      <c r="P161">
        <f t="shared" si="19"/>
        <v>0.70000000000000284</v>
      </c>
      <c r="R161">
        <v>-0.79999999999999716</v>
      </c>
      <c r="S161">
        <v>103</v>
      </c>
      <c r="T161">
        <v>-0.59999999999999432</v>
      </c>
      <c r="U161">
        <v>1.1999999999999886</v>
      </c>
      <c r="V161">
        <v>-0.5</v>
      </c>
      <c r="W161">
        <v>1.7000000000000028</v>
      </c>
      <c r="X161">
        <v>0.5</v>
      </c>
      <c r="Y161">
        <v>0.20000000000000284</v>
      </c>
      <c r="Z161">
        <v>-9.9999999999994316E-2</v>
      </c>
      <c r="AA161">
        <v>-0.30000000000001137</v>
      </c>
      <c r="AB161">
        <v>0</v>
      </c>
      <c r="AC161">
        <v>0.10000000000000853</v>
      </c>
      <c r="AD161">
        <v>0.29999999999999716</v>
      </c>
      <c r="AE161">
        <v>0.70000000000000284</v>
      </c>
    </row>
    <row r="162" spans="1:31" x14ac:dyDescent="0.3">
      <c r="A162" s="1">
        <v>39569</v>
      </c>
      <c r="B162">
        <v>103.9</v>
      </c>
      <c r="C162">
        <f t="shared" si="14"/>
        <v>1.7000000000000028</v>
      </c>
      <c r="D162">
        <f t="shared" si="15"/>
        <v>102.2</v>
      </c>
      <c r="E162">
        <f t="shared" si="16"/>
        <v>-0.79999999999999716</v>
      </c>
      <c r="F162">
        <f t="shared" si="18"/>
        <v>-0.59999999999999432</v>
      </c>
      <c r="G162">
        <f t="shared" si="18"/>
        <v>1.1999999999999886</v>
      </c>
      <c r="H162">
        <f t="shared" si="18"/>
        <v>-0.5</v>
      </c>
      <c r="I162">
        <f t="shared" si="17"/>
        <v>1.7000000000000028</v>
      </c>
      <c r="J162">
        <f t="shared" si="17"/>
        <v>0.5</v>
      </c>
      <c r="K162">
        <f t="shared" si="17"/>
        <v>0.20000000000000284</v>
      </c>
      <c r="L162">
        <f t="shared" si="17"/>
        <v>-9.9999999999994316E-2</v>
      </c>
      <c r="M162">
        <f t="shared" si="19"/>
        <v>-0.30000000000001137</v>
      </c>
      <c r="N162">
        <f t="shared" si="19"/>
        <v>0</v>
      </c>
      <c r="O162">
        <f t="shared" si="19"/>
        <v>0.10000000000000853</v>
      </c>
      <c r="P162">
        <f t="shared" si="19"/>
        <v>0.29999999999999716</v>
      </c>
      <c r="R162">
        <v>1.7000000000000028</v>
      </c>
      <c r="S162">
        <v>102.2</v>
      </c>
      <c r="T162">
        <v>-0.79999999999999716</v>
      </c>
      <c r="U162">
        <v>-0.59999999999999432</v>
      </c>
      <c r="V162">
        <v>1.1999999999999886</v>
      </c>
      <c r="W162">
        <v>-0.5</v>
      </c>
      <c r="X162">
        <v>1.7000000000000028</v>
      </c>
      <c r="Y162">
        <v>0.5</v>
      </c>
      <c r="Z162">
        <v>0.20000000000000284</v>
      </c>
      <c r="AA162">
        <v>-9.9999999999994316E-2</v>
      </c>
      <c r="AB162">
        <v>-0.30000000000001137</v>
      </c>
      <c r="AC162">
        <v>0</v>
      </c>
      <c r="AD162">
        <v>0.10000000000000853</v>
      </c>
      <c r="AE162">
        <v>0.29999999999999716</v>
      </c>
    </row>
    <row r="163" spans="1:31" x14ac:dyDescent="0.3">
      <c r="A163" s="1">
        <v>39600</v>
      </c>
      <c r="B163">
        <v>102.1</v>
      </c>
      <c r="C163">
        <f t="shared" si="14"/>
        <v>-1.8000000000000114</v>
      </c>
      <c r="D163">
        <f t="shared" si="15"/>
        <v>103.9</v>
      </c>
      <c r="E163">
        <f t="shared" si="16"/>
        <v>1.7000000000000028</v>
      </c>
      <c r="F163">
        <f t="shared" si="18"/>
        <v>-0.79999999999999716</v>
      </c>
      <c r="G163">
        <f t="shared" si="18"/>
        <v>-0.59999999999999432</v>
      </c>
      <c r="H163">
        <f t="shared" si="18"/>
        <v>1.1999999999999886</v>
      </c>
      <c r="I163">
        <f t="shared" si="17"/>
        <v>-0.5</v>
      </c>
      <c r="J163">
        <f t="shared" si="17"/>
        <v>1.7000000000000028</v>
      </c>
      <c r="K163">
        <f t="shared" si="17"/>
        <v>0.5</v>
      </c>
      <c r="L163">
        <f t="shared" si="17"/>
        <v>0.20000000000000284</v>
      </c>
      <c r="M163">
        <f t="shared" si="19"/>
        <v>-9.9999999999994316E-2</v>
      </c>
      <c r="N163">
        <f t="shared" si="19"/>
        <v>-0.30000000000001137</v>
      </c>
      <c r="O163">
        <f t="shared" si="19"/>
        <v>0</v>
      </c>
      <c r="P163">
        <f t="shared" si="19"/>
        <v>0.10000000000000853</v>
      </c>
      <c r="R163">
        <v>-1.8000000000000114</v>
      </c>
      <c r="S163">
        <v>103.9</v>
      </c>
      <c r="T163">
        <v>1.7000000000000028</v>
      </c>
      <c r="U163">
        <v>-0.79999999999999716</v>
      </c>
      <c r="V163">
        <v>-0.59999999999999432</v>
      </c>
      <c r="W163">
        <v>1.1999999999999886</v>
      </c>
      <c r="X163">
        <v>-0.5</v>
      </c>
      <c r="Y163">
        <v>1.7000000000000028</v>
      </c>
      <c r="Z163">
        <v>0.5</v>
      </c>
      <c r="AA163">
        <v>0.20000000000000284</v>
      </c>
      <c r="AB163">
        <v>-9.9999999999994316E-2</v>
      </c>
      <c r="AC163">
        <v>-0.30000000000001137</v>
      </c>
      <c r="AD163">
        <v>0</v>
      </c>
      <c r="AE163">
        <v>0.10000000000000853</v>
      </c>
    </row>
    <row r="164" spans="1:31" x14ac:dyDescent="0.3">
      <c r="A164" s="1">
        <v>39630</v>
      </c>
      <c r="B164">
        <v>101.1</v>
      </c>
      <c r="C164">
        <f t="shared" si="14"/>
        <v>-1</v>
      </c>
      <c r="D164">
        <f t="shared" si="15"/>
        <v>102.1</v>
      </c>
      <c r="E164">
        <f t="shared" si="16"/>
        <v>-1.8000000000000114</v>
      </c>
      <c r="F164">
        <f t="shared" si="18"/>
        <v>1.7000000000000028</v>
      </c>
      <c r="G164">
        <f t="shared" si="18"/>
        <v>-0.79999999999999716</v>
      </c>
      <c r="H164">
        <f t="shared" si="18"/>
        <v>-0.59999999999999432</v>
      </c>
      <c r="I164">
        <f t="shared" si="17"/>
        <v>1.1999999999999886</v>
      </c>
      <c r="J164">
        <f t="shared" si="17"/>
        <v>-0.5</v>
      </c>
      <c r="K164">
        <f t="shared" si="17"/>
        <v>1.7000000000000028</v>
      </c>
      <c r="L164">
        <f t="shared" si="17"/>
        <v>0.5</v>
      </c>
      <c r="M164">
        <f t="shared" si="19"/>
        <v>0.20000000000000284</v>
      </c>
      <c r="N164">
        <f t="shared" si="19"/>
        <v>-9.9999999999994316E-2</v>
      </c>
      <c r="O164">
        <f t="shared" si="19"/>
        <v>-0.30000000000001137</v>
      </c>
      <c r="P164">
        <f t="shared" si="19"/>
        <v>0</v>
      </c>
      <c r="R164">
        <v>-1</v>
      </c>
      <c r="S164">
        <v>102.1</v>
      </c>
      <c r="T164">
        <v>-1.8000000000000114</v>
      </c>
      <c r="U164">
        <v>1.7000000000000028</v>
      </c>
      <c r="V164">
        <v>-0.79999999999999716</v>
      </c>
      <c r="W164">
        <v>-0.59999999999999432</v>
      </c>
      <c r="X164">
        <v>1.1999999999999886</v>
      </c>
      <c r="Y164">
        <v>-0.5</v>
      </c>
      <c r="Z164">
        <v>1.7000000000000028</v>
      </c>
      <c r="AA164">
        <v>0.5</v>
      </c>
      <c r="AB164">
        <v>0.20000000000000284</v>
      </c>
      <c r="AC164">
        <v>-9.9999999999994316E-2</v>
      </c>
      <c r="AD164">
        <v>-0.30000000000001137</v>
      </c>
      <c r="AE164">
        <v>0</v>
      </c>
    </row>
    <row r="165" spans="1:31" x14ac:dyDescent="0.3">
      <c r="A165" s="1">
        <v>39661</v>
      </c>
      <c r="B165">
        <v>101.6</v>
      </c>
      <c r="C165">
        <f t="shared" si="14"/>
        <v>0.5</v>
      </c>
      <c r="D165">
        <f t="shared" si="15"/>
        <v>101.1</v>
      </c>
      <c r="E165">
        <f t="shared" si="16"/>
        <v>-1</v>
      </c>
      <c r="F165">
        <f t="shared" si="18"/>
        <v>-1.8000000000000114</v>
      </c>
      <c r="G165">
        <f t="shared" si="18"/>
        <v>1.7000000000000028</v>
      </c>
      <c r="H165">
        <f t="shared" si="18"/>
        <v>-0.79999999999999716</v>
      </c>
      <c r="I165">
        <f t="shared" si="17"/>
        <v>-0.59999999999999432</v>
      </c>
      <c r="J165">
        <f t="shared" si="17"/>
        <v>1.1999999999999886</v>
      </c>
      <c r="K165">
        <f t="shared" si="17"/>
        <v>-0.5</v>
      </c>
      <c r="L165">
        <f t="shared" si="17"/>
        <v>1.7000000000000028</v>
      </c>
      <c r="M165">
        <f t="shared" si="19"/>
        <v>0.5</v>
      </c>
      <c r="N165">
        <f t="shared" si="19"/>
        <v>0.20000000000000284</v>
      </c>
      <c r="O165">
        <f t="shared" si="19"/>
        <v>-9.9999999999994316E-2</v>
      </c>
      <c r="P165">
        <f t="shared" si="19"/>
        <v>-0.30000000000001137</v>
      </c>
      <c r="R165">
        <v>0.5</v>
      </c>
      <c r="S165">
        <v>101.1</v>
      </c>
      <c r="T165">
        <v>-1</v>
      </c>
      <c r="U165">
        <v>-1.8000000000000114</v>
      </c>
      <c r="V165">
        <v>1.7000000000000028</v>
      </c>
      <c r="W165">
        <v>-0.79999999999999716</v>
      </c>
      <c r="X165">
        <v>-0.59999999999999432</v>
      </c>
      <c r="Y165">
        <v>1.1999999999999886</v>
      </c>
      <c r="Z165">
        <v>-0.5</v>
      </c>
      <c r="AA165">
        <v>1.7000000000000028</v>
      </c>
      <c r="AB165">
        <v>0.5</v>
      </c>
      <c r="AC165">
        <v>0.20000000000000284</v>
      </c>
      <c r="AD165">
        <v>-9.9999999999994316E-2</v>
      </c>
      <c r="AE165">
        <v>-0.30000000000001137</v>
      </c>
    </row>
    <row r="166" spans="1:31" x14ac:dyDescent="0.3">
      <c r="A166" s="1">
        <v>39692</v>
      </c>
      <c r="B166">
        <v>100.2</v>
      </c>
      <c r="C166">
        <f t="shared" si="14"/>
        <v>-1.3999999999999915</v>
      </c>
      <c r="D166">
        <f t="shared" si="15"/>
        <v>101.6</v>
      </c>
      <c r="E166">
        <f t="shared" si="16"/>
        <v>0.5</v>
      </c>
      <c r="F166">
        <f t="shared" si="18"/>
        <v>-1</v>
      </c>
      <c r="G166">
        <f t="shared" si="18"/>
        <v>-1.8000000000000114</v>
      </c>
      <c r="H166">
        <f t="shared" si="18"/>
        <v>1.7000000000000028</v>
      </c>
      <c r="I166">
        <f t="shared" si="17"/>
        <v>-0.79999999999999716</v>
      </c>
      <c r="J166">
        <f t="shared" si="17"/>
        <v>-0.59999999999999432</v>
      </c>
      <c r="K166">
        <f t="shared" si="17"/>
        <v>1.1999999999999886</v>
      </c>
      <c r="L166">
        <f t="shared" si="17"/>
        <v>-0.5</v>
      </c>
      <c r="M166">
        <f t="shared" si="19"/>
        <v>1.7000000000000028</v>
      </c>
      <c r="N166">
        <f t="shared" si="19"/>
        <v>0.5</v>
      </c>
      <c r="O166">
        <f t="shared" si="19"/>
        <v>0.20000000000000284</v>
      </c>
      <c r="P166">
        <f t="shared" si="19"/>
        <v>-9.9999999999994316E-2</v>
      </c>
      <c r="R166">
        <v>-1.3999999999999915</v>
      </c>
      <c r="S166">
        <v>101.6</v>
      </c>
      <c r="T166">
        <v>0.5</v>
      </c>
      <c r="U166">
        <v>-1</v>
      </c>
      <c r="V166">
        <v>-1.8000000000000114</v>
      </c>
      <c r="W166">
        <v>1.7000000000000028</v>
      </c>
      <c r="X166">
        <v>-0.79999999999999716</v>
      </c>
      <c r="Y166">
        <v>-0.59999999999999432</v>
      </c>
      <c r="Z166">
        <v>1.1999999999999886</v>
      </c>
      <c r="AA166">
        <v>-0.5</v>
      </c>
      <c r="AB166">
        <v>1.7000000000000028</v>
      </c>
      <c r="AC166">
        <v>0.5</v>
      </c>
      <c r="AD166">
        <v>0.20000000000000284</v>
      </c>
      <c r="AE166">
        <v>-9.9999999999994316E-2</v>
      </c>
    </row>
    <row r="167" spans="1:31" x14ac:dyDescent="0.3">
      <c r="A167" s="1">
        <v>39722</v>
      </c>
      <c r="B167">
        <v>99.8</v>
      </c>
      <c r="C167">
        <f t="shared" si="14"/>
        <v>-0.40000000000000568</v>
      </c>
      <c r="D167">
        <f t="shared" si="15"/>
        <v>100.2</v>
      </c>
      <c r="E167">
        <f t="shared" si="16"/>
        <v>-1.3999999999999915</v>
      </c>
      <c r="F167">
        <f t="shared" si="18"/>
        <v>0.5</v>
      </c>
      <c r="G167">
        <f t="shared" si="18"/>
        <v>-1</v>
      </c>
      <c r="H167">
        <f t="shared" si="18"/>
        <v>-1.8000000000000114</v>
      </c>
      <c r="I167">
        <f t="shared" si="17"/>
        <v>1.7000000000000028</v>
      </c>
      <c r="J167">
        <f t="shared" si="17"/>
        <v>-0.79999999999999716</v>
      </c>
      <c r="K167">
        <f t="shared" si="17"/>
        <v>-0.59999999999999432</v>
      </c>
      <c r="L167">
        <f t="shared" si="17"/>
        <v>1.1999999999999886</v>
      </c>
      <c r="M167">
        <f t="shared" si="19"/>
        <v>-0.5</v>
      </c>
      <c r="N167">
        <f t="shared" si="19"/>
        <v>1.7000000000000028</v>
      </c>
      <c r="O167">
        <f t="shared" si="19"/>
        <v>0.5</v>
      </c>
      <c r="P167">
        <f t="shared" si="19"/>
        <v>0.20000000000000284</v>
      </c>
      <c r="R167">
        <v>-0.40000000000000568</v>
      </c>
      <c r="S167">
        <v>100.2</v>
      </c>
      <c r="T167">
        <v>-1.3999999999999915</v>
      </c>
      <c r="U167">
        <v>0.5</v>
      </c>
      <c r="V167">
        <v>-1</v>
      </c>
      <c r="W167">
        <v>-1.8000000000000114</v>
      </c>
      <c r="X167">
        <v>1.7000000000000028</v>
      </c>
      <c r="Y167">
        <v>-0.79999999999999716</v>
      </c>
      <c r="Z167">
        <v>-0.59999999999999432</v>
      </c>
      <c r="AA167">
        <v>1.1999999999999886</v>
      </c>
      <c r="AB167">
        <v>-0.5</v>
      </c>
      <c r="AC167">
        <v>1.7000000000000028</v>
      </c>
      <c r="AD167">
        <v>0.5</v>
      </c>
      <c r="AE167">
        <v>0.20000000000000284</v>
      </c>
    </row>
    <row r="168" spans="1:31" x14ac:dyDescent="0.3">
      <c r="A168" s="1">
        <v>39753</v>
      </c>
      <c r="B168">
        <v>99.2</v>
      </c>
      <c r="C168">
        <f t="shared" si="14"/>
        <v>-0.59999999999999432</v>
      </c>
      <c r="D168">
        <f t="shared" si="15"/>
        <v>99.8</v>
      </c>
      <c r="E168">
        <f t="shared" si="16"/>
        <v>-0.40000000000000568</v>
      </c>
      <c r="F168">
        <f t="shared" si="18"/>
        <v>-1.3999999999999915</v>
      </c>
      <c r="G168">
        <f t="shared" si="18"/>
        <v>0.5</v>
      </c>
      <c r="H168">
        <f t="shared" si="18"/>
        <v>-1</v>
      </c>
      <c r="I168">
        <f t="shared" si="17"/>
        <v>-1.8000000000000114</v>
      </c>
      <c r="J168">
        <f t="shared" si="17"/>
        <v>1.7000000000000028</v>
      </c>
      <c r="K168">
        <f t="shared" si="17"/>
        <v>-0.79999999999999716</v>
      </c>
      <c r="L168">
        <f t="shared" si="17"/>
        <v>-0.59999999999999432</v>
      </c>
      <c r="M168">
        <f t="shared" si="19"/>
        <v>1.1999999999999886</v>
      </c>
      <c r="N168">
        <f t="shared" si="19"/>
        <v>-0.5</v>
      </c>
      <c r="O168">
        <f t="shared" si="19"/>
        <v>1.7000000000000028</v>
      </c>
      <c r="P168">
        <f t="shared" si="19"/>
        <v>0.5</v>
      </c>
      <c r="R168">
        <v>-0.59999999999999432</v>
      </c>
      <c r="S168">
        <v>99.8</v>
      </c>
      <c r="T168">
        <v>-0.40000000000000568</v>
      </c>
      <c r="U168">
        <v>-1.3999999999999915</v>
      </c>
      <c r="V168">
        <v>0.5</v>
      </c>
      <c r="W168">
        <v>-1</v>
      </c>
      <c r="X168">
        <v>-1.8000000000000114</v>
      </c>
      <c r="Y168">
        <v>1.7000000000000028</v>
      </c>
      <c r="Z168">
        <v>-0.79999999999999716</v>
      </c>
      <c r="AA168">
        <v>-0.59999999999999432</v>
      </c>
      <c r="AB168">
        <v>1.1999999999999886</v>
      </c>
      <c r="AC168">
        <v>-0.5</v>
      </c>
      <c r="AD168">
        <v>1.7000000000000028</v>
      </c>
      <c r="AE168">
        <v>0.5</v>
      </c>
    </row>
    <row r="169" spans="1:31" x14ac:dyDescent="0.3">
      <c r="A169" s="1">
        <v>39783</v>
      </c>
      <c r="B169">
        <v>99.3</v>
      </c>
      <c r="C169">
        <f t="shared" si="14"/>
        <v>9.9999999999994316E-2</v>
      </c>
      <c r="D169">
        <f t="shared" si="15"/>
        <v>99.2</v>
      </c>
      <c r="E169">
        <f t="shared" si="16"/>
        <v>-0.59999999999999432</v>
      </c>
      <c r="F169">
        <f t="shared" si="18"/>
        <v>-0.40000000000000568</v>
      </c>
      <c r="G169">
        <f t="shared" si="18"/>
        <v>-1.3999999999999915</v>
      </c>
      <c r="H169">
        <f t="shared" si="18"/>
        <v>0.5</v>
      </c>
      <c r="I169">
        <f t="shared" si="17"/>
        <v>-1</v>
      </c>
      <c r="J169">
        <f t="shared" si="17"/>
        <v>-1.8000000000000114</v>
      </c>
      <c r="K169">
        <f t="shared" si="17"/>
        <v>1.7000000000000028</v>
      </c>
      <c r="L169">
        <f t="shared" si="17"/>
        <v>-0.79999999999999716</v>
      </c>
      <c r="M169">
        <f t="shared" si="19"/>
        <v>-0.59999999999999432</v>
      </c>
      <c r="N169">
        <f t="shared" si="19"/>
        <v>1.1999999999999886</v>
      </c>
      <c r="O169">
        <f t="shared" si="19"/>
        <v>-0.5</v>
      </c>
      <c r="P169">
        <f t="shared" si="19"/>
        <v>1.7000000000000028</v>
      </c>
      <c r="R169">
        <v>9.9999999999994316E-2</v>
      </c>
      <c r="S169">
        <v>99.2</v>
      </c>
      <c r="T169">
        <v>-0.59999999999999432</v>
      </c>
      <c r="U169">
        <v>-0.40000000000000568</v>
      </c>
      <c r="V169">
        <v>-1.3999999999999915</v>
      </c>
      <c r="W169">
        <v>0.5</v>
      </c>
      <c r="X169">
        <v>-1</v>
      </c>
      <c r="Y169">
        <v>-1.8000000000000114</v>
      </c>
      <c r="Z169">
        <v>1.7000000000000028</v>
      </c>
      <c r="AA169">
        <v>-0.79999999999999716</v>
      </c>
      <c r="AB169">
        <v>-0.59999999999999432</v>
      </c>
      <c r="AC169">
        <v>1.1999999999999886</v>
      </c>
      <c r="AD169">
        <v>-0.5</v>
      </c>
      <c r="AE169">
        <v>1.7000000000000028</v>
      </c>
    </row>
    <row r="170" spans="1:31" x14ac:dyDescent="0.3">
      <c r="A170" s="1">
        <v>39814</v>
      </c>
      <c r="B170">
        <v>100.3</v>
      </c>
      <c r="C170">
        <f t="shared" si="14"/>
        <v>1</v>
      </c>
      <c r="D170">
        <f t="shared" si="15"/>
        <v>99.3</v>
      </c>
      <c r="E170">
        <f t="shared" si="16"/>
        <v>9.9999999999994316E-2</v>
      </c>
      <c r="F170">
        <f t="shared" si="18"/>
        <v>-0.59999999999999432</v>
      </c>
      <c r="G170">
        <f t="shared" si="18"/>
        <v>-0.40000000000000568</v>
      </c>
      <c r="H170">
        <f t="shared" si="18"/>
        <v>-1.3999999999999915</v>
      </c>
      <c r="I170">
        <f t="shared" si="17"/>
        <v>0.5</v>
      </c>
      <c r="J170">
        <f t="shared" si="17"/>
        <v>-1</v>
      </c>
      <c r="K170">
        <f t="shared" si="17"/>
        <v>-1.8000000000000114</v>
      </c>
      <c r="L170">
        <f t="shared" si="17"/>
        <v>1.7000000000000028</v>
      </c>
      <c r="M170">
        <f t="shared" si="19"/>
        <v>-0.79999999999999716</v>
      </c>
      <c r="N170">
        <f t="shared" si="19"/>
        <v>-0.59999999999999432</v>
      </c>
      <c r="O170">
        <f t="shared" si="19"/>
        <v>1.1999999999999886</v>
      </c>
      <c r="P170">
        <f t="shared" si="19"/>
        <v>-0.5</v>
      </c>
      <c r="R170">
        <v>1</v>
      </c>
      <c r="S170">
        <v>99.3</v>
      </c>
      <c r="T170">
        <v>9.9999999999994316E-2</v>
      </c>
      <c r="U170">
        <v>-0.59999999999999432</v>
      </c>
      <c r="V170">
        <v>-0.40000000000000568</v>
      </c>
      <c r="W170">
        <v>-1.3999999999999915</v>
      </c>
      <c r="X170">
        <v>0.5</v>
      </c>
      <c r="Y170">
        <v>-1</v>
      </c>
      <c r="Z170">
        <v>-1.8000000000000114</v>
      </c>
      <c r="AA170">
        <v>1.7000000000000028</v>
      </c>
      <c r="AB170">
        <v>-0.79999999999999716</v>
      </c>
      <c r="AC170">
        <v>-0.59999999999999432</v>
      </c>
      <c r="AD170">
        <v>1.1999999999999886</v>
      </c>
      <c r="AE170">
        <v>-0.5</v>
      </c>
    </row>
    <row r="171" spans="1:31" x14ac:dyDescent="0.3">
      <c r="A171" s="1">
        <v>39845</v>
      </c>
      <c r="B171">
        <v>101.2</v>
      </c>
      <c r="C171">
        <f t="shared" si="14"/>
        <v>0.90000000000000568</v>
      </c>
      <c r="D171">
        <f t="shared" si="15"/>
        <v>100.3</v>
      </c>
      <c r="E171">
        <f t="shared" si="16"/>
        <v>1</v>
      </c>
      <c r="F171">
        <f t="shared" si="18"/>
        <v>9.9999999999994316E-2</v>
      </c>
      <c r="G171">
        <f t="shared" si="18"/>
        <v>-0.59999999999999432</v>
      </c>
      <c r="H171">
        <f t="shared" si="18"/>
        <v>-0.40000000000000568</v>
      </c>
      <c r="I171">
        <f t="shared" si="17"/>
        <v>-1.3999999999999915</v>
      </c>
      <c r="J171">
        <f t="shared" si="17"/>
        <v>0.5</v>
      </c>
      <c r="K171">
        <f t="shared" si="17"/>
        <v>-1</v>
      </c>
      <c r="L171">
        <f t="shared" si="17"/>
        <v>-1.8000000000000114</v>
      </c>
      <c r="M171">
        <f t="shared" si="19"/>
        <v>1.7000000000000028</v>
      </c>
      <c r="N171">
        <f t="shared" si="19"/>
        <v>-0.79999999999999716</v>
      </c>
      <c r="O171">
        <f t="shared" si="19"/>
        <v>-0.59999999999999432</v>
      </c>
      <c r="P171">
        <f t="shared" si="19"/>
        <v>1.1999999999999886</v>
      </c>
      <c r="R171">
        <v>0.90000000000000568</v>
      </c>
      <c r="S171">
        <v>100.3</v>
      </c>
      <c r="T171">
        <v>1</v>
      </c>
      <c r="U171">
        <v>9.9999999999994316E-2</v>
      </c>
      <c r="V171">
        <v>-0.59999999999999432</v>
      </c>
      <c r="W171">
        <v>-0.40000000000000568</v>
      </c>
      <c r="X171">
        <v>-1.3999999999999915</v>
      </c>
      <c r="Y171">
        <v>0.5</v>
      </c>
      <c r="Z171">
        <v>-1</v>
      </c>
      <c r="AA171">
        <v>-1.8000000000000114</v>
      </c>
      <c r="AB171">
        <v>1.7000000000000028</v>
      </c>
      <c r="AC171">
        <v>-0.79999999999999716</v>
      </c>
      <c r="AD171">
        <v>-0.59999999999999432</v>
      </c>
      <c r="AE171">
        <v>1.1999999999999886</v>
      </c>
    </row>
    <row r="172" spans="1:31" x14ac:dyDescent="0.3">
      <c r="A172" s="1">
        <v>39873</v>
      </c>
      <c r="B172">
        <v>99.8</v>
      </c>
      <c r="C172">
        <f t="shared" si="14"/>
        <v>-1.4000000000000057</v>
      </c>
      <c r="D172">
        <f t="shared" si="15"/>
        <v>101.2</v>
      </c>
      <c r="E172">
        <f t="shared" si="16"/>
        <v>0.90000000000000568</v>
      </c>
      <c r="F172">
        <f t="shared" si="18"/>
        <v>1</v>
      </c>
      <c r="G172">
        <f t="shared" si="18"/>
        <v>9.9999999999994316E-2</v>
      </c>
      <c r="H172">
        <f t="shared" si="18"/>
        <v>-0.59999999999999432</v>
      </c>
      <c r="I172">
        <f t="shared" si="17"/>
        <v>-0.40000000000000568</v>
      </c>
      <c r="J172">
        <f t="shared" si="17"/>
        <v>-1.3999999999999915</v>
      </c>
      <c r="K172">
        <f t="shared" si="17"/>
        <v>0.5</v>
      </c>
      <c r="L172">
        <f t="shared" si="17"/>
        <v>-1</v>
      </c>
      <c r="M172">
        <f t="shared" si="19"/>
        <v>-1.8000000000000114</v>
      </c>
      <c r="N172">
        <f t="shared" si="19"/>
        <v>1.7000000000000028</v>
      </c>
      <c r="O172">
        <f t="shared" si="19"/>
        <v>-0.79999999999999716</v>
      </c>
      <c r="P172">
        <f t="shared" si="19"/>
        <v>-0.59999999999999432</v>
      </c>
      <c r="R172">
        <v>-1.4000000000000057</v>
      </c>
      <c r="S172">
        <v>101.2</v>
      </c>
      <c r="T172">
        <v>0.90000000000000568</v>
      </c>
      <c r="U172">
        <v>1</v>
      </c>
      <c r="V172">
        <v>9.9999999999994316E-2</v>
      </c>
      <c r="W172">
        <v>-0.59999999999999432</v>
      </c>
      <c r="X172">
        <v>-0.40000000000000568</v>
      </c>
      <c r="Y172">
        <v>-1.3999999999999915</v>
      </c>
      <c r="Z172">
        <v>0.5</v>
      </c>
      <c r="AA172">
        <v>-1</v>
      </c>
      <c r="AB172">
        <v>-1.8000000000000114</v>
      </c>
      <c r="AC172">
        <v>1.7000000000000028</v>
      </c>
      <c r="AD172">
        <v>-0.79999999999999716</v>
      </c>
      <c r="AE172">
        <v>-0.59999999999999432</v>
      </c>
    </row>
    <row r="173" spans="1:31" x14ac:dyDescent="0.3">
      <c r="A173" s="1">
        <v>39904</v>
      </c>
      <c r="B173">
        <v>100.4</v>
      </c>
      <c r="C173">
        <f t="shared" si="14"/>
        <v>0.60000000000000853</v>
      </c>
      <c r="D173">
        <f t="shared" si="15"/>
        <v>99.8</v>
      </c>
      <c r="E173">
        <f t="shared" si="16"/>
        <v>-1.4000000000000057</v>
      </c>
      <c r="F173">
        <f t="shared" si="18"/>
        <v>0.90000000000000568</v>
      </c>
      <c r="G173">
        <f t="shared" si="18"/>
        <v>1</v>
      </c>
      <c r="H173">
        <f t="shared" si="18"/>
        <v>9.9999999999994316E-2</v>
      </c>
      <c r="I173">
        <f t="shared" si="17"/>
        <v>-0.59999999999999432</v>
      </c>
      <c r="J173">
        <f t="shared" si="17"/>
        <v>-0.40000000000000568</v>
      </c>
      <c r="K173">
        <f t="shared" si="17"/>
        <v>-1.3999999999999915</v>
      </c>
      <c r="L173">
        <f t="shared" si="17"/>
        <v>0.5</v>
      </c>
      <c r="M173">
        <f t="shared" si="19"/>
        <v>-1</v>
      </c>
      <c r="N173">
        <f t="shared" si="19"/>
        <v>-1.8000000000000114</v>
      </c>
      <c r="O173">
        <f t="shared" si="19"/>
        <v>1.7000000000000028</v>
      </c>
      <c r="P173">
        <f t="shared" si="19"/>
        <v>-0.79999999999999716</v>
      </c>
      <c r="R173">
        <v>0.60000000000000853</v>
      </c>
      <c r="S173">
        <v>99.8</v>
      </c>
      <c r="T173">
        <v>-1.4000000000000057</v>
      </c>
      <c r="U173">
        <v>0.90000000000000568</v>
      </c>
      <c r="V173">
        <v>1</v>
      </c>
      <c r="W173">
        <v>9.9999999999994316E-2</v>
      </c>
      <c r="X173">
        <v>-0.59999999999999432</v>
      </c>
      <c r="Y173">
        <v>-0.40000000000000568</v>
      </c>
      <c r="Z173">
        <v>-1.3999999999999915</v>
      </c>
      <c r="AA173">
        <v>0.5</v>
      </c>
      <c r="AB173">
        <v>-1</v>
      </c>
      <c r="AC173">
        <v>-1.8000000000000114</v>
      </c>
      <c r="AD173">
        <v>1.7000000000000028</v>
      </c>
      <c r="AE173">
        <v>-0.79999999999999716</v>
      </c>
    </row>
    <row r="174" spans="1:31" x14ac:dyDescent="0.3">
      <c r="A174" s="1">
        <v>39934</v>
      </c>
      <c r="B174">
        <v>100.4</v>
      </c>
      <c r="C174">
        <f t="shared" si="14"/>
        <v>0</v>
      </c>
      <c r="D174">
        <f t="shared" si="15"/>
        <v>100.4</v>
      </c>
      <c r="E174">
        <f t="shared" si="16"/>
        <v>0.60000000000000853</v>
      </c>
      <c r="F174">
        <f t="shared" si="18"/>
        <v>-1.4000000000000057</v>
      </c>
      <c r="G174">
        <f t="shared" si="18"/>
        <v>0.90000000000000568</v>
      </c>
      <c r="H174">
        <f t="shared" si="18"/>
        <v>1</v>
      </c>
      <c r="I174">
        <f t="shared" si="17"/>
        <v>9.9999999999994316E-2</v>
      </c>
      <c r="J174">
        <f t="shared" si="17"/>
        <v>-0.59999999999999432</v>
      </c>
      <c r="K174">
        <f t="shared" si="17"/>
        <v>-0.40000000000000568</v>
      </c>
      <c r="L174">
        <f t="shared" si="17"/>
        <v>-1.3999999999999915</v>
      </c>
      <c r="M174">
        <f t="shared" si="19"/>
        <v>0.5</v>
      </c>
      <c r="N174">
        <f t="shared" si="19"/>
        <v>-1</v>
      </c>
      <c r="O174">
        <f t="shared" si="19"/>
        <v>-1.8000000000000114</v>
      </c>
      <c r="P174">
        <f t="shared" si="19"/>
        <v>1.7000000000000028</v>
      </c>
      <c r="R174">
        <v>0</v>
      </c>
      <c r="S174">
        <v>100.4</v>
      </c>
      <c r="T174">
        <v>0.60000000000000853</v>
      </c>
      <c r="U174">
        <v>-1.4000000000000057</v>
      </c>
      <c r="V174">
        <v>0.90000000000000568</v>
      </c>
      <c r="W174">
        <v>1</v>
      </c>
      <c r="X174">
        <v>9.9999999999994316E-2</v>
      </c>
      <c r="Y174">
        <v>-0.59999999999999432</v>
      </c>
      <c r="Z174">
        <v>-0.40000000000000568</v>
      </c>
      <c r="AA174">
        <v>-1.3999999999999915</v>
      </c>
      <c r="AB174">
        <v>0.5</v>
      </c>
      <c r="AC174">
        <v>-1</v>
      </c>
      <c r="AD174">
        <v>-1.8000000000000114</v>
      </c>
      <c r="AE174">
        <v>1.7000000000000028</v>
      </c>
    </row>
    <row r="175" spans="1:31" x14ac:dyDescent="0.3">
      <c r="A175" s="1">
        <v>39965</v>
      </c>
      <c r="B175">
        <v>100.6</v>
      </c>
      <c r="C175">
        <f t="shared" si="14"/>
        <v>0.19999999999998863</v>
      </c>
      <c r="D175">
        <f t="shared" si="15"/>
        <v>100.4</v>
      </c>
      <c r="E175">
        <f t="shared" si="16"/>
        <v>0</v>
      </c>
      <c r="F175">
        <f t="shared" si="18"/>
        <v>0.60000000000000853</v>
      </c>
      <c r="G175">
        <f t="shared" si="18"/>
        <v>-1.4000000000000057</v>
      </c>
      <c r="H175">
        <f t="shared" si="18"/>
        <v>0.90000000000000568</v>
      </c>
      <c r="I175">
        <f t="shared" si="17"/>
        <v>1</v>
      </c>
      <c r="J175">
        <f t="shared" si="17"/>
        <v>9.9999999999994316E-2</v>
      </c>
      <c r="K175">
        <f t="shared" si="17"/>
        <v>-0.59999999999999432</v>
      </c>
      <c r="L175">
        <f t="shared" si="17"/>
        <v>-0.40000000000000568</v>
      </c>
      <c r="M175">
        <f t="shared" si="19"/>
        <v>-1.3999999999999915</v>
      </c>
      <c r="N175">
        <f t="shared" si="19"/>
        <v>0.5</v>
      </c>
      <c r="O175">
        <f t="shared" si="19"/>
        <v>-1</v>
      </c>
      <c r="P175">
        <f t="shared" si="19"/>
        <v>-1.8000000000000114</v>
      </c>
      <c r="R175">
        <v>0.19999999999998863</v>
      </c>
      <c r="S175">
        <v>100.4</v>
      </c>
      <c r="T175">
        <v>0</v>
      </c>
      <c r="U175">
        <v>0.60000000000000853</v>
      </c>
      <c r="V175">
        <v>-1.4000000000000057</v>
      </c>
      <c r="W175">
        <v>0.90000000000000568</v>
      </c>
      <c r="X175">
        <v>1</v>
      </c>
      <c r="Y175">
        <v>9.9999999999994316E-2</v>
      </c>
      <c r="Z175">
        <v>-0.59999999999999432</v>
      </c>
      <c r="AA175">
        <v>-0.40000000000000568</v>
      </c>
      <c r="AB175">
        <v>-1.3999999999999915</v>
      </c>
      <c r="AC175">
        <v>0.5</v>
      </c>
      <c r="AD175">
        <v>-1</v>
      </c>
      <c r="AE175">
        <v>-1.8000000000000114</v>
      </c>
    </row>
    <row r="176" spans="1:31" x14ac:dyDescent="0.3">
      <c r="A176" s="1">
        <v>39995</v>
      </c>
      <c r="B176">
        <v>100.5</v>
      </c>
      <c r="C176">
        <f t="shared" si="14"/>
        <v>-9.9999999999994316E-2</v>
      </c>
      <c r="D176">
        <f t="shared" si="15"/>
        <v>100.6</v>
      </c>
      <c r="E176">
        <f t="shared" si="16"/>
        <v>0.19999999999998863</v>
      </c>
      <c r="F176">
        <f t="shared" si="18"/>
        <v>0</v>
      </c>
      <c r="G176">
        <f t="shared" si="18"/>
        <v>0.60000000000000853</v>
      </c>
      <c r="H176">
        <f t="shared" si="18"/>
        <v>-1.4000000000000057</v>
      </c>
      <c r="I176">
        <f t="shared" si="17"/>
        <v>0.90000000000000568</v>
      </c>
      <c r="J176">
        <f t="shared" si="17"/>
        <v>1</v>
      </c>
      <c r="K176">
        <f t="shared" si="17"/>
        <v>9.9999999999994316E-2</v>
      </c>
      <c r="L176">
        <f t="shared" si="17"/>
        <v>-0.59999999999999432</v>
      </c>
      <c r="M176">
        <f t="shared" si="19"/>
        <v>-0.40000000000000568</v>
      </c>
      <c r="N176">
        <f t="shared" si="19"/>
        <v>-1.3999999999999915</v>
      </c>
      <c r="O176">
        <f t="shared" si="19"/>
        <v>0.5</v>
      </c>
      <c r="P176">
        <f t="shared" si="19"/>
        <v>-1</v>
      </c>
      <c r="R176">
        <v>-9.9999999999994316E-2</v>
      </c>
      <c r="S176">
        <v>100.6</v>
      </c>
      <c r="T176">
        <v>0.19999999999998863</v>
      </c>
      <c r="U176">
        <v>0</v>
      </c>
      <c r="V176">
        <v>0.60000000000000853</v>
      </c>
      <c r="W176">
        <v>-1.4000000000000057</v>
      </c>
      <c r="X176">
        <v>0.90000000000000568</v>
      </c>
      <c r="Y176">
        <v>1</v>
      </c>
      <c r="Z176">
        <v>9.9999999999994316E-2</v>
      </c>
      <c r="AA176">
        <v>-0.59999999999999432</v>
      </c>
      <c r="AB176">
        <v>-0.40000000000000568</v>
      </c>
      <c r="AC176">
        <v>-1.3999999999999915</v>
      </c>
      <c r="AD176">
        <v>0.5</v>
      </c>
      <c r="AE176">
        <v>-1</v>
      </c>
    </row>
    <row r="177" spans="1:31" x14ac:dyDescent="0.3">
      <c r="A177" s="1">
        <v>40026</v>
      </c>
      <c r="B177">
        <v>100.2</v>
      </c>
      <c r="C177">
        <f t="shared" si="14"/>
        <v>-0.29999999999999716</v>
      </c>
      <c r="D177">
        <f t="shared" si="15"/>
        <v>100.5</v>
      </c>
      <c r="E177">
        <f t="shared" si="16"/>
        <v>-9.9999999999994316E-2</v>
      </c>
      <c r="F177">
        <f t="shared" si="18"/>
        <v>0.19999999999998863</v>
      </c>
      <c r="G177">
        <f t="shared" si="18"/>
        <v>0</v>
      </c>
      <c r="H177">
        <f t="shared" si="18"/>
        <v>0.60000000000000853</v>
      </c>
      <c r="I177">
        <f t="shared" si="17"/>
        <v>-1.4000000000000057</v>
      </c>
      <c r="J177">
        <f t="shared" si="17"/>
        <v>0.90000000000000568</v>
      </c>
      <c r="K177">
        <f t="shared" si="17"/>
        <v>1</v>
      </c>
      <c r="L177">
        <f t="shared" si="17"/>
        <v>9.9999999999994316E-2</v>
      </c>
      <c r="M177">
        <f t="shared" si="19"/>
        <v>-0.59999999999999432</v>
      </c>
      <c r="N177">
        <f t="shared" si="19"/>
        <v>-0.40000000000000568</v>
      </c>
      <c r="O177">
        <f t="shared" si="19"/>
        <v>-1.3999999999999915</v>
      </c>
      <c r="P177">
        <f t="shared" si="19"/>
        <v>0.5</v>
      </c>
      <c r="R177">
        <v>-0.29999999999999716</v>
      </c>
      <c r="S177">
        <v>100.5</v>
      </c>
      <c r="T177">
        <v>-9.9999999999994316E-2</v>
      </c>
      <c r="U177">
        <v>0.19999999999998863</v>
      </c>
      <c r="V177">
        <v>0</v>
      </c>
      <c r="W177">
        <v>0.60000000000000853</v>
      </c>
      <c r="X177">
        <v>-1.4000000000000057</v>
      </c>
      <c r="Y177">
        <v>0.90000000000000568</v>
      </c>
      <c r="Z177">
        <v>1</v>
      </c>
      <c r="AA177">
        <v>9.9999999999994316E-2</v>
      </c>
      <c r="AB177">
        <v>-0.59999999999999432</v>
      </c>
      <c r="AC177">
        <v>-0.40000000000000568</v>
      </c>
      <c r="AD177">
        <v>-1.3999999999999915</v>
      </c>
      <c r="AE177">
        <v>0.5</v>
      </c>
    </row>
    <row r="178" spans="1:31" x14ac:dyDescent="0.3">
      <c r="A178" s="1">
        <v>40057</v>
      </c>
      <c r="B178">
        <v>100.6</v>
      </c>
      <c r="C178">
        <f t="shared" si="14"/>
        <v>0.39999999999999147</v>
      </c>
      <c r="D178">
        <f t="shared" si="15"/>
        <v>100.2</v>
      </c>
      <c r="E178">
        <f t="shared" si="16"/>
        <v>-0.29999999999999716</v>
      </c>
      <c r="F178">
        <f t="shared" si="18"/>
        <v>-9.9999999999994316E-2</v>
      </c>
      <c r="G178">
        <f t="shared" si="18"/>
        <v>0.19999999999998863</v>
      </c>
      <c r="H178">
        <f t="shared" si="18"/>
        <v>0</v>
      </c>
      <c r="I178">
        <f t="shared" si="17"/>
        <v>0.60000000000000853</v>
      </c>
      <c r="J178">
        <f t="shared" si="17"/>
        <v>-1.4000000000000057</v>
      </c>
      <c r="K178">
        <f t="shared" si="17"/>
        <v>0.90000000000000568</v>
      </c>
      <c r="L178">
        <f t="shared" si="17"/>
        <v>1</v>
      </c>
      <c r="M178">
        <f t="shared" si="19"/>
        <v>9.9999999999994316E-2</v>
      </c>
      <c r="N178">
        <f t="shared" si="19"/>
        <v>-0.59999999999999432</v>
      </c>
      <c r="O178">
        <f t="shared" si="19"/>
        <v>-0.40000000000000568</v>
      </c>
      <c r="P178">
        <f t="shared" si="19"/>
        <v>-1.3999999999999915</v>
      </c>
      <c r="R178">
        <v>0.39999999999999147</v>
      </c>
      <c r="S178">
        <v>100.2</v>
      </c>
      <c r="T178">
        <v>-0.29999999999999716</v>
      </c>
      <c r="U178">
        <v>-9.9999999999994316E-2</v>
      </c>
      <c r="V178">
        <v>0.19999999999998863</v>
      </c>
      <c r="W178">
        <v>0</v>
      </c>
      <c r="X178">
        <v>0.60000000000000853</v>
      </c>
      <c r="Y178">
        <v>-1.4000000000000057</v>
      </c>
      <c r="Z178">
        <v>0.90000000000000568</v>
      </c>
      <c r="AA178">
        <v>1</v>
      </c>
      <c r="AB178">
        <v>9.9999999999994316E-2</v>
      </c>
      <c r="AC178">
        <v>-0.59999999999999432</v>
      </c>
      <c r="AD178">
        <v>-0.40000000000000568</v>
      </c>
      <c r="AE178">
        <v>-1.3999999999999915</v>
      </c>
    </row>
    <row r="179" spans="1:31" x14ac:dyDescent="0.3">
      <c r="A179" s="1">
        <v>40087</v>
      </c>
      <c r="B179">
        <v>100.4</v>
      </c>
      <c r="C179">
        <f t="shared" si="14"/>
        <v>-0.19999999999998863</v>
      </c>
      <c r="D179">
        <f t="shared" si="15"/>
        <v>100.6</v>
      </c>
      <c r="E179">
        <f t="shared" si="16"/>
        <v>0.39999999999999147</v>
      </c>
      <c r="F179">
        <f t="shared" si="18"/>
        <v>-0.29999999999999716</v>
      </c>
      <c r="G179">
        <f t="shared" si="18"/>
        <v>-9.9999999999994316E-2</v>
      </c>
      <c r="H179">
        <f t="shared" si="18"/>
        <v>0.19999999999998863</v>
      </c>
      <c r="I179">
        <f t="shared" si="17"/>
        <v>0</v>
      </c>
      <c r="J179">
        <f t="shared" si="17"/>
        <v>0.60000000000000853</v>
      </c>
      <c r="K179">
        <f t="shared" si="17"/>
        <v>-1.4000000000000057</v>
      </c>
      <c r="L179">
        <f t="shared" si="17"/>
        <v>0.90000000000000568</v>
      </c>
      <c r="M179">
        <f t="shared" si="19"/>
        <v>1</v>
      </c>
      <c r="N179">
        <f t="shared" si="19"/>
        <v>9.9999999999994316E-2</v>
      </c>
      <c r="O179">
        <f t="shared" si="19"/>
        <v>-0.59999999999999432</v>
      </c>
      <c r="P179">
        <f t="shared" si="19"/>
        <v>-0.40000000000000568</v>
      </c>
      <c r="R179">
        <v>-0.19999999999998863</v>
      </c>
      <c r="S179">
        <v>100.6</v>
      </c>
      <c r="T179">
        <v>0.39999999999999147</v>
      </c>
      <c r="U179">
        <v>-0.29999999999999716</v>
      </c>
      <c r="V179">
        <v>-9.9999999999994316E-2</v>
      </c>
      <c r="W179">
        <v>0.19999999999998863</v>
      </c>
      <c r="X179">
        <v>0</v>
      </c>
      <c r="Y179">
        <v>0.60000000000000853</v>
      </c>
      <c r="Z179">
        <v>-1.4000000000000057</v>
      </c>
      <c r="AA179">
        <v>0.90000000000000568</v>
      </c>
      <c r="AB179">
        <v>1</v>
      </c>
      <c r="AC179">
        <v>9.9999999999994316E-2</v>
      </c>
      <c r="AD179">
        <v>-0.59999999999999432</v>
      </c>
      <c r="AE179">
        <v>-0.40000000000000568</v>
      </c>
    </row>
    <row r="180" spans="1:31" x14ac:dyDescent="0.3">
      <c r="A180" s="1">
        <v>40118</v>
      </c>
      <c r="B180">
        <v>100.6</v>
      </c>
      <c r="C180">
        <f t="shared" si="14"/>
        <v>0.19999999999998863</v>
      </c>
      <c r="D180">
        <f t="shared" si="15"/>
        <v>100.4</v>
      </c>
      <c r="E180">
        <f t="shared" si="16"/>
        <v>-0.19999999999998863</v>
      </c>
      <c r="F180">
        <f t="shared" si="18"/>
        <v>0.39999999999999147</v>
      </c>
      <c r="G180">
        <f t="shared" si="18"/>
        <v>-0.29999999999999716</v>
      </c>
      <c r="H180">
        <f t="shared" si="18"/>
        <v>-9.9999999999994316E-2</v>
      </c>
      <c r="I180">
        <f t="shared" si="17"/>
        <v>0.19999999999998863</v>
      </c>
      <c r="J180">
        <f t="shared" si="17"/>
        <v>0</v>
      </c>
      <c r="K180">
        <f t="shared" si="17"/>
        <v>0.60000000000000853</v>
      </c>
      <c r="L180">
        <f t="shared" si="17"/>
        <v>-1.4000000000000057</v>
      </c>
      <c r="M180">
        <f t="shared" si="19"/>
        <v>0.90000000000000568</v>
      </c>
      <c r="N180">
        <f t="shared" si="19"/>
        <v>1</v>
      </c>
      <c r="O180">
        <f t="shared" si="19"/>
        <v>9.9999999999994316E-2</v>
      </c>
      <c r="P180">
        <f t="shared" si="19"/>
        <v>-0.59999999999999432</v>
      </c>
      <c r="R180">
        <v>0.19999999999998863</v>
      </c>
      <c r="S180">
        <v>100.4</v>
      </c>
      <c r="T180">
        <v>-0.19999999999998863</v>
      </c>
      <c r="U180">
        <v>0.39999999999999147</v>
      </c>
      <c r="V180">
        <v>-0.29999999999999716</v>
      </c>
      <c r="W180">
        <v>-9.9999999999994316E-2</v>
      </c>
      <c r="X180">
        <v>0.19999999999998863</v>
      </c>
      <c r="Y180">
        <v>0</v>
      </c>
      <c r="Z180">
        <v>0.60000000000000853</v>
      </c>
      <c r="AA180">
        <v>-1.4000000000000057</v>
      </c>
      <c r="AB180">
        <v>0.90000000000000568</v>
      </c>
      <c r="AC180">
        <v>1</v>
      </c>
      <c r="AD180">
        <v>9.9999999999994316E-2</v>
      </c>
      <c r="AE180">
        <v>-0.59999999999999432</v>
      </c>
    </row>
    <row r="181" spans="1:31" x14ac:dyDescent="0.3">
      <c r="A181" s="1">
        <v>40148</v>
      </c>
      <c r="B181">
        <v>101.4</v>
      </c>
      <c r="C181">
        <f t="shared" si="14"/>
        <v>0.80000000000001137</v>
      </c>
      <c r="D181">
        <f t="shared" si="15"/>
        <v>100.6</v>
      </c>
      <c r="E181">
        <f t="shared" si="16"/>
        <v>0.19999999999998863</v>
      </c>
      <c r="F181">
        <f t="shared" si="18"/>
        <v>-0.19999999999998863</v>
      </c>
      <c r="G181">
        <f t="shared" si="18"/>
        <v>0.39999999999999147</v>
      </c>
      <c r="H181">
        <f t="shared" si="18"/>
        <v>-0.29999999999999716</v>
      </c>
      <c r="I181">
        <f t="shared" si="17"/>
        <v>-9.9999999999994316E-2</v>
      </c>
      <c r="J181">
        <f t="shared" si="17"/>
        <v>0.19999999999998863</v>
      </c>
      <c r="K181">
        <f t="shared" si="17"/>
        <v>0</v>
      </c>
      <c r="L181">
        <f t="shared" si="17"/>
        <v>0.60000000000000853</v>
      </c>
      <c r="M181">
        <f t="shared" si="19"/>
        <v>-1.4000000000000057</v>
      </c>
      <c r="N181">
        <f t="shared" si="19"/>
        <v>0.90000000000000568</v>
      </c>
      <c r="O181">
        <f t="shared" si="19"/>
        <v>1</v>
      </c>
      <c r="P181">
        <f t="shared" si="19"/>
        <v>9.9999999999994316E-2</v>
      </c>
      <c r="R181">
        <v>0.80000000000001137</v>
      </c>
      <c r="S181">
        <v>100.6</v>
      </c>
      <c r="T181">
        <v>0.19999999999998863</v>
      </c>
      <c r="U181">
        <v>-0.19999999999998863</v>
      </c>
      <c r="V181">
        <v>0.39999999999999147</v>
      </c>
      <c r="W181">
        <v>-0.29999999999999716</v>
      </c>
      <c r="X181">
        <v>-9.9999999999994316E-2</v>
      </c>
      <c r="Y181">
        <v>0.19999999999998863</v>
      </c>
      <c r="Z181">
        <v>0</v>
      </c>
      <c r="AA181">
        <v>0.60000000000000853</v>
      </c>
      <c r="AB181">
        <v>-1.4000000000000057</v>
      </c>
      <c r="AC181">
        <v>0.90000000000000568</v>
      </c>
      <c r="AD181">
        <v>1</v>
      </c>
      <c r="AE181">
        <v>9.9999999999994316E-2</v>
      </c>
    </row>
    <row r="182" spans="1:31" x14ac:dyDescent="0.3">
      <c r="A182" s="1">
        <v>40179</v>
      </c>
      <c r="B182">
        <v>101.4</v>
      </c>
      <c r="C182">
        <f t="shared" si="14"/>
        <v>0</v>
      </c>
      <c r="D182">
        <f t="shared" si="15"/>
        <v>101.4</v>
      </c>
      <c r="E182">
        <f t="shared" si="16"/>
        <v>0.80000000000001137</v>
      </c>
      <c r="F182">
        <f t="shared" si="18"/>
        <v>0.19999999999998863</v>
      </c>
      <c r="G182">
        <f t="shared" si="18"/>
        <v>-0.19999999999998863</v>
      </c>
      <c r="H182">
        <f t="shared" si="18"/>
        <v>0.39999999999999147</v>
      </c>
      <c r="I182">
        <f t="shared" si="17"/>
        <v>-0.29999999999999716</v>
      </c>
      <c r="J182">
        <f t="shared" si="17"/>
        <v>-9.9999999999994316E-2</v>
      </c>
      <c r="K182">
        <f t="shared" si="17"/>
        <v>0.19999999999998863</v>
      </c>
      <c r="L182">
        <f t="shared" si="17"/>
        <v>0</v>
      </c>
      <c r="M182">
        <f t="shared" si="19"/>
        <v>0.60000000000000853</v>
      </c>
      <c r="N182">
        <f t="shared" si="19"/>
        <v>-1.4000000000000057</v>
      </c>
      <c r="O182">
        <f t="shared" si="19"/>
        <v>0.90000000000000568</v>
      </c>
      <c r="P182">
        <f t="shared" si="19"/>
        <v>1</v>
      </c>
      <c r="R182">
        <v>0</v>
      </c>
      <c r="S182">
        <v>101.4</v>
      </c>
      <c r="T182">
        <v>0.80000000000001137</v>
      </c>
      <c r="U182">
        <v>0.19999999999998863</v>
      </c>
      <c r="V182">
        <v>-0.19999999999998863</v>
      </c>
      <c r="W182">
        <v>0.39999999999999147</v>
      </c>
      <c r="X182">
        <v>-0.29999999999999716</v>
      </c>
      <c r="Y182">
        <v>-9.9999999999994316E-2</v>
      </c>
      <c r="Z182">
        <v>0.19999999999998863</v>
      </c>
      <c r="AA182">
        <v>0</v>
      </c>
      <c r="AB182">
        <v>0.60000000000000853</v>
      </c>
      <c r="AC182">
        <v>-1.4000000000000057</v>
      </c>
      <c r="AD182">
        <v>0.90000000000000568</v>
      </c>
      <c r="AE182">
        <v>1</v>
      </c>
    </row>
    <row r="183" spans="1:31" x14ac:dyDescent="0.3">
      <c r="A183" s="1">
        <v>40210</v>
      </c>
      <c r="B183">
        <v>102</v>
      </c>
      <c r="C183">
        <f t="shared" si="14"/>
        <v>0.59999999999999432</v>
      </c>
      <c r="D183">
        <f t="shared" si="15"/>
        <v>101.4</v>
      </c>
      <c r="E183">
        <f t="shared" si="16"/>
        <v>0</v>
      </c>
      <c r="F183">
        <f t="shared" si="18"/>
        <v>0.80000000000001137</v>
      </c>
      <c r="G183">
        <f t="shared" si="18"/>
        <v>0.19999999999998863</v>
      </c>
      <c r="H183">
        <f t="shared" si="18"/>
        <v>-0.19999999999998863</v>
      </c>
      <c r="I183">
        <f t="shared" si="17"/>
        <v>0.39999999999999147</v>
      </c>
      <c r="J183">
        <f t="shared" si="17"/>
        <v>-0.29999999999999716</v>
      </c>
      <c r="K183">
        <f t="shared" si="17"/>
        <v>-9.9999999999994316E-2</v>
      </c>
      <c r="L183">
        <f t="shared" si="17"/>
        <v>0.19999999999998863</v>
      </c>
      <c r="M183">
        <f t="shared" si="19"/>
        <v>0</v>
      </c>
      <c r="N183">
        <f t="shared" si="19"/>
        <v>0.60000000000000853</v>
      </c>
      <c r="O183">
        <f t="shared" si="19"/>
        <v>-1.4000000000000057</v>
      </c>
      <c r="P183">
        <f t="shared" si="19"/>
        <v>0.90000000000000568</v>
      </c>
      <c r="R183">
        <v>0.59999999999999432</v>
      </c>
      <c r="S183">
        <v>101.4</v>
      </c>
      <c r="T183">
        <v>0</v>
      </c>
      <c r="U183">
        <v>0.80000000000001137</v>
      </c>
      <c r="V183">
        <v>0.19999999999998863</v>
      </c>
      <c r="W183">
        <v>-0.19999999999998863</v>
      </c>
      <c r="X183">
        <v>0.39999999999999147</v>
      </c>
      <c r="Y183">
        <v>-0.29999999999999716</v>
      </c>
      <c r="Z183">
        <v>-9.9999999999994316E-2</v>
      </c>
      <c r="AA183">
        <v>0.19999999999998863</v>
      </c>
      <c r="AB183">
        <v>0</v>
      </c>
      <c r="AC183">
        <v>0.60000000000000853</v>
      </c>
      <c r="AD183">
        <v>-1.4000000000000057</v>
      </c>
      <c r="AE183">
        <v>0.90000000000000568</v>
      </c>
    </row>
    <row r="184" spans="1:31" x14ac:dyDescent="0.3">
      <c r="A184" s="1">
        <v>40238</v>
      </c>
      <c r="B184">
        <v>100.8</v>
      </c>
      <c r="C184">
        <f t="shared" si="14"/>
        <v>-1.2000000000000028</v>
      </c>
      <c r="D184">
        <f t="shared" si="15"/>
        <v>102</v>
      </c>
      <c r="E184">
        <f t="shared" si="16"/>
        <v>0.59999999999999432</v>
      </c>
      <c r="F184">
        <f t="shared" si="18"/>
        <v>0</v>
      </c>
      <c r="G184">
        <f t="shared" si="18"/>
        <v>0.80000000000001137</v>
      </c>
      <c r="H184">
        <f t="shared" si="18"/>
        <v>0.19999999999998863</v>
      </c>
      <c r="I184">
        <f t="shared" si="17"/>
        <v>-0.19999999999998863</v>
      </c>
      <c r="J184">
        <f t="shared" si="17"/>
        <v>0.39999999999999147</v>
      </c>
      <c r="K184">
        <f t="shared" si="17"/>
        <v>-0.29999999999999716</v>
      </c>
      <c r="L184">
        <f t="shared" si="17"/>
        <v>-9.9999999999994316E-2</v>
      </c>
      <c r="M184">
        <f t="shared" si="19"/>
        <v>0.19999999999998863</v>
      </c>
      <c r="N184">
        <f t="shared" si="19"/>
        <v>0</v>
      </c>
      <c r="O184">
        <f t="shared" si="19"/>
        <v>0.60000000000000853</v>
      </c>
      <c r="P184">
        <f t="shared" si="19"/>
        <v>-1.4000000000000057</v>
      </c>
      <c r="R184">
        <v>-1.2000000000000028</v>
      </c>
      <c r="S184">
        <v>102</v>
      </c>
      <c r="T184">
        <v>0.59999999999999432</v>
      </c>
      <c r="U184">
        <v>0</v>
      </c>
      <c r="V184">
        <v>0.80000000000001137</v>
      </c>
      <c r="W184">
        <v>0.19999999999998863</v>
      </c>
      <c r="X184">
        <v>-0.19999999999998863</v>
      </c>
      <c r="Y184">
        <v>0.39999999999999147</v>
      </c>
      <c r="Z184">
        <v>-0.29999999999999716</v>
      </c>
      <c r="AA184">
        <v>-9.9999999999994316E-2</v>
      </c>
      <c r="AB184">
        <v>0.19999999999998863</v>
      </c>
      <c r="AC184">
        <v>0</v>
      </c>
      <c r="AD184">
        <v>0.60000000000000853</v>
      </c>
      <c r="AE184">
        <v>-1.4000000000000057</v>
      </c>
    </row>
    <row r="185" spans="1:31" x14ac:dyDescent="0.3">
      <c r="A185" s="1">
        <v>40269</v>
      </c>
      <c r="B185">
        <v>100.1</v>
      </c>
      <c r="C185">
        <f t="shared" si="14"/>
        <v>-0.70000000000000284</v>
      </c>
      <c r="D185">
        <f t="shared" si="15"/>
        <v>100.8</v>
      </c>
      <c r="E185">
        <f t="shared" si="16"/>
        <v>-1.2000000000000028</v>
      </c>
      <c r="F185">
        <f t="shared" si="18"/>
        <v>0.59999999999999432</v>
      </c>
      <c r="G185">
        <f t="shared" si="18"/>
        <v>0</v>
      </c>
      <c r="H185">
        <f t="shared" si="18"/>
        <v>0.80000000000001137</v>
      </c>
      <c r="I185">
        <f t="shared" si="17"/>
        <v>0.19999999999998863</v>
      </c>
      <c r="J185">
        <f t="shared" si="17"/>
        <v>-0.19999999999998863</v>
      </c>
      <c r="K185">
        <f t="shared" si="17"/>
        <v>0.39999999999999147</v>
      </c>
      <c r="L185">
        <f t="shared" si="17"/>
        <v>-0.29999999999999716</v>
      </c>
      <c r="M185">
        <f t="shared" si="19"/>
        <v>-9.9999999999994316E-2</v>
      </c>
      <c r="N185">
        <f t="shared" si="19"/>
        <v>0.19999999999998863</v>
      </c>
      <c r="O185">
        <f t="shared" si="19"/>
        <v>0</v>
      </c>
      <c r="P185">
        <f t="shared" si="19"/>
        <v>0.60000000000000853</v>
      </c>
      <c r="R185">
        <v>-0.70000000000000284</v>
      </c>
      <c r="S185">
        <v>100.8</v>
      </c>
      <c r="T185">
        <v>-1.2000000000000028</v>
      </c>
      <c r="U185">
        <v>0.59999999999999432</v>
      </c>
      <c r="V185">
        <v>0</v>
      </c>
      <c r="W185">
        <v>0.80000000000001137</v>
      </c>
      <c r="X185">
        <v>0.19999999999998863</v>
      </c>
      <c r="Y185">
        <v>-0.19999999999998863</v>
      </c>
      <c r="Z185">
        <v>0.39999999999999147</v>
      </c>
      <c r="AA185">
        <v>-0.29999999999999716</v>
      </c>
      <c r="AB185">
        <v>-9.9999999999994316E-2</v>
      </c>
      <c r="AC185">
        <v>0.19999999999998863</v>
      </c>
      <c r="AD185">
        <v>0</v>
      </c>
      <c r="AE185">
        <v>0.60000000000000853</v>
      </c>
    </row>
    <row r="186" spans="1:31" x14ac:dyDescent="0.3">
      <c r="A186" s="1">
        <v>40299</v>
      </c>
      <c r="B186">
        <v>100.3</v>
      </c>
      <c r="C186">
        <f t="shared" si="14"/>
        <v>0.20000000000000284</v>
      </c>
      <c r="D186">
        <f t="shared" si="15"/>
        <v>100.1</v>
      </c>
      <c r="E186">
        <f t="shared" si="16"/>
        <v>-0.70000000000000284</v>
      </c>
      <c r="F186">
        <f t="shared" si="18"/>
        <v>-1.2000000000000028</v>
      </c>
      <c r="G186">
        <f t="shared" si="18"/>
        <v>0.59999999999999432</v>
      </c>
      <c r="H186">
        <f t="shared" si="18"/>
        <v>0</v>
      </c>
      <c r="I186">
        <f t="shared" si="17"/>
        <v>0.80000000000001137</v>
      </c>
      <c r="J186">
        <f t="shared" si="17"/>
        <v>0.19999999999998863</v>
      </c>
      <c r="K186">
        <f t="shared" si="17"/>
        <v>-0.19999999999998863</v>
      </c>
      <c r="L186">
        <f t="shared" si="17"/>
        <v>0.39999999999999147</v>
      </c>
      <c r="M186">
        <f t="shared" si="19"/>
        <v>-0.29999999999999716</v>
      </c>
      <c r="N186">
        <f t="shared" si="19"/>
        <v>-9.9999999999994316E-2</v>
      </c>
      <c r="O186">
        <f t="shared" si="19"/>
        <v>0.19999999999998863</v>
      </c>
      <c r="P186">
        <f t="shared" si="19"/>
        <v>0</v>
      </c>
      <c r="R186">
        <v>0.20000000000000284</v>
      </c>
      <c r="S186">
        <v>100.1</v>
      </c>
      <c r="T186">
        <v>-0.70000000000000284</v>
      </c>
      <c r="U186">
        <v>-1.2000000000000028</v>
      </c>
      <c r="V186">
        <v>0.59999999999999432</v>
      </c>
      <c r="W186">
        <v>0</v>
      </c>
      <c r="X186">
        <v>0.80000000000001137</v>
      </c>
      <c r="Y186">
        <v>0.19999999999998863</v>
      </c>
      <c r="Z186">
        <v>-0.19999999999998863</v>
      </c>
      <c r="AA186">
        <v>0.39999999999999147</v>
      </c>
      <c r="AB186">
        <v>-0.29999999999999716</v>
      </c>
      <c r="AC186">
        <v>-9.9999999999994316E-2</v>
      </c>
      <c r="AD186">
        <v>0.19999999999998863</v>
      </c>
      <c r="AE186">
        <v>0</v>
      </c>
    </row>
    <row r="187" spans="1:31" x14ac:dyDescent="0.3">
      <c r="A187" s="1">
        <v>40330</v>
      </c>
      <c r="B187">
        <v>100.2</v>
      </c>
      <c r="C187">
        <f t="shared" si="14"/>
        <v>-9.9999999999994316E-2</v>
      </c>
      <c r="D187">
        <f t="shared" si="15"/>
        <v>100.3</v>
      </c>
      <c r="E187">
        <f t="shared" si="16"/>
        <v>0.20000000000000284</v>
      </c>
      <c r="F187">
        <f t="shared" si="18"/>
        <v>-0.70000000000000284</v>
      </c>
      <c r="G187">
        <f t="shared" si="18"/>
        <v>-1.2000000000000028</v>
      </c>
      <c r="H187">
        <f t="shared" si="18"/>
        <v>0.59999999999999432</v>
      </c>
      <c r="I187">
        <f t="shared" si="17"/>
        <v>0</v>
      </c>
      <c r="J187">
        <f t="shared" si="17"/>
        <v>0.80000000000001137</v>
      </c>
      <c r="K187">
        <f t="shared" si="17"/>
        <v>0.19999999999998863</v>
      </c>
      <c r="L187">
        <f t="shared" si="17"/>
        <v>-0.19999999999998863</v>
      </c>
      <c r="M187">
        <f t="shared" si="19"/>
        <v>0.39999999999999147</v>
      </c>
      <c r="N187">
        <f t="shared" si="19"/>
        <v>-0.29999999999999716</v>
      </c>
      <c r="O187">
        <f t="shared" si="19"/>
        <v>-9.9999999999994316E-2</v>
      </c>
      <c r="P187">
        <f t="shared" si="19"/>
        <v>0.19999999999998863</v>
      </c>
      <c r="R187">
        <v>-9.9999999999994316E-2</v>
      </c>
      <c r="S187">
        <v>100.3</v>
      </c>
      <c r="T187">
        <v>0.20000000000000284</v>
      </c>
      <c r="U187">
        <v>-0.70000000000000284</v>
      </c>
      <c r="V187">
        <v>-1.2000000000000028</v>
      </c>
      <c r="W187">
        <v>0.59999999999999432</v>
      </c>
      <c r="X187">
        <v>0</v>
      </c>
      <c r="Y187">
        <v>0.80000000000001137</v>
      </c>
      <c r="Z187">
        <v>0.19999999999998863</v>
      </c>
      <c r="AA187">
        <v>-0.19999999999998863</v>
      </c>
      <c r="AB187">
        <v>0.39999999999999147</v>
      </c>
      <c r="AC187">
        <v>-0.29999999999999716</v>
      </c>
      <c r="AD187">
        <v>-9.9999999999994316E-2</v>
      </c>
      <c r="AE187">
        <v>0.19999999999998863</v>
      </c>
    </row>
    <row r="188" spans="1:31" x14ac:dyDescent="0.3">
      <c r="A188" s="1">
        <v>40360</v>
      </c>
      <c r="B188">
        <v>100.1</v>
      </c>
      <c r="C188">
        <f t="shared" si="14"/>
        <v>-0.10000000000000853</v>
      </c>
      <c r="D188">
        <f t="shared" si="15"/>
        <v>100.2</v>
      </c>
      <c r="E188">
        <f t="shared" si="16"/>
        <v>-9.9999999999994316E-2</v>
      </c>
      <c r="F188">
        <f t="shared" si="18"/>
        <v>0.20000000000000284</v>
      </c>
      <c r="G188">
        <f t="shared" si="18"/>
        <v>-0.70000000000000284</v>
      </c>
      <c r="H188">
        <f t="shared" si="18"/>
        <v>-1.2000000000000028</v>
      </c>
      <c r="I188">
        <f t="shared" si="17"/>
        <v>0.59999999999999432</v>
      </c>
      <c r="J188">
        <f t="shared" si="17"/>
        <v>0</v>
      </c>
      <c r="K188">
        <f t="shared" si="17"/>
        <v>0.80000000000001137</v>
      </c>
      <c r="L188">
        <f t="shared" si="17"/>
        <v>0.19999999999998863</v>
      </c>
      <c r="M188">
        <f t="shared" si="19"/>
        <v>-0.19999999999998863</v>
      </c>
      <c r="N188">
        <f t="shared" si="19"/>
        <v>0.39999999999999147</v>
      </c>
      <c r="O188">
        <f t="shared" si="19"/>
        <v>-0.29999999999999716</v>
      </c>
      <c r="P188">
        <f t="shared" si="19"/>
        <v>-9.9999999999994316E-2</v>
      </c>
      <c r="R188">
        <v>-0.10000000000000853</v>
      </c>
      <c r="S188">
        <v>100.2</v>
      </c>
      <c r="T188">
        <v>-9.9999999999994316E-2</v>
      </c>
      <c r="U188">
        <v>0.20000000000000284</v>
      </c>
      <c r="V188">
        <v>-0.70000000000000284</v>
      </c>
      <c r="W188">
        <v>-1.2000000000000028</v>
      </c>
      <c r="X188">
        <v>0.59999999999999432</v>
      </c>
      <c r="Y188">
        <v>0</v>
      </c>
      <c r="Z188">
        <v>0.80000000000001137</v>
      </c>
      <c r="AA188">
        <v>0.19999999999998863</v>
      </c>
      <c r="AB188">
        <v>-0.19999999999998863</v>
      </c>
      <c r="AC188">
        <v>0.39999999999999147</v>
      </c>
      <c r="AD188">
        <v>-0.29999999999999716</v>
      </c>
      <c r="AE188">
        <v>-9.9999999999994316E-2</v>
      </c>
    </row>
    <row r="189" spans="1:31" x14ac:dyDescent="0.3">
      <c r="A189" s="1">
        <v>40391</v>
      </c>
      <c r="B189">
        <v>100.2</v>
      </c>
      <c r="C189">
        <f t="shared" si="14"/>
        <v>0.10000000000000853</v>
      </c>
      <c r="D189">
        <f t="shared" si="15"/>
        <v>100.1</v>
      </c>
      <c r="E189">
        <f t="shared" si="16"/>
        <v>-0.10000000000000853</v>
      </c>
      <c r="F189">
        <f t="shared" si="18"/>
        <v>-9.9999999999994316E-2</v>
      </c>
      <c r="G189">
        <f t="shared" si="18"/>
        <v>0.20000000000000284</v>
      </c>
      <c r="H189">
        <f t="shared" si="18"/>
        <v>-0.70000000000000284</v>
      </c>
      <c r="I189">
        <f t="shared" si="17"/>
        <v>-1.2000000000000028</v>
      </c>
      <c r="J189">
        <f t="shared" si="17"/>
        <v>0.59999999999999432</v>
      </c>
      <c r="K189">
        <f t="shared" si="17"/>
        <v>0</v>
      </c>
      <c r="L189">
        <f t="shared" si="17"/>
        <v>0.80000000000001137</v>
      </c>
      <c r="M189">
        <f t="shared" si="19"/>
        <v>0.19999999999998863</v>
      </c>
      <c r="N189">
        <f t="shared" si="19"/>
        <v>-0.19999999999998863</v>
      </c>
      <c r="O189">
        <f t="shared" si="19"/>
        <v>0.39999999999999147</v>
      </c>
      <c r="P189">
        <f t="shared" si="19"/>
        <v>-0.29999999999999716</v>
      </c>
      <c r="R189">
        <v>0.10000000000000853</v>
      </c>
      <c r="S189">
        <v>100.1</v>
      </c>
      <c r="T189">
        <v>-0.10000000000000853</v>
      </c>
      <c r="U189">
        <v>-9.9999999999994316E-2</v>
      </c>
      <c r="V189">
        <v>0.20000000000000284</v>
      </c>
      <c r="W189">
        <v>-0.70000000000000284</v>
      </c>
      <c r="X189">
        <v>-1.2000000000000028</v>
      </c>
      <c r="Y189">
        <v>0.59999999999999432</v>
      </c>
      <c r="Z189">
        <v>0</v>
      </c>
      <c r="AA189">
        <v>0.80000000000001137</v>
      </c>
      <c r="AB189">
        <v>0.19999999999998863</v>
      </c>
      <c r="AC189">
        <v>-0.19999999999998863</v>
      </c>
      <c r="AD189">
        <v>0.39999999999999147</v>
      </c>
      <c r="AE189">
        <v>-0.29999999999999716</v>
      </c>
    </row>
    <row r="190" spans="1:31" x14ac:dyDescent="0.3">
      <c r="A190" s="1">
        <v>40422</v>
      </c>
      <c r="B190">
        <v>101.3</v>
      </c>
      <c r="C190">
        <f t="shared" si="14"/>
        <v>1.0999999999999943</v>
      </c>
      <c r="D190">
        <f t="shared" si="15"/>
        <v>100.2</v>
      </c>
      <c r="E190">
        <f t="shared" si="16"/>
        <v>0.10000000000000853</v>
      </c>
      <c r="F190">
        <f t="shared" si="18"/>
        <v>-0.10000000000000853</v>
      </c>
      <c r="G190">
        <f t="shared" si="18"/>
        <v>-9.9999999999994316E-2</v>
      </c>
      <c r="H190">
        <f t="shared" si="18"/>
        <v>0.20000000000000284</v>
      </c>
      <c r="I190">
        <f t="shared" si="17"/>
        <v>-0.70000000000000284</v>
      </c>
      <c r="J190">
        <f t="shared" si="17"/>
        <v>-1.2000000000000028</v>
      </c>
      <c r="K190">
        <f t="shared" si="17"/>
        <v>0.59999999999999432</v>
      </c>
      <c r="L190">
        <f t="shared" si="17"/>
        <v>0</v>
      </c>
      <c r="M190">
        <f t="shared" si="19"/>
        <v>0.80000000000001137</v>
      </c>
      <c r="N190">
        <f t="shared" si="19"/>
        <v>0.19999999999998863</v>
      </c>
      <c r="O190">
        <f t="shared" si="19"/>
        <v>-0.19999999999998863</v>
      </c>
      <c r="P190">
        <f t="shared" si="19"/>
        <v>0.39999999999999147</v>
      </c>
      <c r="R190">
        <v>1.0999999999999943</v>
      </c>
      <c r="S190">
        <v>100.2</v>
      </c>
      <c r="T190">
        <v>0.10000000000000853</v>
      </c>
      <c r="U190">
        <v>-0.10000000000000853</v>
      </c>
      <c r="V190">
        <v>-9.9999999999994316E-2</v>
      </c>
      <c r="W190">
        <v>0.20000000000000284</v>
      </c>
      <c r="X190">
        <v>-0.70000000000000284</v>
      </c>
      <c r="Y190">
        <v>-1.2000000000000028</v>
      </c>
      <c r="Z190">
        <v>0.59999999999999432</v>
      </c>
      <c r="AA190">
        <v>0</v>
      </c>
      <c r="AB190">
        <v>0.80000000000001137</v>
      </c>
      <c r="AC190">
        <v>0.19999999999998863</v>
      </c>
      <c r="AD190">
        <v>-0.19999999999998863</v>
      </c>
      <c r="AE190">
        <v>0.39999999999999147</v>
      </c>
    </row>
    <row r="191" spans="1:31" x14ac:dyDescent="0.3">
      <c r="A191" s="1">
        <v>40452</v>
      </c>
      <c r="B191">
        <v>101.1</v>
      </c>
      <c r="C191">
        <f t="shared" si="14"/>
        <v>-0.20000000000000284</v>
      </c>
      <c r="D191">
        <f t="shared" si="15"/>
        <v>101.3</v>
      </c>
      <c r="E191">
        <f t="shared" si="16"/>
        <v>1.0999999999999943</v>
      </c>
      <c r="F191">
        <f t="shared" si="18"/>
        <v>0.10000000000000853</v>
      </c>
      <c r="G191">
        <f t="shared" si="18"/>
        <v>-0.10000000000000853</v>
      </c>
      <c r="H191">
        <f t="shared" si="18"/>
        <v>-9.9999999999994316E-2</v>
      </c>
      <c r="I191">
        <f t="shared" si="17"/>
        <v>0.20000000000000284</v>
      </c>
      <c r="J191">
        <f t="shared" si="17"/>
        <v>-0.70000000000000284</v>
      </c>
      <c r="K191">
        <f t="shared" si="17"/>
        <v>-1.2000000000000028</v>
      </c>
      <c r="L191">
        <f t="shared" si="17"/>
        <v>0.59999999999999432</v>
      </c>
      <c r="M191">
        <f t="shared" si="19"/>
        <v>0</v>
      </c>
      <c r="N191">
        <f t="shared" si="19"/>
        <v>0.80000000000001137</v>
      </c>
      <c r="O191">
        <f t="shared" si="19"/>
        <v>0.19999999999998863</v>
      </c>
      <c r="P191">
        <f t="shared" si="19"/>
        <v>-0.19999999999998863</v>
      </c>
      <c r="R191">
        <v>-0.20000000000000284</v>
      </c>
      <c r="S191">
        <v>101.3</v>
      </c>
      <c r="T191">
        <v>1.0999999999999943</v>
      </c>
      <c r="U191">
        <v>0.10000000000000853</v>
      </c>
      <c r="V191">
        <v>-0.10000000000000853</v>
      </c>
      <c r="W191">
        <v>-9.9999999999994316E-2</v>
      </c>
      <c r="X191">
        <v>0.20000000000000284</v>
      </c>
      <c r="Y191">
        <v>-0.70000000000000284</v>
      </c>
      <c r="Z191">
        <v>-1.2000000000000028</v>
      </c>
      <c r="AA191">
        <v>0.59999999999999432</v>
      </c>
      <c r="AB191">
        <v>0</v>
      </c>
      <c r="AC191">
        <v>0.80000000000001137</v>
      </c>
      <c r="AD191">
        <v>0.19999999999998863</v>
      </c>
      <c r="AE191">
        <v>-0.19999999999998863</v>
      </c>
    </row>
    <row r="192" spans="1:31" x14ac:dyDescent="0.3">
      <c r="A192" s="1">
        <v>40483</v>
      </c>
      <c r="B192">
        <v>101.9</v>
      </c>
      <c r="C192">
        <f t="shared" si="14"/>
        <v>0.80000000000001137</v>
      </c>
      <c r="D192">
        <f t="shared" si="15"/>
        <v>101.1</v>
      </c>
      <c r="E192">
        <f t="shared" si="16"/>
        <v>-0.20000000000000284</v>
      </c>
      <c r="F192">
        <f t="shared" si="18"/>
        <v>1.0999999999999943</v>
      </c>
      <c r="G192">
        <f t="shared" si="18"/>
        <v>0.10000000000000853</v>
      </c>
      <c r="H192">
        <f t="shared" si="18"/>
        <v>-0.10000000000000853</v>
      </c>
      <c r="I192">
        <f t="shared" si="17"/>
        <v>-9.9999999999994316E-2</v>
      </c>
      <c r="J192">
        <f t="shared" si="17"/>
        <v>0.20000000000000284</v>
      </c>
      <c r="K192">
        <f t="shared" si="17"/>
        <v>-0.70000000000000284</v>
      </c>
      <c r="L192">
        <f t="shared" si="17"/>
        <v>-1.2000000000000028</v>
      </c>
      <c r="M192">
        <f t="shared" si="19"/>
        <v>0.59999999999999432</v>
      </c>
      <c r="N192">
        <f t="shared" si="19"/>
        <v>0</v>
      </c>
      <c r="O192">
        <f t="shared" si="19"/>
        <v>0.80000000000001137</v>
      </c>
      <c r="P192">
        <f t="shared" si="19"/>
        <v>0.19999999999998863</v>
      </c>
      <c r="R192">
        <v>0.80000000000001137</v>
      </c>
      <c r="S192">
        <v>101.1</v>
      </c>
      <c r="T192">
        <v>-0.20000000000000284</v>
      </c>
      <c r="U192">
        <v>1.0999999999999943</v>
      </c>
      <c r="V192">
        <v>0.10000000000000853</v>
      </c>
      <c r="W192">
        <v>-0.10000000000000853</v>
      </c>
      <c r="X192">
        <v>-9.9999999999994316E-2</v>
      </c>
      <c r="Y192">
        <v>0.20000000000000284</v>
      </c>
      <c r="Z192">
        <v>-0.70000000000000284</v>
      </c>
      <c r="AA192">
        <v>-1.2000000000000028</v>
      </c>
      <c r="AB192">
        <v>0.59999999999999432</v>
      </c>
      <c r="AC192">
        <v>0</v>
      </c>
      <c r="AD192">
        <v>0.80000000000001137</v>
      </c>
      <c r="AE192">
        <v>0.19999999999998863</v>
      </c>
    </row>
    <row r="193" spans="1:31" x14ac:dyDescent="0.3">
      <c r="A193" s="1">
        <v>40513</v>
      </c>
      <c r="B193">
        <v>102</v>
      </c>
      <c r="C193">
        <f t="shared" si="14"/>
        <v>9.9999999999994316E-2</v>
      </c>
      <c r="D193">
        <f t="shared" si="15"/>
        <v>101.9</v>
      </c>
      <c r="E193">
        <f t="shared" si="16"/>
        <v>0.80000000000001137</v>
      </c>
      <c r="F193">
        <f t="shared" si="18"/>
        <v>-0.20000000000000284</v>
      </c>
      <c r="G193">
        <f t="shared" si="18"/>
        <v>1.0999999999999943</v>
      </c>
      <c r="H193">
        <f t="shared" si="18"/>
        <v>0.10000000000000853</v>
      </c>
      <c r="I193">
        <f t="shared" si="17"/>
        <v>-0.10000000000000853</v>
      </c>
      <c r="J193">
        <f t="shared" si="17"/>
        <v>-9.9999999999994316E-2</v>
      </c>
      <c r="K193">
        <f t="shared" si="17"/>
        <v>0.20000000000000284</v>
      </c>
      <c r="L193">
        <f t="shared" si="17"/>
        <v>-0.70000000000000284</v>
      </c>
      <c r="M193">
        <f t="shared" si="19"/>
        <v>-1.2000000000000028</v>
      </c>
      <c r="N193">
        <f t="shared" si="19"/>
        <v>0.59999999999999432</v>
      </c>
      <c r="O193">
        <f t="shared" si="19"/>
        <v>0</v>
      </c>
      <c r="P193">
        <f t="shared" si="19"/>
        <v>0.80000000000001137</v>
      </c>
      <c r="R193">
        <v>9.9999999999994316E-2</v>
      </c>
      <c r="S193">
        <v>101.9</v>
      </c>
      <c r="T193">
        <v>0.80000000000001137</v>
      </c>
      <c r="U193">
        <v>-0.20000000000000284</v>
      </c>
      <c r="V193">
        <v>1.0999999999999943</v>
      </c>
      <c r="W193">
        <v>0.10000000000000853</v>
      </c>
      <c r="X193">
        <v>-0.10000000000000853</v>
      </c>
      <c r="Y193">
        <v>-9.9999999999994316E-2</v>
      </c>
      <c r="Z193">
        <v>0.20000000000000284</v>
      </c>
      <c r="AA193">
        <v>-0.70000000000000284</v>
      </c>
      <c r="AB193">
        <v>-1.2000000000000028</v>
      </c>
      <c r="AC193">
        <v>0.59999999999999432</v>
      </c>
      <c r="AD193">
        <v>0</v>
      </c>
      <c r="AE193">
        <v>0.80000000000001137</v>
      </c>
    </row>
    <row r="194" spans="1:31" x14ac:dyDescent="0.3">
      <c r="A194" s="1">
        <v>40544</v>
      </c>
      <c r="B194">
        <v>101.7</v>
      </c>
      <c r="C194">
        <f t="shared" si="14"/>
        <v>-0.29999999999999716</v>
      </c>
      <c r="D194">
        <f t="shared" si="15"/>
        <v>102</v>
      </c>
      <c r="E194">
        <f t="shared" si="16"/>
        <v>9.9999999999994316E-2</v>
      </c>
      <c r="F194">
        <f t="shared" si="18"/>
        <v>0.80000000000001137</v>
      </c>
      <c r="G194">
        <f t="shared" si="18"/>
        <v>-0.20000000000000284</v>
      </c>
      <c r="H194">
        <f t="shared" si="18"/>
        <v>1.0999999999999943</v>
      </c>
      <c r="I194">
        <f t="shared" si="17"/>
        <v>0.10000000000000853</v>
      </c>
      <c r="J194">
        <f t="shared" si="17"/>
        <v>-0.10000000000000853</v>
      </c>
      <c r="K194">
        <f t="shared" si="17"/>
        <v>-9.9999999999994316E-2</v>
      </c>
      <c r="L194">
        <f t="shared" si="17"/>
        <v>0.20000000000000284</v>
      </c>
      <c r="M194">
        <f t="shared" si="19"/>
        <v>-0.70000000000000284</v>
      </c>
      <c r="N194">
        <f t="shared" si="19"/>
        <v>-1.2000000000000028</v>
      </c>
      <c r="O194">
        <f t="shared" si="19"/>
        <v>0.59999999999999432</v>
      </c>
      <c r="P194">
        <f t="shared" si="19"/>
        <v>0</v>
      </c>
      <c r="R194">
        <v>-0.29999999999999716</v>
      </c>
      <c r="S194">
        <v>102</v>
      </c>
      <c r="T194">
        <v>9.9999999999994316E-2</v>
      </c>
      <c r="U194">
        <v>0.80000000000001137</v>
      </c>
      <c r="V194">
        <v>-0.20000000000000284</v>
      </c>
      <c r="W194">
        <v>1.0999999999999943</v>
      </c>
      <c r="X194">
        <v>0.10000000000000853</v>
      </c>
      <c r="Y194">
        <v>-0.10000000000000853</v>
      </c>
      <c r="Z194">
        <v>-9.9999999999994316E-2</v>
      </c>
      <c r="AA194">
        <v>0.20000000000000284</v>
      </c>
      <c r="AB194">
        <v>-0.70000000000000284</v>
      </c>
      <c r="AC194">
        <v>-1.2000000000000028</v>
      </c>
      <c r="AD194">
        <v>0.59999999999999432</v>
      </c>
      <c r="AE194">
        <v>0</v>
      </c>
    </row>
    <row r="195" spans="1:31" x14ac:dyDescent="0.3">
      <c r="A195" s="1">
        <v>40575</v>
      </c>
      <c r="B195">
        <v>102.1</v>
      </c>
      <c r="C195">
        <f t="shared" si="14"/>
        <v>0.39999999999999147</v>
      </c>
      <c r="D195">
        <f t="shared" si="15"/>
        <v>101.7</v>
      </c>
      <c r="E195">
        <f t="shared" si="16"/>
        <v>-0.29999999999999716</v>
      </c>
      <c r="F195">
        <f t="shared" si="18"/>
        <v>9.9999999999994316E-2</v>
      </c>
      <c r="G195">
        <f t="shared" si="18"/>
        <v>0.80000000000001137</v>
      </c>
      <c r="H195">
        <f t="shared" si="18"/>
        <v>-0.20000000000000284</v>
      </c>
      <c r="I195">
        <f t="shared" si="17"/>
        <v>1.0999999999999943</v>
      </c>
      <c r="J195">
        <f t="shared" si="17"/>
        <v>0.10000000000000853</v>
      </c>
      <c r="K195">
        <f t="shared" si="17"/>
        <v>-0.10000000000000853</v>
      </c>
      <c r="L195">
        <f t="shared" si="17"/>
        <v>-9.9999999999994316E-2</v>
      </c>
      <c r="M195">
        <f t="shared" si="19"/>
        <v>0.20000000000000284</v>
      </c>
      <c r="N195">
        <f t="shared" si="19"/>
        <v>-0.70000000000000284</v>
      </c>
      <c r="O195">
        <f t="shared" si="19"/>
        <v>-1.2000000000000028</v>
      </c>
      <c r="P195">
        <f t="shared" si="19"/>
        <v>0.59999999999999432</v>
      </c>
      <c r="R195">
        <v>0.39999999999999147</v>
      </c>
      <c r="S195">
        <v>101.7</v>
      </c>
      <c r="T195">
        <v>-0.29999999999999716</v>
      </c>
      <c r="U195">
        <v>9.9999999999994316E-2</v>
      </c>
      <c r="V195">
        <v>0.80000000000001137</v>
      </c>
      <c r="W195">
        <v>-0.20000000000000284</v>
      </c>
      <c r="X195">
        <v>1.0999999999999943</v>
      </c>
      <c r="Y195">
        <v>0.10000000000000853</v>
      </c>
      <c r="Z195">
        <v>-0.10000000000000853</v>
      </c>
      <c r="AA195">
        <v>-9.9999999999994316E-2</v>
      </c>
      <c r="AB195">
        <v>0.20000000000000284</v>
      </c>
      <c r="AC195">
        <v>-0.70000000000000284</v>
      </c>
      <c r="AD195">
        <v>-1.2000000000000028</v>
      </c>
      <c r="AE195">
        <v>0.59999999999999432</v>
      </c>
    </row>
    <row r="196" spans="1:31" x14ac:dyDescent="0.3">
      <c r="A196" s="1">
        <v>40603</v>
      </c>
      <c r="B196">
        <v>102.2</v>
      </c>
      <c r="C196">
        <f t="shared" ref="C196:C259" si="20">B196-B195</f>
        <v>0.10000000000000853</v>
      </c>
      <c r="D196">
        <f t="shared" ref="D196:D259" si="21">B195</f>
        <v>102.1</v>
      </c>
      <c r="E196">
        <f t="shared" si="16"/>
        <v>0.39999999999999147</v>
      </c>
      <c r="F196">
        <f t="shared" si="18"/>
        <v>-0.29999999999999716</v>
      </c>
      <c r="G196">
        <f t="shared" si="18"/>
        <v>9.9999999999994316E-2</v>
      </c>
      <c r="H196">
        <f t="shared" si="18"/>
        <v>0.80000000000001137</v>
      </c>
      <c r="I196">
        <f t="shared" si="17"/>
        <v>-0.20000000000000284</v>
      </c>
      <c r="J196">
        <f t="shared" si="17"/>
        <v>1.0999999999999943</v>
      </c>
      <c r="K196">
        <f t="shared" si="17"/>
        <v>0.10000000000000853</v>
      </c>
      <c r="L196">
        <f t="shared" si="17"/>
        <v>-0.10000000000000853</v>
      </c>
      <c r="M196">
        <f t="shared" si="19"/>
        <v>-9.9999999999994316E-2</v>
      </c>
      <c r="N196">
        <f t="shared" si="19"/>
        <v>0.20000000000000284</v>
      </c>
      <c r="O196">
        <f t="shared" si="19"/>
        <v>-0.70000000000000284</v>
      </c>
      <c r="P196">
        <f t="shared" si="19"/>
        <v>-1.2000000000000028</v>
      </c>
      <c r="R196">
        <v>0.10000000000000853</v>
      </c>
      <c r="S196">
        <v>102.1</v>
      </c>
      <c r="T196">
        <v>0.39999999999999147</v>
      </c>
      <c r="U196">
        <v>-0.29999999999999716</v>
      </c>
      <c r="V196">
        <v>9.9999999999994316E-2</v>
      </c>
      <c r="W196">
        <v>0.80000000000001137</v>
      </c>
      <c r="X196">
        <v>-0.20000000000000284</v>
      </c>
      <c r="Y196">
        <v>1.0999999999999943</v>
      </c>
      <c r="Z196">
        <v>0.10000000000000853</v>
      </c>
      <c r="AA196">
        <v>-0.10000000000000853</v>
      </c>
      <c r="AB196">
        <v>-9.9999999999994316E-2</v>
      </c>
      <c r="AC196">
        <v>0.20000000000000284</v>
      </c>
      <c r="AD196">
        <v>-0.70000000000000284</v>
      </c>
      <c r="AE196">
        <v>-1.2000000000000028</v>
      </c>
    </row>
    <row r="197" spans="1:31" x14ac:dyDescent="0.3">
      <c r="A197" s="1">
        <v>40634</v>
      </c>
      <c r="B197">
        <v>103.3</v>
      </c>
      <c r="C197">
        <f t="shared" si="20"/>
        <v>1.0999999999999943</v>
      </c>
      <c r="D197">
        <f t="shared" si="21"/>
        <v>102.2</v>
      </c>
      <c r="E197">
        <f t="shared" ref="E197:E260" si="22">C196</f>
        <v>0.10000000000000853</v>
      </c>
      <c r="F197">
        <f t="shared" si="18"/>
        <v>0.39999999999999147</v>
      </c>
      <c r="G197">
        <f t="shared" si="18"/>
        <v>-0.29999999999999716</v>
      </c>
      <c r="H197">
        <f t="shared" si="18"/>
        <v>9.9999999999994316E-2</v>
      </c>
      <c r="I197">
        <f t="shared" si="18"/>
        <v>0.80000000000001137</v>
      </c>
      <c r="J197">
        <f t="shared" si="18"/>
        <v>-0.20000000000000284</v>
      </c>
      <c r="K197">
        <f t="shared" si="18"/>
        <v>1.0999999999999943</v>
      </c>
      <c r="L197">
        <f t="shared" si="18"/>
        <v>0.10000000000000853</v>
      </c>
      <c r="M197">
        <f t="shared" si="19"/>
        <v>-0.10000000000000853</v>
      </c>
      <c r="N197">
        <f t="shared" si="19"/>
        <v>-9.9999999999994316E-2</v>
      </c>
      <c r="O197">
        <f t="shared" si="19"/>
        <v>0.20000000000000284</v>
      </c>
      <c r="P197">
        <f t="shared" si="19"/>
        <v>-0.70000000000000284</v>
      </c>
      <c r="R197">
        <v>1.0999999999999943</v>
      </c>
      <c r="S197">
        <v>102.2</v>
      </c>
      <c r="T197">
        <v>0.10000000000000853</v>
      </c>
      <c r="U197">
        <v>0.39999999999999147</v>
      </c>
      <c r="V197">
        <v>-0.29999999999999716</v>
      </c>
      <c r="W197">
        <v>9.9999999999994316E-2</v>
      </c>
      <c r="X197">
        <v>0.80000000000001137</v>
      </c>
      <c r="Y197">
        <v>-0.20000000000000284</v>
      </c>
      <c r="Z197">
        <v>1.0999999999999943</v>
      </c>
      <c r="AA197">
        <v>0.10000000000000853</v>
      </c>
      <c r="AB197">
        <v>-0.10000000000000853</v>
      </c>
      <c r="AC197">
        <v>-9.9999999999994316E-2</v>
      </c>
      <c r="AD197">
        <v>0.20000000000000284</v>
      </c>
      <c r="AE197">
        <v>-0.70000000000000284</v>
      </c>
    </row>
    <row r="198" spans="1:31" x14ac:dyDescent="0.3">
      <c r="A198" s="1">
        <v>40664</v>
      </c>
      <c r="B198">
        <v>102.2</v>
      </c>
      <c r="C198">
        <f t="shared" si="20"/>
        <v>-1.0999999999999943</v>
      </c>
      <c r="D198">
        <f t="shared" si="21"/>
        <v>103.3</v>
      </c>
      <c r="E198">
        <f t="shared" si="22"/>
        <v>1.0999999999999943</v>
      </c>
      <c r="F198">
        <f t="shared" ref="F198:I261" si="23">E197</f>
        <v>0.10000000000000853</v>
      </c>
      <c r="G198">
        <f t="shared" si="23"/>
        <v>0.39999999999999147</v>
      </c>
      <c r="H198">
        <f t="shared" si="23"/>
        <v>-0.29999999999999716</v>
      </c>
      <c r="I198">
        <f t="shared" si="23"/>
        <v>9.9999999999994316E-2</v>
      </c>
      <c r="J198">
        <f t="shared" ref="J198:N261" si="24">I197</f>
        <v>0.80000000000001137</v>
      </c>
      <c r="K198">
        <f t="shared" si="24"/>
        <v>-0.20000000000000284</v>
      </c>
      <c r="L198">
        <f t="shared" si="24"/>
        <v>1.0999999999999943</v>
      </c>
      <c r="M198">
        <f t="shared" si="19"/>
        <v>0.10000000000000853</v>
      </c>
      <c r="N198">
        <f t="shared" si="19"/>
        <v>-0.10000000000000853</v>
      </c>
      <c r="O198">
        <f t="shared" si="19"/>
        <v>-9.9999999999994316E-2</v>
      </c>
      <c r="P198">
        <f t="shared" si="19"/>
        <v>0.20000000000000284</v>
      </c>
      <c r="R198">
        <v>-1.0999999999999943</v>
      </c>
      <c r="S198">
        <v>103.3</v>
      </c>
      <c r="T198">
        <v>1.0999999999999943</v>
      </c>
      <c r="U198">
        <v>0.10000000000000853</v>
      </c>
      <c r="V198">
        <v>0.39999999999999147</v>
      </c>
      <c r="W198">
        <v>-0.29999999999999716</v>
      </c>
      <c r="X198">
        <v>9.9999999999994316E-2</v>
      </c>
      <c r="Y198">
        <v>0.80000000000001137</v>
      </c>
      <c r="Z198">
        <v>-0.20000000000000284</v>
      </c>
      <c r="AA198">
        <v>1.0999999999999943</v>
      </c>
      <c r="AB198">
        <v>0.10000000000000853</v>
      </c>
      <c r="AC198">
        <v>-0.10000000000000853</v>
      </c>
      <c r="AD198">
        <v>-9.9999999999994316E-2</v>
      </c>
      <c r="AE198">
        <v>0.20000000000000284</v>
      </c>
    </row>
    <row r="199" spans="1:31" x14ac:dyDescent="0.3">
      <c r="A199" s="1">
        <v>40695</v>
      </c>
      <c r="B199">
        <v>101.1</v>
      </c>
      <c r="C199">
        <f t="shared" si="20"/>
        <v>-1.1000000000000085</v>
      </c>
      <c r="D199">
        <f t="shared" si="21"/>
        <v>102.2</v>
      </c>
      <c r="E199">
        <f t="shared" si="22"/>
        <v>-1.0999999999999943</v>
      </c>
      <c r="F199">
        <f t="shared" si="23"/>
        <v>1.0999999999999943</v>
      </c>
      <c r="G199">
        <f t="shared" si="23"/>
        <v>0.10000000000000853</v>
      </c>
      <c r="H199">
        <f t="shared" si="23"/>
        <v>0.39999999999999147</v>
      </c>
      <c r="I199">
        <f t="shared" si="23"/>
        <v>-0.29999999999999716</v>
      </c>
      <c r="J199">
        <f t="shared" si="24"/>
        <v>9.9999999999994316E-2</v>
      </c>
      <c r="K199">
        <f t="shared" si="24"/>
        <v>0.80000000000001137</v>
      </c>
      <c r="L199">
        <f t="shared" si="24"/>
        <v>-0.20000000000000284</v>
      </c>
      <c r="M199">
        <f t="shared" si="19"/>
        <v>1.0999999999999943</v>
      </c>
      <c r="N199">
        <f t="shared" si="19"/>
        <v>0.10000000000000853</v>
      </c>
      <c r="O199">
        <f t="shared" si="19"/>
        <v>-0.10000000000000853</v>
      </c>
      <c r="P199">
        <f t="shared" si="19"/>
        <v>-9.9999999999994316E-2</v>
      </c>
      <c r="R199">
        <v>-1.1000000000000085</v>
      </c>
      <c r="S199">
        <v>102.2</v>
      </c>
      <c r="T199">
        <v>-1.0999999999999943</v>
      </c>
      <c r="U199">
        <v>1.0999999999999943</v>
      </c>
      <c r="V199">
        <v>0.10000000000000853</v>
      </c>
      <c r="W199">
        <v>0.39999999999999147</v>
      </c>
      <c r="X199">
        <v>-0.29999999999999716</v>
      </c>
      <c r="Y199">
        <v>9.9999999999994316E-2</v>
      </c>
      <c r="Z199">
        <v>0.80000000000001137</v>
      </c>
      <c r="AA199">
        <v>-0.20000000000000284</v>
      </c>
      <c r="AB199">
        <v>1.0999999999999943</v>
      </c>
      <c r="AC199">
        <v>0.10000000000000853</v>
      </c>
      <c r="AD199">
        <v>-0.10000000000000853</v>
      </c>
      <c r="AE199">
        <v>-9.9999999999994316E-2</v>
      </c>
    </row>
    <row r="200" spans="1:31" x14ac:dyDescent="0.3">
      <c r="A200" s="1">
        <v>40725</v>
      </c>
      <c r="B200">
        <v>101.2</v>
      </c>
      <c r="C200">
        <f t="shared" si="20"/>
        <v>0.10000000000000853</v>
      </c>
      <c r="D200">
        <f t="shared" si="21"/>
        <v>101.1</v>
      </c>
      <c r="E200">
        <f t="shared" si="22"/>
        <v>-1.1000000000000085</v>
      </c>
      <c r="F200">
        <f t="shared" si="23"/>
        <v>-1.0999999999999943</v>
      </c>
      <c r="G200">
        <f t="shared" si="23"/>
        <v>1.0999999999999943</v>
      </c>
      <c r="H200">
        <f t="shared" si="23"/>
        <v>0.10000000000000853</v>
      </c>
      <c r="I200">
        <f t="shared" si="23"/>
        <v>0.39999999999999147</v>
      </c>
      <c r="J200">
        <f t="shared" si="24"/>
        <v>-0.29999999999999716</v>
      </c>
      <c r="K200">
        <f t="shared" si="24"/>
        <v>9.9999999999994316E-2</v>
      </c>
      <c r="L200">
        <f t="shared" si="24"/>
        <v>0.80000000000001137</v>
      </c>
      <c r="M200">
        <f t="shared" si="19"/>
        <v>-0.20000000000000284</v>
      </c>
      <c r="N200">
        <f t="shared" si="19"/>
        <v>1.0999999999999943</v>
      </c>
      <c r="O200">
        <f t="shared" si="19"/>
        <v>0.10000000000000853</v>
      </c>
      <c r="P200">
        <f t="shared" si="19"/>
        <v>-0.10000000000000853</v>
      </c>
      <c r="R200">
        <v>0.10000000000000853</v>
      </c>
      <c r="S200">
        <v>101.1</v>
      </c>
      <c r="T200">
        <v>-1.1000000000000085</v>
      </c>
      <c r="U200">
        <v>-1.0999999999999943</v>
      </c>
      <c r="V200">
        <v>1.0999999999999943</v>
      </c>
      <c r="W200">
        <v>0.10000000000000853</v>
      </c>
      <c r="X200">
        <v>0.39999999999999147</v>
      </c>
      <c r="Y200">
        <v>-0.29999999999999716</v>
      </c>
      <c r="Z200">
        <v>9.9999999999994316E-2</v>
      </c>
      <c r="AA200">
        <v>0.80000000000001137</v>
      </c>
      <c r="AB200">
        <v>-0.20000000000000284</v>
      </c>
      <c r="AC200">
        <v>1.0999999999999943</v>
      </c>
      <c r="AD200">
        <v>0.10000000000000853</v>
      </c>
      <c r="AE200">
        <v>-0.10000000000000853</v>
      </c>
    </row>
    <row r="201" spans="1:31" x14ac:dyDescent="0.3">
      <c r="A201" s="1">
        <v>40756</v>
      </c>
      <c r="B201">
        <v>100.9</v>
      </c>
      <c r="C201">
        <f t="shared" si="20"/>
        <v>-0.29999999999999716</v>
      </c>
      <c r="D201">
        <f t="shared" si="21"/>
        <v>101.2</v>
      </c>
      <c r="E201">
        <f t="shared" si="22"/>
        <v>0.10000000000000853</v>
      </c>
      <c r="F201">
        <f t="shared" si="23"/>
        <v>-1.1000000000000085</v>
      </c>
      <c r="G201">
        <f t="shared" si="23"/>
        <v>-1.0999999999999943</v>
      </c>
      <c r="H201">
        <f t="shared" si="23"/>
        <v>1.0999999999999943</v>
      </c>
      <c r="I201">
        <f t="shared" si="23"/>
        <v>0.10000000000000853</v>
      </c>
      <c r="J201">
        <f t="shared" si="24"/>
        <v>0.39999999999999147</v>
      </c>
      <c r="K201">
        <f t="shared" si="24"/>
        <v>-0.29999999999999716</v>
      </c>
      <c r="L201">
        <f t="shared" si="24"/>
        <v>9.9999999999994316E-2</v>
      </c>
      <c r="M201">
        <f t="shared" si="19"/>
        <v>0.80000000000001137</v>
      </c>
      <c r="N201">
        <f t="shared" si="19"/>
        <v>-0.20000000000000284</v>
      </c>
      <c r="O201">
        <f t="shared" si="19"/>
        <v>1.0999999999999943</v>
      </c>
      <c r="P201">
        <f t="shared" si="19"/>
        <v>0.10000000000000853</v>
      </c>
      <c r="R201">
        <v>-0.29999999999999716</v>
      </c>
      <c r="S201">
        <v>101.2</v>
      </c>
      <c r="T201">
        <v>0.10000000000000853</v>
      </c>
      <c r="U201">
        <v>-1.1000000000000085</v>
      </c>
      <c r="V201">
        <v>-1.0999999999999943</v>
      </c>
      <c r="W201">
        <v>1.0999999999999943</v>
      </c>
      <c r="X201">
        <v>0.10000000000000853</v>
      </c>
      <c r="Y201">
        <v>0.39999999999999147</v>
      </c>
      <c r="Z201">
        <v>-0.29999999999999716</v>
      </c>
      <c r="AA201">
        <v>9.9999999999994316E-2</v>
      </c>
      <c r="AB201">
        <v>0.80000000000001137</v>
      </c>
      <c r="AC201">
        <v>-0.20000000000000284</v>
      </c>
      <c r="AD201">
        <v>1.0999999999999943</v>
      </c>
      <c r="AE201">
        <v>0.10000000000000853</v>
      </c>
    </row>
    <row r="202" spans="1:31" x14ac:dyDescent="0.3">
      <c r="A202" s="1">
        <v>40787</v>
      </c>
      <c r="B202">
        <v>100.8</v>
      </c>
      <c r="C202">
        <f t="shared" si="20"/>
        <v>-0.10000000000000853</v>
      </c>
      <c r="D202">
        <f t="shared" si="21"/>
        <v>100.9</v>
      </c>
      <c r="E202">
        <f t="shared" si="22"/>
        <v>-0.29999999999999716</v>
      </c>
      <c r="F202">
        <f t="shared" si="23"/>
        <v>0.10000000000000853</v>
      </c>
      <c r="G202">
        <f t="shared" si="23"/>
        <v>-1.1000000000000085</v>
      </c>
      <c r="H202">
        <f t="shared" si="23"/>
        <v>-1.0999999999999943</v>
      </c>
      <c r="I202">
        <f t="shared" si="23"/>
        <v>1.0999999999999943</v>
      </c>
      <c r="J202">
        <f t="shared" si="24"/>
        <v>0.10000000000000853</v>
      </c>
      <c r="K202">
        <f t="shared" si="24"/>
        <v>0.39999999999999147</v>
      </c>
      <c r="L202">
        <f t="shared" si="24"/>
        <v>-0.29999999999999716</v>
      </c>
      <c r="M202">
        <f t="shared" si="19"/>
        <v>9.9999999999994316E-2</v>
      </c>
      <c r="N202">
        <f t="shared" si="19"/>
        <v>0.80000000000001137</v>
      </c>
      <c r="O202">
        <f t="shared" si="19"/>
        <v>-0.20000000000000284</v>
      </c>
      <c r="P202">
        <f t="shared" si="19"/>
        <v>1.0999999999999943</v>
      </c>
      <c r="R202">
        <v>-0.10000000000000853</v>
      </c>
      <c r="S202">
        <v>100.9</v>
      </c>
      <c r="T202">
        <v>-0.29999999999999716</v>
      </c>
      <c r="U202">
        <v>0.10000000000000853</v>
      </c>
      <c r="V202">
        <v>-1.1000000000000085</v>
      </c>
      <c r="W202">
        <v>-1.0999999999999943</v>
      </c>
      <c r="X202">
        <v>1.0999999999999943</v>
      </c>
      <c r="Y202">
        <v>0.10000000000000853</v>
      </c>
      <c r="Z202">
        <v>0.39999999999999147</v>
      </c>
      <c r="AA202">
        <v>-0.29999999999999716</v>
      </c>
      <c r="AB202">
        <v>9.9999999999994316E-2</v>
      </c>
      <c r="AC202">
        <v>0.80000000000001137</v>
      </c>
      <c r="AD202">
        <v>-0.20000000000000284</v>
      </c>
      <c r="AE202">
        <v>1.0999999999999943</v>
      </c>
    </row>
    <row r="203" spans="1:31" x14ac:dyDescent="0.3">
      <c r="A203" s="1">
        <v>40817</v>
      </c>
      <c r="B203">
        <v>100.4</v>
      </c>
      <c r="C203">
        <f t="shared" si="20"/>
        <v>-0.39999999999999147</v>
      </c>
      <c r="D203">
        <f t="shared" si="21"/>
        <v>100.8</v>
      </c>
      <c r="E203">
        <f t="shared" si="22"/>
        <v>-0.10000000000000853</v>
      </c>
      <c r="F203">
        <f t="shared" si="23"/>
        <v>-0.29999999999999716</v>
      </c>
      <c r="G203">
        <f t="shared" si="23"/>
        <v>0.10000000000000853</v>
      </c>
      <c r="H203">
        <f t="shared" si="23"/>
        <v>-1.1000000000000085</v>
      </c>
      <c r="I203">
        <f t="shared" si="23"/>
        <v>-1.0999999999999943</v>
      </c>
      <c r="J203">
        <f t="shared" si="24"/>
        <v>1.0999999999999943</v>
      </c>
      <c r="K203">
        <f t="shared" si="24"/>
        <v>0.10000000000000853</v>
      </c>
      <c r="L203">
        <f t="shared" si="24"/>
        <v>0.39999999999999147</v>
      </c>
      <c r="M203">
        <f t="shared" si="19"/>
        <v>-0.29999999999999716</v>
      </c>
      <c r="N203">
        <f t="shared" si="19"/>
        <v>9.9999999999994316E-2</v>
      </c>
      <c r="O203">
        <f t="shared" si="19"/>
        <v>0.80000000000001137</v>
      </c>
      <c r="P203">
        <f t="shared" si="19"/>
        <v>-0.20000000000000284</v>
      </c>
      <c r="R203">
        <v>-0.39999999999999147</v>
      </c>
      <c r="S203">
        <v>100.8</v>
      </c>
      <c r="T203">
        <v>-0.10000000000000853</v>
      </c>
      <c r="U203">
        <v>-0.29999999999999716</v>
      </c>
      <c r="V203">
        <v>0.10000000000000853</v>
      </c>
      <c r="W203">
        <v>-1.1000000000000085</v>
      </c>
      <c r="X203">
        <v>-1.0999999999999943</v>
      </c>
      <c r="Y203">
        <v>1.0999999999999943</v>
      </c>
      <c r="Z203">
        <v>0.10000000000000853</v>
      </c>
      <c r="AA203">
        <v>0.39999999999999147</v>
      </c>
      <c r="AB203">
        <v>-0.29999999999999716</v>
      </c>
      <c r="AC203">
        <v>9.9999999999994316E-2</v>
      </c>
      <c r="AD203">
        <v>0.80000000000001137</v>
      </c>
      <c r="AE203">
        <v>-0.20000000000000284</v>
      </c>
    </row>
    <row r="204" spans="1:31" x14ac:dyDescent="0.3">
      <c r="A204" s="1">
        <v>40848</v>
      </c>
      <c r="B204">
        <v>100.4</v>
      </c>
      <c r="C204">
        <f t="shared" si="20"/>
        <v>0</v>
      </c>
      <c r="D204">
        <f t="shared" si="21"/>
        <v>100.4</v>
      </c>
      <c r="E204">
        <f t="shared" si="22"/>
        <v>-0.39999999999999147</v>
      </c>
      <c r="F204">
        <f t="shared" si="23"/>
        <v>-0.10000000000000853</v>
      </c>
      <c r="G204">
        <f t="shared" si="23"/>
        <v>-0.29999999999999716</v>
      </c>
      <c r="H204">
        <f t="shared" si="23"/>
        <v>0.10000000000000853</v>
      </c>
      <c r="I204">
        <f t="shared" si="23"/>
        <v>-1.1000000000000085</v>
      </c>
      <c r="J204">
        <f t="shared" si="24"/>
        <v>-1.0999999999999943</v>
      </c>
      <c r="K204">
        <f t="shared" si="24"/>
        <v>1.0999999999999943</v>
      </c>
      <c r="L204">
        <f t="shared" si="24"/>
        <v>0.10000000000000853</v>
      </c>
      <c r="M204">
        <f t="shared" si="19"/>
        <v>0.39999999999999147</v>
      </c>
      <c r="N204">
        <f t="shared" si="19"/>
        <v>-0.29999999999999716</v>
      </c>
      <c r="O204">
        <f t="shared" si="19"/>
        <v>9.9999999999994316E-2</v>
      </c>
      <c r="P204">
        <f t="shared" si="19"/>
        <v>0.80000000000001137</v>
      </c>
      <c r="R204">
        <v>0</v>
      </c>
      <c r="S204">
        <v>100.4</v>
      </c>
      <c r="T204">
        <v>-0.39999999999999147</v>
      </c>
      <c r="U204">
        <v>-0.10000000000000853</v>
      </c>
      <c r="V204">
        <v>-0.29999999999999716</v>
      </c>
      <c r="W204">
        <v>0.10000000000000853</v>
      </c>
      <c r="X204">
        <v>-1.1000000000000085</v>
      </c>
      <c r="Y204">
        <v>-1.0999999999999943</v>
      </c>
      <c r="Z204">
        <v>1.0999999999999943</v>
      </c>
      <c r="AA204">
        <v>0.10000000000000853</v>
      </c>
      <c r="AB204">
        <v>0.39999999999999147</v>
      </c>
      <c r="AC204">
        <v>-0.29999999999999716</v>
      </c>
      <c r="AD204">
        <v>9.9999999999994316E-2</v>
      </c>
      <c r="AE204">
        <v>0.80000000000001137</v>
      </c>
    </row>
    <row r="205" spans="1:31" x14ac:dyDescent="0.3">
      <c r="A205" s="1">
        <v>40878</v>
      </c>
      <c r="B205">
        <v>100.5</v>
      </c>
      <c r="C205">
        <f t="shared" si="20"/>
        <v>9.9999999999994316E-2</v>
      </c>
      <c r="D205">
        <f t="shared" si="21"/>
        <v>100.4</v>
      </c>
      <c r="E205">
        <f t="shared" si="22"/>
        <v>0</v>
      </c>
      <c r="F205">
        <f t="shared" si="23"/>
        <v>-0.39999999999999147</v>
      </c>
      <c r="G205">
        <f t="shared" si="23"/>
        <v>-0.10000000000000853</v>
      </c>
      <c r="H205">
        <f t="shared" si="23"/>
        <v>-0.29999999999999716</v>
      </c>
      <c r="I205">
        <f t="shared" si="23"/>
        <v>0.10000000000000853</v>
      </c>
      <c r="J205">
        <f t="shared" si="24"/>
        <v>-1.1000000000000085</v>
      </c>
      <c r="K205">
        <f t="shared" si="24"/>
        <v>-1.0999999999999943</v>
      </c>
      <c r="L205">
        <f t="shared" si="24"/>
        <v>1.0999999999999943</v>
      </c>
      <c r="M205">
        <f t="shared" si="19"/>
        <v>0.10000000000000853</v>
      </c>
      <c r="N205">
        <f t="shared" si="19"/>
        <v>0.39999999999999147</v>
      </c>
      <c r="O205">
        <f t="shared" si="19"/>
        <v>-0.29999999999999716</v>
      </c>
      <c r="P205">
        <f t="shared" si="19"/>
        <v>9.9999999999994316E-2</v>
      </c>
      <c r="R205">
        <v>9.9999999999994316E-2</v>
      </c>
      <c r="S205">
        <v>100.4</v>
      </c>
      <c r="T205">
        <v>0</v>
      </c>
      <c r="U205">
        <v>-0.39999999999999147</v>
      </c>
      <c r="V205">
        <v>-0.10000000000000853</v>
      </c>
      <c r="W205">
        <v>-0.29999999999999716</v>
      </c>
      <c r="X205">
        <v>0.10000000000000853</v>
      </c>
      <c r="Y205">
        <v>-1.1000000000000085</v>
      </c>
      <c r="Z205">
        <v>-1.0999999999999943</v>
      </c>
      <c r="AA205">
        <v>1.0999999999999943</v>
      </c>
      <c r="AB205">
        <v>0.10000000000000853</v>
      </c>
      <c r="AC205">
        <v>0.39999999999999147</v>
      </c>
      <c r="AD205">
        <v>-0.29999999999999716</v>
      </c>
      <c r="AE205">
        <v>9.9999999999994316E-2</v>
      </c>
    </row>
    <row r="206" spans="1:31" x14ac:dyDescent="0.3">
      <c r="A206" s="1">
        <v>40909</v>
      </c>
      <c r="B206">
        <v>101</v>
      </c>
      <c r="C206">
        <f t="shared" si="20"/>
        <v>0.5</v>
      </c>
      <c r="D206">
        <f t="shared" si="21"/>
        <v>100.5</v>
      </c>
      <c r="E206">
        <f t="shared" si="22"/>
        <v>9.9999999999994316E-2</v>
      </c>
      <c r="F206">
        <f t="shared" si="23"/>
        <v>0</v>
      </c>
      <c r="G206">
        <f t="shared" si="23"/>
        <v>-0.39999999999999147</v>
      </c>
      <c r="H206">
        <f t="shared" si="23"/>
        <v>-0.10000000000000853</v>
      </c>
      <c r="I206">
        <f t="shared" si="23"/>
        <v>-0.29999999999999716</v>
      </c>
      <c r="J206">
        <f t="shared" si="24"/>
        <v>0.10000000000000853</v>
      </c>
      <c r="K206">
        <f t="shared" si="24"/>
        <v>-1.1000000000000085</v>
      </c>
      <c r="L206">
        <f t="shared" si="24"/>
        <v>-1.0999999999999943</v>
      </c>
      <c r="M206">
        <f t="shared" si="24"/>
        <v>1.0999999999999943</v>
      </c>
      <c r="N206">
        <f t="shared" si="24"/>
        <v>0.10000000000000853</v>
      </c>
      <c r="O206">
        <f t="shared" ref="O206:P269" si="25">N205</f>
        <v>0.39999999999999147</v>
      </c>
      <c r="P206">
        <f t="shared" si="25"/>
        <v>-0.29999999999999716</v>
      </c>
      <c r="R206">
        <v>0.5</v>
      </c>
      <c r="S206">
        <v>100.5</v>
      </c>
      <c r="T206">
        <v>9.9999999999994316E-2</v>
      </c>
      <c r="U206">
        <v>0</v>
      </c>
      <c r="V206">
        <v>-0.39999999999999147</v>
      </c>
      <c r="W206">
        <v>-0.10000000000000853</v>
      </c>
      <c r="X206">
        <v>-0.29999999999999716</v>
      </c>
      <c r="Y206">
        <v>0.10000000000000853</v>
      </c>
      <c r="Z206">
        <v>-1.1000000000000085</v>
      </c>
      <c r="AA206">
        <v>-1.0999999999999943</v>
      </c>
      <c r="AB206">
        <v>1.0999999999999943</v>
      </c>
      <c r="AC206">
        <v>0.10000000000000853</v>
      </c>
      <c r="AD206">
        <v>0.39999999999999147</v>
      </c>
      <c r="AE206">
        <v>-0.29999999999999716</v>
      </c>
    </row>
    <row r="207" spans="1:31" x14ac:dyDescent="0.3">
      <c r="A207" s="1">
        <v>40940</v>
      </c>
      <c r="B207">
        <v>101.4</v>
      </c>
      <c r="C207">
        <f t="shared" si="20"/>
        <v>0.40000000000000568</v>
      </c>
      <c r="D207">
        <f t="shared" si="21"/>
        <v>101</v>
      </c>
      <c r="E207">
        <f t="shared" si="22"/>
        <v>0.5</v>
      </c>
      <c r="F207">
        <f t="shared" si="23"/>
        <v>9.9999999999994316E-2</v>
      </c>
      <c r="G207">
        <f t="shared" si="23"/>
        <v>0</v>
      </c>
      <c r="H207">
        <f t="shared" si="23"/>
        <v>-0.39999999999999147</v>
      </c>
      <c r="I207">
        <f t="shared" si="23"/>
        <v>-0.10000000000000853</v>
      </c>
      <c r="J207">
        <f t="shared" si="24"/>
        <v>-0.29999999999999716</v>
      </c>
      <c r="K207">
        <f t="shared" si="24"/>
        <v>0.10000000000000853</v>
      </c>
      <c r="L207">
        <f t="shared" si="24"/>
        <v>-1.1000000000000085</v>
      </c>
      <c r="M207">
        <f t="shared" si="24"/>
        <v>-1.0999999999999943</v>
      </c>
      <c r="N207">
        <f t="shared" si="24"/>
        <v>1.0999999999999943</v>
      </c>
      <c r="O207">
        <f t="shared" si="25"/>
        <v>0.10000000000000853</v>
      </c>
      <c r="P207">
        <f t="shared" si="25"/>
        <v>0.39999999999999147</v>
      </c>
      <c r="R207">
        <v>0.40000000000000568</v>
      </c>
      <c r="S207">
        <v>101</v>
      </c>
      <c r="T207">
        <v>0.5</v>
      </c>
      <c r="U207">
        <v>9.9999999999994316E-2</v>
      </c>
      <c r="V207">
        <v>0</v>
      </c>
      <c r="W207">
        <v>-0.39999999999999147</v>
      </c>
      <c r="X207">
        <v>-0.10000000000000853</v>
      </c>
      <c r="Y207">
        <v>-0.29999999999999716</v>
      </c>
      <c r="Z207">
        <v>0.10000000000000853</v>
      </c>
      <c r="AA207">
        <v>-1.1000000000000085</v>
      </c>
      <c r="AB207">
        <v>-1.0999999999999943</v>
      </c>
      <c r="AC207">
        <v>1.0999999999999943</v>
      </c>
      <c r="AD207">
        <v>0.10000000000000853</v>
      </c>
      <c r="AE207">
        <v>0.39999999999999147</v>
      </c>
    </row>
    <row r="208" spans="1:31" x14ac:dyDescent="0.3">
      <c r="A208" s="1">
        <v>40969</v>
      </c>
      <c r="B208">
        <v>100.2</v>
      </c>
      <c r="C208">
        <f t="shared" si="20"/>
        <v>-1.2000000000000028</v>
      </c>
      <c r="D208">
        <f t="shared" si="21"/>
        <v>101.4</v>
      </c>
      <c r="E208">
        <f t="shared" si="22"/>
        <v>0.40000000000000568</v>
      </c>
      <c r="F208">
        <f t="shared" si="23"/>
        <v>0.5</v>
      </c>
      <c r="G208">
        <f t="shared" si="23"/>
        <v>9.9999999999994316E-2</v>
      </c>
      <c r="H208">
        <f t="shared" si="23"/>
        <v>0</v>
      </c>
      <c r="I208">
        <f t="shared" si="23"/>
        <v>-0.39999999999999147</v>
      </c>
      <c r="J208">
        <f t="shared" si="24"/>
        <v>-0.10000000000000853</v>
      </c>
      <c r="K208">
        <f t="shared" si="24"/>
        <v>-0.29999999999999716</v>
      </c>
      <c r="L208">
        <f t="shared" si="24"/>
        <v>0.10000000000000853</v>
      </c>
      <c r="M208">
        <f t="shared" si="24"/>
        <v>-1.1000000000000085</v>
      </c>
      <c r="N208">
        <f t="shared" si="24"/>
        <v>-1.0999999999999943</v>
      </c>
      <c r="O208">
        <f t="shared" si="25"/>
        <v>1.0999999999999943</v>
      </c>
      <c r="P208">
        <f t="shared" si="25"/>
        <v>0.10000000000000853</v>
      </c>
      <c r="R208">
        <v>-1.2000000000000028</v>
      </c>
      <c r="S208">
        <v>101.4</v>
      </c>
      <c r="T208">
        <v>0.40000000000000568</v>
      </c>
      <c r="U208">
        <v>0.5</v>
      </c>
      <c r="V208">
        <v>9.9999999999994316E-2</v>
      </c>
      <c r="W208">
        <v>0</v>
      </c>
      <c r="X208">
        <v>-0.39999999999999147</v>
      </c>
      <c r="Y208">
        <v>-0.10000000000000853</v>
      </c>
      <c r="Z208">
        <v>-0.29999999999999716</v>
      </c>
      <c r="AA208">
        <v>0.10000000000000853</v>
      </c>
      <c r="AB208">
        <v>-1.1000000000000085</v>
      </c>
      <c r="AC208">
        <v>-1.0999999999999943</v>
      </c>
      <c r="AD208">
        <v>1.0999999999999943</v>
      </c>
      <c r="AE208">
        <v>0.10000000000000853</v>
      </c>
    </row>
    <row r="209" spans="1:31" x14ac:dyDescent="0.3">
      <c r="A209" s="1">
        <v>41000</v>
      </c>
      <c r="B209">
        <v>100.1</v>
      </c>
      <c r="C209">
        <f t="shared" si="20"/>
        <v>-0.10000000000000853</v>
      </c>
      <c r="D209">
        <f t="shared" si="21"/>
        <v>100.2</v>
      </c>
      <c r="E209">
        <f t="shared" si="22"/>
        <v>-1.2000000000000028</v>
      </c>
      <c r="F209">
        <f t="shared" si="23"/>
        <v>0.40000000000000568</v>
      </c>
      <c r="G209">
        <f t="shared" si="23"/>
        <v>0.5</v>
      </c>
      <c r="H209">
        <f t="shared" si="23"/>
        <v>9.9999999999994316E-2</v>
      </c>
      <c r="I209">
        <f t="shared" si="23"/>
        <v>0</v>
      </c>
      <c r="J209">
        <f t="shared" si="24"/>
        <v>-0.39999999999999147</v>
      </c>
      <c r="K209">
        <f t="shared" si="24"/>
        <v>-0.10000000000000853</v>
      </c>
      <c r="L209">
        <f t="shared" si="24"/>
        <v>-0.29999999999999716</v>
      </c>
      <c r="M209">
        <f t="shared" si="24"/>
        <v>0.10000000000000853</v>
      </c>
      <c r="N209">
        <f t="shared" si="24"/>
        <v>-1.1000000000000085</v>
      </c>
      <c r="O209">
        <f t="shared" si="25"/>
        <v>-1.0999999999999943</v>
      </c>
      <c r="P209">
        <f t="shared" si="25"/>
        <v>1.0999999999999943</v>
      </c>
      <c r="R209">
        <v>-0.10000000000000853</v>
      </c>
      <c r="S209">
        <v>100.2</v>
      </c>
      <c r="T209">
        <v>-1.2000000000000028</v>
      </c>
      <c r="U209">
        <v>0.40000000000000568</v>
      </c>
      <c r="V209">
        <v>0.5</v>
      </c>
      <c r="W209">
        <v>9.9999999999994316E-2</v>
      </c>
      <c r="X209">
        <v>0</v>
      </c>
      <c r="Y209">
        <v>-0.39999999999999147</v>
      </c>
      <c r="Z209">
        <v>-0.10000000000000853</v>
      </c>
      <c r="AA209">
        <v>-0.29999999999999716</v>
      </c>
      <c r="AB209">
        <v>0.10000000000000853</v>
      </c>
      <c r="AC209">
        <v>-1.1000000000000085</v>
      </c>
      <c r="AD209">
        <v>-1.0999999999999943</v>
      </c>
      <c r="AE209">
        <v>1.0999999999999943</v>
      </c>
    </row>
    <row r="210" spans="1:31" x14ac:dyDescent="0.3">
      <c r="A210" s="1">
        <v>41030</v>
      </c>
      <c r="B210">
        <v>100.2</v>
      </c>
      <c r="C210">
        <f t="shared" si="20"/>
        <v>0.10000000000000853</v>
      </c>
      <c r="D210">
        <f t="shared" si="21"/>
        <v>100.1</v>
      </c>
      <c r="E210">
        <f t="shared" si="22"/>
        <v>-0.10000000000000853</v>
      </c>
      <c r="F210">
        <f t="shared" si="23"/>
        <v>-1.2000000000000028</v>
      </c>
      <c r="G210">
        <f t="shared" si="23"/>
        <v>0.40000000000000568</v>
      </c>
      <c r="H210">
        <f t="shared" si="23"/>
        <v>0.5</v>
      </c>
      <c r="I210">
        <f t="shared" si="23"/>
        <v>9.9999999999994316E-2</v>
      </c>
      <c r="J210">
        <f t="shared" si="24"/>
        <v>0</v>
      </c>
      <c r="K210">
        <f t="shared" si="24"/>
        <v>-0.39999999999999147</v>
      </c>
      <c r="L210">
        <f t="shared" si="24"/>
        <v>-0.10000000000000853</v>
      </c>
      <c r="M210">
        <f t="shared" si="24"/>
        <v>-0.29999999999999716</v>
      </c>
      <c r="N210">
        <f t="shared" si="24"/>
        <v>0.10000000000000853</v>
      </c>
      <c r="O210">
        <f t="shared" si="25"/>
        <v>-1.1000000000000085</v>
      </c>
      <c r="P210">
        <f t="shared" si="25"/>
        <v>-1.0999999999999943</v>
      </c>
      <c r="R210">
        <v>0.10000000000000853</v>
      </c>
      <c r="S210">
        <v>100.1</v>
      </c>
      <c r="T210">
        <v>-0.10000000000000853</v>
      </c>
      <c r="U210">
        <v>-1.2000000000000028</v>
      </c>
      <c r="V210">
        <v>0.40000000000000568</v>
      </c>
      <c r="W210">
        <v>0.5</v>
      </c>
      <c r="X210">
        <v>9.9999999999994316E-2</v>
      </c>
      <c r="Y210">
        <v>0</v>
      </c>
      <c r="Z210">
        <v>-0.39999999999999147</v>
      </c>
      <c r="AA210">
        <v>-0.10000000000000853</v>
      </c>
      <c r="AB210">
        <v>-0.29999999999999716</v>
      </c>
      <c r="AC210">
        <v>0.10000000000000853</v>
      </c>
      <c r="AD210">
        <v>-1.1000000000000085</v>
      </c>
      <c r="AE210">
        <v>-1.0999999999999943</v>
      </c>
    </row>
    <row r="211" spans="1:31" x14ac:dyDescent="0.3">
      <c r="A211" s="1">
        <v>41061</v>
      </c>
      <c r="B211">
        <v>99.7</v>
      </c>
      <c r="C211">
        <f t="shared" si="20"/>
        <v>-0.5</v>
      </c>
      <c r="D211">
        <f t="shared" si="21"/>
        <v>100.2</v>
      </c>
      <c r="E211">
        <f t="shared" si="22"/>
        <v>0.10000000000000853</v>
      </c>
      <c r="F211">
        <f t="shared" si="23"/>
        <v>-0.10000000000000853</v>
      </c>
      <c r="G211">
        <f t="shared" si="23"/>
        <v>-1.2000000000000028</v>
      </c>
      <c r="H211">
        <f t="shared" si="23"/>
        <v>0.40000000000000568</v>
      </c>
      <c r="I211">
        <f t="shared" si="23"/>
        <v>0.5</v>
      </c>
      <c r="J211">
        <f t="shared" si="24"/>
        <v>9.9999999999994316E-2</v>
      </c>
      <c r="K211">
        <f t="shared" si="24"/>
        <v>0</v>
      </c>
      <c r="L211">
        <f t="shared" si="24"/>
        <v>-0.39999999999999147</v>
      </c>
      <c r="M211">
        <f t="shared" si="24"/>
        <v>-0.10000000000000853</v>
      </c>
      <c r="N211">
        <f t="shared" si="24"/>
        <v>-0.29999999999999716</v>
      </c>
      <c r="O211">
        <f t="shared" si="25"/>
        <v>0.10000000000000853</v>
      </c>
      <c r="P211">
        <f t="shared" si="25"/>
        <v>-1.1000000000000085</v>
      </c>
      <c r="R211">
        <v>-0.5</v>
      </c>
      <c r="S211">
        <v>100.2</v>
      </c>
      <c r="T211">
        <v>0.10000000000000853</v>
      </c>
      <c r="U211">
        <v>-0.10000000000000853</v>
      </c>
      <c r="V211">
        <v>-1.2000000000000028</v>
      </c>
      <c r="W211">
        <v>0.40000000000000568</v>
      </c>
      <c r="X211">
        <v>0.5</v>
      </c>
      <c r="Y211">
        <v>9.9999999999994316E-2</v>
      </c>
      <c r="Z211">
        <v>0</v>
      </c>
      <c r="AA211">
        <v>-0.39999999999999147</v>
      </c>
      <c r="AB211">
        <v>-0.10000000000000853</v>
      </c>
      <c r="AC211">
        <v>-0.29999999999999716</v>
      </c>
      <c r="AD211">
        <v>0.10000000000000853</v>
      </c>
      <c r="AE211">
        <v>-1.1000000000000085</v>
      </c>
    </row>
    <row r="212" spans="1:31" x14ac:dyDescent="0.3">
      <c r="A212" s="1">
        <v>41091</v>
      </c>
      <c r="B212">
        <v>99.7</v>
      </c>
      <c r="C212">
        <f t="shared" si="20"/>
        <v>0</v>
      </c>
      <c r="D212">
        <f t="shared" si="21"/>
        <v>99.7</v>
      </c>
      <c r="E212">
        <f t="shared" si="22"/>
        <v>-0.5</v>
      </c>
      <c r="F212">
        <f t="shared" si="23"/>
        <v>0.10000000000000853</v>
      </c>
      <c r="G212">
        <f t="shared" si="23"/>
        <v>-0.10000000000000853</v>
      </c>
      <c r="H212">
        <f t="shared" si="23"/>
        <v>-1.2000000000000028</v>
      </c>
      <c r="I212">
        <f t="shared" si="23"/>
        <v>0.40000000000000568</v>
      </c>
      <c r="J212">
        <f t="shared" si="24"/>
        <v>0.5</v>
      </c>
      <c r="K212">
        <f t="shared" si="24"/>
        <v>9.9999999999994316E-2</v>
      </c>
      <c r="L212">
        <f t="shared" si="24"/>
        <v>0</v>
      </c>
      <c r="M212">
        <f t="shared" si="24"/>
        <v>-0.39999999999999147</v>
      </c>
      <c r="N212">
        <f t="shared" si="24"/>
        <v>-0.10000000000000853</v>
      </c>
      <c r="O212">
        <f t="shared" si="25"/>
        <v>-0.29999999999999716</v>
      </c>
      <c r="P212">
        <f t="shared" si="25"/>
        <v>0.10000000000000853</v>
      </c>
      <c r="R212">
        <v>0</v>
      </c>
      <c r="S212">
        <v>99.7</v>
      </c>
      <c r="T212">
        <v>-0.5</v>
      </c>
      <c r="U212">
        <v>0.10000000000000853</v>
      </c>
      <c r="V212">
        <v>-0.10000000000000853</v>
      </c>
      <c r="W212">
        <v>-1.2000000000000028</v>
      </c>
      <c r="X212">
        <v>0.40000000000000568</v>
      </c>
      <c r="Y212">
        <v>0.5</v>
      </c>
      <c r="Z212">
        <v>9.9999999999994316E-2</v>
      </c>
      <c r="AA212">
        <v>0</v>
      </c>
      <c r="AB212">
        <v>-0.39999999999999147</v>
      </c>
      <c r="AC212">
        <v>-0.10000000000000853</v>
      </c>
      <c r="AD212">
        <v>-0.29999999999999716</v>
      </c>
      <c r="AE212">
        <v>0.10000000000000853</v>
      </c>
    </row>
    <row r="213" spans="1:31" x14ac:dyDescent="0.3">
      <c r="A213" s="1">
        <v>41122</v>
      </c>
      <c r="B213">
        <v>100.6</v>
      </c>
      <c r="C213">
        <f t="shared" si="20"/>
        <v>0.89999999999999147</v>
      </c>
      <c r="D213">
        <f t="shared" si="21"/>
        <v>99.7</v>
      </c>
      <c r="E213">
        <f t="shared" si="22"/>
        <v>0</v>
      </c>
      <c r="F213">
        <f t="shared" si="23"/>
        <v>-0.5</v>
      </c>
      <c r="G213">
        <f t="shared" si="23"/>
        <v>0.10000000000000853</v>
      </c>
      <c r="H213">
        <f t="shared" si="23"/>
        <v>-0.10000000000000853</v>
      </c>
      <c r="I213">
        <f t="shared" si="23"/>
        <v>-1.2000000000000028</v>
      </c>
      <c r="J213">
        <f t="shared" si="24"/>
        <v>0.40000000000000568</v>
      </c>
      <c r="K213">
        <f t="shared" si="24"/>
        <v>0.5</v>
      </c>
      <c r="L213">
        <f t="shared" si="24"/>
        <v>9.9999999999994316E-2</v>
      </c>
      <c r="M213">
        <f t="shared" si="24"/>
        <v>0</v>
      </c>
      <c r="N213">
        <f t="shared" ref="N213:P276" si="26">M212</f>
        <v>-0.39999999999999147</v>
      </c>
      <c r="O213">
        <f t="shared" si="25"/>
        <v>-0.10000000000000853</v>
      </c>
      <c r="P213">
        <f t="shared" si="25"/>
        <v>-0.29999999999999716</v>
      </c>
      <c r="R213">
        <v>0.89999999999999147</v>
      </c>
      <c r="S213">
        <v>99.7</v>
      </c>
      <c r="T213">
        <v>0</v>
      </c>
      <c r="U213">
        <v>-0.5</v>
      </c>
      <c r="V213">
        <v>0.10000000000000853</v>
      </c>
      <c r="W213">
        <v>-0.10000000000000853</v>
      </c>
      <c r="X213">
        <v>-1.2000000000000028</v>
      </c>
      <c r="Y213">
        <v>0.40000000000000568</v>
      </c>
      <c r="Z213">
        <v>0.5</v>
      </c>
      <c r="AA213">
        <v>9.9999999999994316E-2</v>
      </c>
      <c r="AB213">
        <v>0</v>
      </c>
      <c r="AC213">
        <v>-0.39999999999999147</v>
      </c>
      <c r="AD213">
        <v>-0.10000000000000853</v>
      </c>
      <c r="AE213">
        <v>-0.29999999999999716</v>
      </c>
    </row>
    <row r="214" spans="1:31" x14ac:dyDescent="0.3">
      <c r="A214" s="1">
        <v>41153</v>
      </c>
      <c r="B214">
        <v>102.2</v>
      </c>
      <c r="C214">
        <f t="shared" si="20"/>
        <v>1.6000000000000085</v>
      </c>
      <c r="D214">
        <f t="shared" si="21"/>
        <v>100.6</v>
      </c>
      <c r="E214">
        <f t="shared" si="22"/>
        <v>0.89999999999999147</v>
      </c>
      <c r="F214">
        <f t="shared" si="23"/>
        <v>0</v>
      </c>
      <c r="G214">
        <f t="shared" si="23"/>
        <v>-0.5</v>
      </c>
      <c r="H214">
        <f t="shared" si="23"/>
        <v>0.10000000000000853</v>
      </c>
      <c r="I214">
        <f t="shared" si="23"/>
        <v>-0.10000000000000853</v>
      </c>
      <c r="J214">
        <f t="shared" si="24"/>
        <v>-1.2000000000000028</v>
      </c>
      <c r="K214">
        <f t="shared" si="24"/>
        <v>0.40000000000000568</v>
      </c>
      <c r="L214">
        <f t="shared" si="24"/>
        <v>0.5</v>
      </c>
      <c r="M214">
        <f t="shared" si="24"/>
        <v>9.9999999999994316E-2</v>
      </c>
      <c r="N214">
        <f t="shared" si="26"/>
        <v>0</v>
      </c>
      <c r="O214">
        <f t="shared" si="25"/>
        <v>-0.39999999999999147</v>
      </c>
      <c r="P214">
        <f t="shared" si="25"/>
        <v>-0.10000000000000853</v>
      </c>
      <c r="R214">
        <v>1.6000000000000085</v>
      </c>
      <c r="S214">
        <v>100.6</v>
      </c>
      <c r="T214">
        <v>0.89999999999999147</v>
      </c>
      <c r="U214">
        <v>0</v>
      </c>
      <c r="V214">
        <v>-0.5</v>
      </c>
      <c r="W214">
        <v>0.10000000000000853</v>
      </c>
      <c r="X214">
        <v>-0.10000000000000853</v>
      </c>
      <c r="Y214">
        <v>-1.2000000000000028</v>
      </c>
      <c r="Z214">
        <v>0.40000000000000568</v>
      </c>
      <c r="AA214">
        <v>0.5</v>
      </c>
      <c r="AB214">
        <v>9.9999999999994316E-2</v>
      </c>
      <c r="AC214">
        <v>0</v>
      </c>
      <c r="AD214">
        <v>-0.39999999999999147</v>
      </c>
      <c r="AE214">
        <v>-0.10000000000000853</v>
      </c>
    </row>
    <row r="215" spans="1:31" x14ac:dyDescent="0.3">
      <c r="A215" s="1">
        <v>41183</v>
      </c>
      <c r="B215">
        <v>100.9</v>
      </c>
      <c r="C215">
        <f t="shared" si="20"/>
        <v>-1.2999999999999972</v>
      </c>
      <c r="D215">
        <f t="shared" si="21"/>
        <v>102.2</v>
      </c>
      <c r="E215">
        <f t="shared" si="22"/>
        <v>1.6000000000000085</v>
      </c>
      <c r="F215">
        <f t="shared" si="23"/>
        <v>0.89999999999999147</v>
      </c>
      <c r="G215">
        <f t="shared" si="23"/>
        <v>0</v>
      </c>
      <c r="H215">
        <f t="shared" si="23"/>
        <v>-0.5</v>
      </c>
      <c r="I215">
        <f t="shared" si="23"/>
        <v>0.10000000000000853</v>
      </c>
      <c r="J215">
        <f t="shared" si="24"/>
        <v>-0.10000000000000853</v>
      </c>
      <c r="K215">
        <f t="shared" si="24"/>
        <v>-1.2000000000000028</v>
      </c>
      <c r="L215">
        <f t="shared" si="24"/>
        <v>0.40000000000000568</v>
      </c>
      <c r="M215">
        <f t="shared" si="24"/>
        <v>0.5</v>
      </c>
      <c r="N215">
        <f t="shared" si="26"/>
        <v>9.9999999999994316E-2</v>
      </c>
      <c r="O215">
        <f t="shared" si="25"/>
        <v>0</v>
      </c>
      <c r="P215">
        <f t="shared" si="25"/>
        <v>-0.39999999999999147</v>
      </c>
      <c r="R215">
        <v>-1.2999999999999972</v>
      </c>
      <c r="S215">
        <v>102.2</v>
      </c>
      <c r="T215">
        <v>1.6000000000000085</v>
      </c>
      <c r="U215">
        <v>0.89999999999999147</v>
      </c>
      <c r="V215">
        <v>0</v>
      </c>
      <c r="W215">
        <v>-0.5</v>
      </c>
      <c r="X215">
        <v>0.10000000000000853</v>
      </c>
      <c r="Y215">
        <v>-0.10000000000000853</v>
      </c>
      <c r="Z215">
        <v>-1.2000000000000028</v>
      </c>
      <c r="AA215">
        <v>0.40000000000000568</v>
      </c>
      <c r="AB215">
        <v>0.5</v>
      </c>
      <c r="AC215">
        <v>9.9999999999994316E-2</v>
      </c>
      <c r="AD215">
        <v>0</v>
      </c>
      <c r="AE215">
        <v>-0.39999999999999147</v>
      </c>
    </row>
    <row r="216" spans="1:31" x14ac:dyDescent="0.3">
      <c r="A216" s="1">
        <v>41214</v>
      </c>
      <c r="B216">
        <v>100.5</v>
      </c>
      <c r="C216">
        <f t="shared" si="20"/>
        <v>-0.40000000000000568</v>
      </c>
      <c r="D216">
        <f t="shared" si="21"/>
        <v>100.9</v>
      </c>
      <c r="E216">
        <f t="shared" si="22"/>
        <v>-1.2999999999999972</v>
      </c>
      <c r="F216">
        <f t="shared" si="23"/>
        <v>1.6000000000000085</v>
      </c>
      <c r="G216">
        <f t="shared" si="23"/>
        <v>0.89999999999999147</v>
      </c>
      <c r="H216">
        <f t="shared" si="23"/>
        <v>0</v>
      </c>
      <c r="I216">
        <f t="shared" si="23"/>
        <v>-0.5</v>
      </c>
      <c r="J216">
        <f t="shared" si="24"/>
        <v>0.10000000000000853</v>
      </c>
      <c r="K216">
        <f t="shared" si="24"/>
        <v>-0.10000000000000853</v>
      </c>
      <c r="L216">
        <f t="shared" si="24"/>
        <v>-1.2000000000000028</v>
      </c>
      <c r="M216">
        <f t="shared" si="24"/>
        <v>0.40000000000000568</v>
      </c>
      <c r="N216">
        <f t="shared" si="26"/>
        <v>0.5</v>
      </c>
      <c r="O216">
        <f t="shared" si="25"/>
        <v>9.9999999999994316E-2</v>
      </c>
      <c r="P216">
        <f t="shared" si="25"/>
        <v>0</v>
      </c>
      <c r="R216">
        <v>-0.40000000000000568</v>
      </c>
      <c r="S216">
        <v>100.9</v>
      </c>
      <c r="T216">
        <v>-1.2999999999999972</v>
      </c>
      <c r="U216">
        <v>1.6000000000000085</v>
      </c>
      <c r="V216">
        <v>0.89999999999999147</v>
      </c>
      <c r="W216">
        <v>0</v>
      </c>
      <c r="X216">
        <v>-0.5</v>
      </c>
      <c r="Y216">
        <v>0.10000000000000853</v>
      </c>
      <c r="Z216">
        <v>-0.10000000000000853</v>
      </c>
      <c r="AA216">
        <v>-1.2000000000000028</v>
      </c>
      <c r="AB216">
        <v>0.40000000000000568</v>
      </c>
      <c r="AC216">
        <v>0.5</v>
      </c>
      <c r="AD216">
        <v>9.9999999999994316E-2</v>
      </c>
      <c r="AE216">
        <v>0</v>
      </c>
    </row>
    <row r="217" spans="1:31" x14ac:dyDescent="0.3">
      <c r="A217" s="1">
        <v>41244</v>
      </c>
      <c r="B217">
        <v>100.3</v>
      </c>
      <c r="C217">
        <f t="shared" si="20"/>
        <v>-0.20000000000000284</v>
      </c>
      <c r="D217">
        <f t="shared" si="21"/>
        <v>100.5</v>
      </c>
      <c r="E217">
        <f t="shared" si="22"/>
        <v>-0.40000000000000568</v>
      </c>
      <c r="F217">
        <f t="shared" si="23"/>
        <v>-1.2999999999999972</v>
      </c>
      <c r="G217">
        <f t="shared" si="23"/>
        <v>1.6000000000000085</v>
      </c>
      <c r="H217">
        <f t="shared" si="23"/>
        <v>0.89999999999999147</v>
      </c>
      <c r="I217">
        <f t="shared" si="23"/>
        <v>0</v>
      </c>
      <c r="J217">
        <f t="shared" si="24"/>
        <v>-0.5</v>
      </c>
      <c r="K217">
        <f t="shared" si="24"/>
        <v>0.10000000000000853</v>
      </c>
      <c r="L217">
        <f t="shared" si="24"/>
        <v>-0.10000000000000853</v>
      </c>
      <c r="M217">
        <f t="shared" si="24"/>
        <v>-1.2000000000000028</v>
      </c>
      <c r="N217">
        <f t="shared" si="26"/>
        <v>0.40000000000000568</v>
      </c>
      <c r="O217">
        <f t="shared" si="25"/>
        <v>0.5</v>
      </c>
      <c r="P217">
        <f t="shared" si="25"/>
        <v>9.9999999999994316E-2</v>
      </c>
      <c r="R217">
        <v>-0.20000000000000284</v>
      </c>
      <c r="S217">
        <v>100.5</v>
      </c>
      <c r="T217">
        <v>-0.40000000000000568</v>
      </c>
      <c r="U217">
        <v>-1.2999999999999972</v>
      </c>
      <c r="V217">
        <v>1.6000000000000085</v>
      </c>
      <c r="W217">
        <v>0.89999999999999147</v>
      </c>
      <c r="X217">
        <v>0</v>
      </c>
      <c r="Y217">
        <v>-0.5</v>
      </c>
      <c r="Z217">
        <v>0.10000000000000853</v>
      </c>
      <c r="AA217">
        <v>-0.10000000000000853</v>
      </c>
      <c r="AB217">
        <v>-1.2000000000000028</v>
      </c>
      <c r="AC217">
        <v>0.40000000000000568</v>
      </c>
      <c r="AD217">
        <v>0.5</v>
      </c>
      <c r="AE217">
        <v>9.9999999999994316E-2</v>
      </c>
    </row>
    <row r="218" spans="1:31" x14ac:dyDescent="0.3">
      <c r="A218" s="1">
        <v>41275</v>
      </c>
      <c r="B218">
        <v>101.3</v>
      </c>
      <c r="C218">
        <f t="shared" si="20"/>
        <v>1</v>
      </c>
      <c r="D218">
        <f t="shared" si="21"/>
        <v>100.3</v>
      </c>
      <c r="E218">
        <f t="shared" si="22"/>
        <v>-0.20000000000000284</v>
      </c>
      <c r="F218">
        <f t="shared" si="23"/>
        <v>-0.40000000000000568</v>
      </c>
      <c r="G218">
        <f t="shared" si="23"/>
        <v>-1.2999999999999972</v>
      </c>
      <c r="H218">
        <f t="shared" si="23"/>
        <v>1.6000000000000085</v>
      </c>
      <c r="I218">
        <f t="shared" si="23"/>
        <v>0.89999999999999147</v>
      </c>
      <c r="J218">
        <f t="shared" si="24"/>
        <v>0</v>
      </c>
      <c r="K218">
        <f t="shared" si="24"/>
        <v>-0.5</v>
      </c>
      <c r="L218">
        <f t="shared" si="24"/>
        <v>0.10000000000000853</v>
      </c>
      <c r="M218">
        <f t="shared" si="24"/>
        <v>-0.10000000000000853</v>
      </c>
      <c r="N218">
        <f t="shared" si="26"/>
        <v>-1.2000000000000028</v>
      </c>
      <c r="O218">
        <f t="shared" si="25"/>
        <v>0.40000000000000568</v>
      </c>
      <c r="P218">
        <f t="shared" si="25"/>
        <v>0.5</v>
      </c>
      <c r="R218">
        <v>1</v>
      </c>
      <c r="S218">
        <v>100.3</v>
      </c>
      <c r="T218">
        <v>-0.20000000000000284</v>
      </c>
      <c r="U218">
        <v>-0.40000000000000568</v>
      </c>
      <c r="V218">
        <v>-1.2999999999999972</v>
      </c>
      <c r="W218">
        <v>1.6000000000000085</v>
      </c>
      <c r="X218">
        <v>0.89999999999999147</v>
      </c>
      <c r="Y218">
        <v>0</v>
      </c>
      <c r="Z218">
        <v>-0.5</v>
      </c>
      <c r="AA218">
        <v>0.10000000000000853</v>
      </c>
      <c r="AB218">
        <v>-0.10000000000000853</v>
      </c>
      <c r="AC218">
        <v>-1.2000000000000028</v>
      </c>
      <c r="AD218">
        <v>0.40000000000000568</v>
      </c>
      <c r="AE218">
        <v>0.5</v>
      </c>
    </row>
    <row r="219" spans="1:31" x14ac:dyDescent="0.3">
      <c r="A219" s="1">
        <v>41306</v>
      </c>
      <c r="B219">
        <v>101.3</v>
      </c>
      <c r="C219">
        <f t="shared" si="20"/>
        <v>0</v>
      </c>
      <c r="D219">
        <f t="shared" si="21"/>
        <v>101.3</v>
      </c>
      <c r="E219">
        <f t="shared" si="22"/>
        <v>1</v>
      </c>
      <c r="F219">
        <f t="shared" si="23"/>
        <v>-0.20000000000000284</v>
      </c>
      <c r="G219">
        <f t="shared" si="23"/>
        <v>-0.40000000000000568</v>
      </c>
      <c r="H219">
        <f t="shared" si="23"/>
        <v>-1.2999999999999972</v>
      </c>
      <c r="I219">
        <f t="shared" si="23"/>
        <v>1.6000000000000085</v>
      </c>
      <c r="J219">
        <f t="shared" si="24"/>
        <v>0.89999999999999147</v>
      </c>
      <c r="K219">
        <f t="shared" si="24"/>
        <v>0</v>
      </c>
      <c r="L219">
        <f t="shared" si="24"/>
        <v>-0.5</v>
      </c>
      <c r="M219">
        <f t="shared" si="24"/>
        <v>0.10000000000000853</v>
      </c>
      <c r="N219">
        <f t="shared" si="26"/>
        <v>-0.10000000000000853</v>
      </c>
      <c r="O219">
        <f t="shared" si="25"/>
        <v>-1.2000000000000028</v>
      </c>
      <c r="P219">
        <f t="shared" si="25"/>
        <v>0.40000000000000568</v>
      </c>
      <c r="R219">
        <v>0</v>
      </c>
      <c r="S219">
        <v>101.3</v>
      </c>
      <c r="T219">
        <v>1</v>
      </c>
      <c r="U219">
        <v>-0.20000000000000284</v>
      </c>
      <c r="V219">
        <v>-0.40000000000000568</v>
      </c>
      <c r="W219">
        <v>-1.2999999999999972</v>
      </c>
      <c r="X219">
        <v>1.6000000000000085</v>
      </c>
      <c r="Y219">
        <v>0.89999999999999147</v>
      </c>
      <c r="Z219">
        <v>0</v>
      </c>
      <c r="AA219">
        <v>-0.5</v>
      </c>
      <c r="AB219">
        <v>0.10000000000000853</v>
      </c>
      <c r="AC219">
        <v>-0.10000000000000853</v>
      </c>
      <c r="AD219">
        <v>-1.2000000000000028</v>
      </c>
      <c r="AE219">
        <v>0.40000000000000568</v>
      </c>
    </row>
    <row r="220" spans="1:31" x14ac:dyDescent="0.3">
      <c r="A220" s="1">
        <v>41334</v>
      </c>
      <c r="B220">
        <v>99.8</v>
      </c>
      <c r="C220">
        <f t="shared" si="20"/>
        <v>-1.5</v>
      </c>
      <c r="D220">
        <f t="shared" si="21"/>
        <v>101.3</v>
      </c>
      <c r="E220">
        <f t="shared" si="22"/>
        <v>0</v>
      </c>
      <c r="F220">
        <f t="shared" si="23"/>
        <v>1</v>
      </c>
      <c r="G220">
        <f t="shared" si="23"/>
        <v>-0.20000000000000284</v>
      </c>
      <c r="H220">
        <f t="shared" si="23"/>
        <v>-0.40000000000000568</v>
      </c>
      <c r="I220">
        <f t="shared" si="23"/>
        <v>-1.2999999999999972</v>
      </c>
      <c r="J220">
        <f t="shared" si="24"/>
        <v>1.6000000000000085</v>
      </c>
      <c r="K220">
        <f t="shared" si="24"/>
        <v>0.89999999999999147</v>
      </c>
      <c r="L220">
        <f t="shared" si="24"/>
        <v>0</v>
      </c>
      <c r="M220">
        <f t="shared" si="24"/>
        <v>-0.5</v>
      </c>
      <c r="N220">
        <f t="shared" si="26"/>
        <v>0.10000000000000853</v>
      </c>
      <c r="O220">
        <f t="shared" si="25"/>
        <v>-0.10000000000000853</v>
      </c>
      <c r="P220">
        <f t="shared" si="25"/>
        <v>-1.2000000000000028</v>
      </c>
      <c r="R220">
        <v>-1.5</v>
      </c>
      <c r="S220">
        <v>101.3</v>
      </c>
      <c r="T220">
        <v>0</v>
      </c>
      <c r="U220">
        <v>1</v>
      </c>
      <c r="V220">
        <v>-0.20000000000000284</v>
      </c>
      <c r="W220">
        <v>-0.40000000000000568</v>
      </c>
      <c r="X220">
        <v>-1.2999999999999972</v>
      </c>
      <c r="Y220">
        <v>1.6000000000000085</v>
      </c>
      <c r="Z220">
        <v>0.89999999999999147</v>
      </c>
      <c r="AA220">
        <v>0</v>
      </c>
      <c r="AB220">
        <v>-0.5</v>
      </c>
      <c r="AC220">
        <v>0.10000000000000853</v>
      </c>
      <c r="AD220">
        <v>-0.10000000000000853</v>
      </c>
      <c r="AE220">
        <v>-1.2000000000000028</v>
      </c>
    </row>
    <row r="221" spans="1:31" x14ac:dyDescent="0.3">
      <c r="A221" s="1">
        <v>41365</v>
      </c>
      <c r="B221">
        <v>100</v>
      </c>
      <c r="C221">
        <f t="shared" si="20"/>
        <v>0.20000000000000284</v>
      </c>
      <c r="D221">
        <f t="shared" si="21"/>
        <v>99.8</v>
      </c>
      <c r="E221">
        <f t="shared" si="22"/>
        <v>-1.5</v>
      </c>
      <c r="F221">
        <f t="shared" si="23"/>
        <v>0</v>
      </c>
      <c r="G221">
        <f t="shared" si="23"/>
        <v>1</v>
      </c>
      <c r="H221">
        <f t="shared" si="23"/>
        <v>-0.20000000000000284</v>
      </c>
      <c r="I221">
        <f t="shared" si="23"/>
        <v>-0.40000000000000568</v>
      </c>
      <c r="J221">
        <f t="shared" si="24"/>
        <v>-1.2999999999999972</v>
      </c>
      <c r="K221">
        <f t="shared" si="24"/>
        <v>1.6000000000000085</v>
      </c>
      <c r="L221">
        <f t="shared" si="24"/>
        <v>0.89999999999999147</v>
      </c>
      <c r="M221">
        <f t="shared" si="24"/>
        <v>0</v>
      </c>
      <c r="N221">
        <f t="shared" si="26"/>
        <v>-0.5</v>
      </c>
      <c r="O221">
        <f t="shared" si="25"/>
        <v>0.10000000000000853</v>
      </c>
      <c r="P221">
        <f t="shared" si="25"/>
        <v>-0.10000000000000853</v>
      </c>
      <c r="R221">
        <v>0.20000000000000284</v>
      </c>
      <c r="S221">
        <v>99.8</v>
      </c>
      <c r="T221">
        <v>-1.5</v>
      </c>
      <c r="U221">
        <v>0</v>
      </c>
      <c r="V221">
        <v>1</v>
      </c>
      <c r="W221">
        <v>-0.20000000000000284</v>
      </c>
      <c r="X221">
        <v>-0.40000000000000568</v>
      </c>
      <c r="Y221">
        <v>-1.2999999999999972</v>
      </c>
      <c r="Z221">
        <v>1.6000000000000085</v>
      </c>
      <c r="AA221">
        <v>0.89999999999999147</v>
      </c>
      <c r="AB221">
        <v>0</v>
      </c>
      <c r="AC221">
        <v>-0.5</v>
      </c>
      <c r="AD221">
        <v>0.10000000000000853</v>
      </c>
      <c r="AE221">
        <v>-0.10000000000000853</v>
      </c>
    </row>
    <row r="222" spans="1:31" x14ac:dyDescent="0.3">
      <c r="A222" s="1">
        <v>41395</v>
      </c>
      <c r="B222">
        <v>99.9</v>
      </c>
      <c r="C222">
        <f t="shared" si="20"/>
        <v>-9.9999999999994316E-2</v>
      </c>
      <c r="D222">
        <f t="shared" si="21"/>
        <v>100</v>
      </c>
      <c r="E222">
        <f t="shared" si="22"/>
        <v>0.20000000000000284</v>
      </c>
      <c r="F222">
        <f t="shared" si="23"/>
        <v>-1.5</v>
      </c>
      <c r="G222">
        <f t="shared" si="23"/>
        <v>0</v>
      </c>
      <c r="H222">
        <f t="shared" si="23"/>
        <v>1</v>
      </c>
      <c r="I222">
        <f t="shared" si="23"/>
        <v>-0.20000000000000284</v>
      </c>
      <c r="J222">
        <f t="shared" si="24"/>
        <v>-0.40000000000000568</v>
      </c>
      <c r="K222">
        <f t="shared" si="24"/>
        <v>-1.2999999999999972</v>
      </c>
      <c r="L222">
        <f t="shared" si="24"/>
        <v>1.6000000000000085</v>
      </c>
      <c r="M222">
        <f t="shared" si="24"/>
        <v>0.89999999999999147</v>
      </c>
      <c r="N222">
        <f t="shared" si="26"/>
        <v>0</v>
      </c>
      <c r="O222">
        <f t="shared" si="25"/>
        <v>-0.5</v>
      </c>
      <c r="P222">
        <f t="shared" si="25"/>
        <v>0.10000000000000853</v>
      </c>
      <c r="R222">
        <v>-9.9999999999994316E-2</v>
      </c>
      <c r="S222">
        <v>100</v>
      </c>
      <c r="T222">
        <v>0.20000000000000284</v>
      </c>
      <c r="U222">
        <v>-1.5</v>
      </c>
      <c r="V222">
        <v>0</v>
      </c>
      <c r="W222">
        <v>1</v>
      </c>
      <c r="X222">
        <v>-0.20000000000000284</v>
      </c>
      <c r="Y222">
        <v>-0.40000000000000568</v>
      </c>
      <c r="Z222">
        <v>-1.2999999999999972</v>
      </c>
      <c r="AA222">
        <v>1.6000000000000085</v>
      </c>
      <c r="AB222">
        <v>0.89999999999999147</v>
      </c>
      <c r="AC222">
        <v>0</v>
      </c>
      <c r="AD222">
        <v>-0.5</v>
      </c>
      <c r="AE222">
        <v>0.10000000000000853</v>
      </c>
    </row>
    <row r="223" spans="1:31" x14ac:dyDescent="0.3">
      <c r="A223" s="1">
        <v>41426</v>
      </c>
      <c r="B223">
        <v>100.1</v>
      </c>
      <c r="C223">
        <f t="shared" si="20"/>
        <v>0.19999999999998863</v>
      </c>
      <c r="D223">
        <f t="shared" si="21"/>
        <v>99.9</v>
      </c>
      <c r="E223">
        <f t="shared" si="22"/>
        <v>-9.9999999999994316E-2</v>
      </c>
      <c r="F223">
        <f t="shared" si="23"/>
        <v>0.20000000000000284</v>
      </c>
      <c r="G223">
        <f t="shared" si="23"/>
        <v>-1.5</v>
      </c>
      <c r="H223">
        <f t="shared" si="23"/>
        <v>0</v>
      </c>
      <c r="I223">
        <f t="shared" si="23"/>
        <v>1</v>
      </c>
      <c r="J223">
        <f t="shared" si="24"/>
        <v>-0.20000000000000284</v>
      </c>
      <c r="K223">
        <f t="shared" si="24"/>
        <v>-0.40000000000000568</v>
      </c>
      <c r="L223">
        <f t="shared" si="24"/>
        <v>-1.2999999999999972</v>
      </c>
      <c r="M223">
        <f t="shared" si="24"/>
        <v>1.6000000000000085</v>
      </c>
      <c r="N223">
        <f t="shared" si="26"/>
        <v>0.89999999999999147</v>
      </c>
      <c r="O223">
        <f t="shared" si="25"/>
        <v>0</v>
      </c>
      <c r="P223">
        <f t="shared" si="25"/>
        <v>-0.5</v>
      </c>
      <c r="R223">
        <v>0.19999999999998863</v>
      </c>
      <c r="S223">
        <v>99.9</v>
      </c>
      <c r="T223">
        <v>-9.9999999999994316E-2</v>
      </c>
      <c r="U223">
        <v>0.20000000000000284</v>
      </c>
      <c r="V223">
        <v>-1.5</v>
      </c>
      <c r="W223">
        <v>0</v>
      </c>
      <c r="X223">
        <v>1</v>
      </c>
      <c r="Y223">
        <v>-0.20000000000000284</v>
      </c>
      <c r="Z223">
        <v>-0.40000000000000568</v>
      </c>
      <c r="AA223">
        <v>-1.2999999999999972</v>
      </c>
      <c r="AB223">
        <v>1.6000000000000085</v>
      </c>
      <c r="AC223">
        <v>0.89999999999999147</v>
      </c>
      <c r="AD223">
        <v>0</v>
      </c>
      <c r="AE223">
        <v>-0.5</v>
      </c>
    </row>
    <row r="224" spans="1:31" x14ac:dyDescent="0.3">
      <c r="A224" s="1">
        <v>41456</v>
      </c>
      <c r="B224">
        <v>100.3</v>
      </c>
      <c r="C224">
        <f t="shared" si="20"/>
        <v>0.20000000000000284</v>
      </c>
      <c r="D224">
        <f t="shared" si="21"/>
        <v>100.1</v>
      </c>
      <c r="E224">
        <f t="shared" si="22"/>
        <v>0.19999999999998863</v>
      </c>
      <c r="F224">
        <f t="shared" si="23"/>
        <v>-9.9999999999994316E-2</v>
      </c>
      <c r="G224">
        <f t="shared" si="23"/>
        <v>0.20000000000000284</v>
      </c>
      <c r="H224">
        <f t="shared" si="23"/>
        <v>-1.5</v>
      </c>
      <c r="I224">
        <f t="shared" si="23"/>
        <v>0</v>
      </c>
      <c r="J224">
        <f t="shared" si="24"/>
        <v>1</v>
      </c>
      <c r="K224">
        <f t="shared" si="24"/>
        <v>-0.20000000000000284</v>
      </c>
      <c r="L224">
        <f t="shared" si="24"/>
        <v>-0.40000000000000568</v>
      </c>
      <c r="M224">
        <f t="shared" si="24"/>
        <v>-1.2999999999999972</v>
      </c>
      <c r="N224">
        <f t="shared" si="26"/>
        <v>1.6000000000000085</v>
      </c>
      <c r="O224">
        <f t="shared" si="25"/>
        <v>0.89999999999999147</v>
      </c>
      <c r="P224">
        <f t="shared" si="25"/>
        <v>0</v>
      </c>
      <c r="R224">
        <v>0.20000000000000284</v>
      </c>
      <c r="S224">
        <v>100.1</v>
      </c>
      <c r="T224">
        <v>0.19999999999998863</v>
      </c>
      <c r="U224">
        <v>-9.9999999999994316E-2</v>
      </c>
      <c r="V224">
        <v>0.20000000000000284</v>
      </c>
      <c r="W224">
        <v>-1.5</v>
      </c>
      <c r="X224">
        <v>0</v>
      </c>
      <c r="Y224">
        <v>1</v>
      </c>
      <c r="Z224">
        <v>-0.20000000000000284</v>
      </c>
      <c r="AA224">
        <v>-0.40000000000000568</v>
      </c>
      <c r="AB224">
        <v>-1.2999999999999972</v>
      </c>
      <c r="AC224">
        <v>1.6000000000000085</v>
      </c>
      <c r="AD224">
        <v>0.89999999999999147</v>
      </c>
      <c r="AE224">
        <v>0</v>
      </c>
    </row>
    <row r="225" spans="1:31" x14ac:dyDescent="0.3">
      <c r="A225" s="1">
        <v>41487</v>
      </c>
      <c r="B225">
        <v>100.8</v>
      </c>
      <c r="C225">
        <f t="shared" si="20"/>
        <v>0.5</v>
      </c>
      <c r="D225">
        <f t="shared" si="21"/>
        <v>100.3</v>
      </c>
      <c r="E225">
        <f t="shared" si="22"/>
        <v>0.20000000000000284</v>
      </c>
      <c r="F225">
        <f t="shared" si="23"/>
        <v>0.19999999999998863</v>
      </c>
      <c r="G225">
        <f t="shared" si="23"/>
        <v>-9.9999999999994316E-2</v>
      </c>
      <c r="H225">
        <f t="shared" si="23"/>
        <v>0.20000000000000284</v>
      </c>
      <c r="I225">
        <f t="shared" si="23"/>
        <v>-1.5</v>
      </c>
      <c r="J225">
        <f t="shared" si="24"/>
        <v>0</v>
      </c>
      <c r="K225">
        <f t="shared" si="24"/>
        <v>1</v>
      </c>
      <c r="L225">
        <f t="shared" si="24"/>
        <v>-0.20000000000000284</v>
      </c>
      <c r="M225">
        <f t="shared" si="24"/>
        <v>-0.40000000000000568</v>
      </c>
      <c r="N225">
        <f t="shared" si="26"/>
        <v>-1.2999999999999972</v>
      </c>
      <c r="O225">
        <f t="shared" si="25"/>
        <v>1.6000000000000085</v>
      </c>
      <c r="P225">
        <f t="shared" si="25"/>
        <v>0.89999999999999147</v>
      </c>
      <c r="R225">
        <v>0.5</v>
      </c>
      <c r="S225">
        <v>100.3</v>
      </c>
      <c r="T225">
        <v>0.20000000000000284</v>
      </c>
      <c r="U225">
        <v>0.19999999999998863</v>
      </c>
      <c r="V225">
        <v>-9.9999999999994316E-2</v>
      </c>
      <c r="W225">
        <v>0.20000000000000284</v>
      </c>
      <c r="X225">
        <v>-1.5</v>
      </c>
      <c r="Y225">
        <v>0</v>
      </c>
      <c r="Z225">
        <v>1</v>
      </c>
      <c r="AA225">
        <v>-0.20000000000000284</v>
      </c>
      <c r="AB225">
        <v>-0.40000000000000568</v>
      </c>
      <c r="AC225">
        <v>-1.2999999999999972</v>
      </c>
      <c r="AD225">
        <v>1.6000000000000085</v>
      </c>
      <c r="AE225">
        <v>0.89999999999999147</v>
      </c>
    </row>
    <row r="226" spans="1:31" x14ac:dyDescent="0.3">
      <c r="A226" s="1">
        <v>41518</v>
      </c>
      <c r="B226">
        <v>101.1</v>
      </c>
      <c r="C226">
        <f t="shared" si="20"/>
        <v>0.29999999999999716</v>
      </c>
      <c r="D226">
        <f t="shared" si="21"/>
        <v>100.8</v>
      </c>
      <c r="E226">
        <f t="shared" si="22"/>
        <v>0.5</v>
      </c>
      <c r="F226">
        <f t="shared" si="23"/>
        <v>0.20000000000000284</v>
      </c>
      <c r="G226">
        <f t="shared" si="23"/>
        <v>0.19999999999998863</v>
      </c>
      <c r="H226">
        <f t="shared" si="23"/>
        <v>-9.9999999999994316E-2</v>
      </c>
      <c r="I226">
        <f t="shared" si="23"/>
        <v>0.20000000000000284</v>
      </c>
      <c r="J226">
        <f t="shared" si="24"/>
        <v>-1.5</v>
      </c>
      <c r="K226">
        <f t="shared" si="24"/>
        <v>0</v>
      </c>
      <c r="L226">
        <f t="shared" si="24"/>
        <v>1</v>
      </c>
      <c r="M226">
        <f t="shared" si="24"/>
        <v>-0.20000000000000284</v>
      </c>
      <c r="N226">
        <f t="shared" si="26"/>
        <v>-0.40000000000000568</v>
      </c>
      <c r="O226">
        <f t="shared" si="25"/>
        <v>-1.2999999999999972</v>
      </c>
      <c r="P226">
        <f t="shared" si="25"/>
        <v>1.6000000000000085</v>
      </c>
      <c r="R226">
        <v>0.29999999999999716</v>
      </c>
      <c r="S226">
        <v>100.8</v>
      </c>
      <c r="T226">
        <v>0.5</v>
      </c>
      <c r="U226">
        <v>0.20000000000000284</v>
      </c>
      <c r="V226">
        <v>0.19999999999998863</v>
      </c>
      <c r="W226">
        <v>-9.9999999999994316E-2</v>
      </c>
      <c r="X226">
        <v>0.20000000000000284</v>
      </c>
      <c r="Y226">
        <v>-1.5</v>
      </c>
      <c r="Z226">
        <v>0</v>
      </c>
      <c r="AA226">
        <v>1</v>
      </c>
      <c r="AB226">
        <v>-0.20000000000000284</v>
      </c>
      <c r="AC226">
        <v>-0.40000000000000568</v>
      </c>
      <c r="AD226">
        <v>-1.2999999999999972</v>
      </c>
      <c r="AE226">
        <v>1.6000000000000085</v>
      </c>
    </row>
    <row r="227" spans="1:31" x14ac:dyDescent="0.3">
      <c r="A227" s="1">
        <v>41548</v>
      </c>
      <c r="B227">
        <v>100.5</v>
      </c>
      <c r="C227">
        <f t="shared" si="20"/>
        <v>-0.59999999999999432</v>
      </c>
      <c r="D227">
        <f t="shared" si="21"/>
        <v>101.1</v>
      </c>
      <c r="E227">
        <f t="shared" si="22"/>
        <v>0.29999999999999716</v>
      </c>
      <c r="F227">
        <f t="shared" si="23"/>
        <v>0.5</v>
      </c>
      <c r="G227">
        <f t="shared" si="23"/>
        <v>0.20000000000000284</v>
      </c>
      <c r="H227">
        <f t="shared" si="23"/>
        <v>0.19999999999998863</v>
      </c>
      <c r="I227">
        <f t="shared" si="23"/>
        <v>-9.9999999999994316E-2</v>
      </c>
      <c r="J227">
        <f t="shared" si="24"/>
        <v>0.20000000000000284</v>
      </c>
      <c r="K227">
        <f t="shared" si="24"/>
        <v>-1.5</v>
      </c>
      <c r="L227">
        <f t="shared" si="24"/>
        <v>0</v>
      </c>
      <c r="M227">
        <f t="shared" si="24"/>
        <v>1</v>
      </c>
      <c r="N227">
        <f t="shared" si="26"/>
        <v>-0.20000000000000284</v>
      </c>
      <c r="O227">
        <f t="shared" si="25"/>
        <v>-0.40000000000000568</v>
      </c>
      <c r="P227">
        <f t="shared" si="25"/>
        <v>-1.2999999999999972</v>
      </c>
      <c r="R227">
        <v>-0.59999999999999432</v>
      </c>
      <c r="S227">
        <v>101.1</v>
      </c>
      <c r="T227">
        <v>0.29999999999999716</v>
      </c>
      <c r="U227">
        <v>0.5</v>
      </c>
      <c r="V227">
        <v>0.20000000000000284</v>
      </c>
      <c r="W227">
        <v>0.19999999999998863</v>
      </c>
      <c r="X227">
        <v>-9.9999999999994316E-2</v>
      </c>
      <c r="Y227">
        <v>0.20000000000000284</v>
      </c>
      <c r="Z227">
        <v>-1.5</v>
      </c>
      <c r="AA227">
        <v>0</v>
      </c>
      <c r="AB227">
        <v>1</v>
      </c>
      <c r="AC227">
        <v>-0.20000000000000284</v>
      </c>
      <c r="AD227">
        <v>-0.40000000000000568</v>
      </c>
      <c r="AE227">
        <v>-1.2999999999999972</v>
      </c>
    </row>
    <row r="228" spans="1:31" x14ac:dyDescent="0.3">
      <c r="A228" s="1">
        <v>41579</v>
      </c>
      <c r="B228">
        <v>100.3</v>
      </c>
      <c r="C228">
        <f t="shared" si="20"/>
        <v>-0.20000000000000284</v>
      </c>
      <c r="D228">
        <f t="shared" si="21"/>
        <v>100.5</v>
      </c>
      <c r="E228">
        <f t="shared" si="22"/>
        <v>-0.59999999999999432</v>
      </c>
      <c r="F228">
        <f t="shared" si="23"/>
        <v>0.29999999999999716</v>
      </c>
      <c r="G228">
        <f t="shared" si="23"/>
        <v>0.5</v>
      </c>
      <c r="H228">
        <f t="shared" si="23"/>
        <v>0.20000000000000284</v>
      </c>
      <c r="I228">
        <f t="shared" si="23"/>
        <v>0.19999999999998863</v>
      </c>
      <c r="J228">
        <f t="shared" si="24"/>
        <v>-9.9999999999994316E-2</v>
      </c>
      <c r="K228">
        <f t="shared" si="24"/>
        <v>0.20000000000000284</v>
      </c>
      <c r="L228">
        <f t="shared" si="24"/>
        <v>-1.5</v>
      </c>
      <c r="M228">
        <f t="shared" si="24"/>
        <v>0</v>
      </c>
      <c r="N228">
        <f t="shared" si="26"/>
        <v>1</v>
      </c>
      <c r="O228">
        <f t="shared" si="25"/>
        <v>-0.20000000000000284</v>
      </c>
      <c r="P228">
        <f t="shared" si="25"/>
        <v>-0.40000000000000568</v>
      </c>
      <c r="R228">
        <v>-0.20000000000000284</v>
      </c>
      <c r="S228">
        <v>100.5</v>
      </c>
      <c r="T228">
        <v>-0.59999999999999432</v>
      </c>
      <c r="U228">
        <v>0.29999999999999716</v>
      </c>
      <c r="V228">
        <v>0.5</v>
      </c>
      <c r="W228">
        <v>0.20000000000000284</v>
      </c>
      <c r="X228">
        <v>0.19999999999998863</v>
      </c>
      <c r="Y228">
        <v>-9.9999999999994316E-2</v>
      </c>
      <c r="Z228">
        <v>0.20000000000000284</v>
      </c>
      <c r="AA228">
        <v>-1.5</v>
      </c>
      <c r="AB228">
        <v>0</v>
      </c>
      <c r="AC228">
        <v>1</v>
      </c>
      <c r="AD228">
        <v>-0.20000000000000284</v>
      </c>
      <c r="AE228">
        <v>-0.40000000000000568</v>
      </c>
    </row>
    <row r="229" spans="1:31" x14ac:dyDescent="0.3">
      <c r="A229" s="1">
        <v>41609</v>
      </c>
      <c r="B229">
        <v>100.5</v>
      </c>
      <c r="C229">
        <f t="shared" si="20"/>
        <v>0.20000000000000284</v>
      </c>
      <c r="D229">
        <f t="shared" si="21"/>
        <v>100.3</v>
      </c>
      <c r="E229">
        <f t="shared" si="22"/>
        <v>-0.20000000000000284</v>
      </c>
      <c r="F229">
        <f t="shared" si="23"/>
        <v>-0.59999999999999432</v>
      </c>
      <c r="G229">
        <f t="shared" si="23"/>
        <v>0.29999999999999716</v>
      </c>
      <c r="H229">
        <f t="shared" si="23"/>
        <v>0.5</v>
      </c>
      <c r="I229">
        <f t="shared" si="23"/>
        <v>0.20000000000000284</v>
      </c>
      <c r="J229">
        <f t="shared" si="24"/>
        <v>0.19999999999998863</v>
      </c>
      <c r="K229">
        <f t="shared" si="24"/>
        <v>-9.9999999999994316E-2</v>
      </c>
      <c r="L229">
        <f t="shared" si="24"/>
        <v>0.20000000000000284</v>
      </c>
      <c r="M229">
        <f t="shared" si="24"/>
        <v>-1.5</v>
      </c>
      <c r="N229">
        <f t="shared" si="26"/>
        <v>0</v>
      </c>
      <c r="O229">
        <f t="shared" si="25"/>
        <v>1</v>
      </c>
      <c r="P229">
        <f t="shared" si="25"/>
        <v>-0.20000000000000284</v>
      </c>
      <c r="R229">
        <v>0.20000000000000284</v>
      </c>
      <c r="S229">
        <v>100.3</v>
      </c>
      <c r="T229">
        <v>-0.20000000000000284</v>
      </c>
      <c r="U229">
        <v>-0.59999999999999432</v>
      </c>
      <c r="V229">
        <v>0.29999999999999716</v>
      </c>
      <c r="W229">
        <v>0.5</v>
      </c>
      <c r="X229">
        <v>0.20000000000000284</v>
      </c>
      <c r="Y229">
        <v>0.19999999999998863</v>
      </c>
      <c r="Z229">
        <v>-9.9999999999994316E-2</v>
      </c>
      <c r="AA229">
        <v>0.20000000000000284</v>
      </c>
      <c r="AB229">
        <v>-1.5</v>
      </c>
      <c r="AC229">
        <v>0</v>
      </c>
      <c r="AD229">
        <v>1</v>
      </c>
      <c r="AE229">
        <v>-0.20000000000000284</v>
      </c>
    </row>
    <row r="230" spans="1:31" x14ac:dyDescent="0.3">
      <c r="A230" s="1">
        <v>41640</v>
      </c>
      <c r="B230">
        <v>100.7</v>
      </c>
      <c r="C230">
        <f t="shared" si="20"/>
        <v>0.20000000000000284</v>
      </c>
      <c r="D230">
        <f t="shared" si="21"/>
        <v>100.5</v>
      </c>
      <c r="E230">
        <f t="shared" si="22"/>
        <v>0.20000000000000284</v>
      </c>
      <c r="F230">
        <f t="shared" si="23"/>
        <v>-0.20000000000000284</v>
      </c>
      <c r="G230">
        <f t="shared" si="23"/>
        <v>-0.59999999999999432</v>
      </c>
      <c r="H230">
        <f t="shared" si="23"/>
        <v>0.29999999999999716</v>
      </c>
      <c r="I230">
        <f t="shared" si="23"/>
        <v>0.5</v>
      </c>
      <c r="J230">
        <f t="shared" si="24"/>
        <v>0.20000000000000284</v>
      </c>
      <c r="K230">
        <f t="shared" si="24"/>
        <v>0.19999999999998863</v>
      </c>
      <c r="L230">
        <f t="shared" si="24"/>
        <v>-9.9999999999994316E-2</v>
      </c>
      <c r="M230">
        <f t="shared" si="24"/>
        <v>0.20000000000000284</v>
      </c>
      <c r="N230">
        <f t="shared" si="26"/>
        <v>-1.5</v>
      </c>
      <c r="O230">
        <f t="shared" si="25"/>
        <v>0</v>
      </c>
      <c r="P230">
        <f t="shared" si="25"/>
        <v>1</v>
      </c>
      <c r="R230">
        <v>0.20000000000000284</v>
      </c>
      <c r="S230">
        <v>100.5</v>
      </c>
      <c r="T230">
        <v>0.20000000000000284</v>
      </c>
      <c r="U230">
        <v>-0.20000000000000284</v>
      </c>
      <c r="V230">
        <v>-0.59999999999999432</v>
      </c>
      <c r="W230">
        <v>0.29999999999999716</v>
      </c>
      <c r="X230">
        <v>0.5</v>
      </c>
      <c r="Y230">
        <v>0.20000000000000284</v>
      </c>
      <c r="Z230">
        <v>0.19999999999998863</v>
      </c>
      <c r="AA230">
        <v>-9.9999999999994316E-2</v>
      </c>
      <c r="AB230">
        <v>0.20000000000000284</v>
      </c>
      <c r="AC230">
        <v>-1.5</v>
      </c>
      <c r="AD230">
        <v>0</v>
      </c>
      <c r="AE230">
        <v>1</v>
      </c>
    </row>
    <row r="231" spans="1:31" x14ac:dyDescent="0.3">
      <c r="A231" s="1">
        <v>41671</v>
      </c>
      <c r="B231">
        <v>100.6</v>
      </c>
      <c r="C231">
        <f t="shared" si="20"/>
        <v>-0.10000000000000853</v>
      </c>
      <c r="D231">
        <f t="shared" si="21"/>
        <v>100.7</v>
      </c>
      <c r="E231">
        <f t="shared" si="22"/>
        <v>0.20000000000000284</v>
      </c>
      <c r="F231">
        <f t="shared" si="23"/>
        <v>0.20000000000000284</v>
      </c>
      <c r="G231">
        <f t="shared" si="23"/>
        <v>-0.20000000000000284</v>
      </c>
      <c r="H231">
        <f t="shared" si="23"/>
        <v>-0.59999999999999432</v>
      </c>
      <c r="I231">
        <f t="shared" si="23"/>
        <v>0.29999999999999716</v>
      </c>
      <c r="J231">
        <f t="shared" si="24"/>
        <v>0.5</v>
      </c>
      <c r="K231">
        <f t="shared" si="24"/>
        <v>0.20000000000000284</v>
      </c>
      <c r="L231">
        <f t="shared" si="24"/>
        <v>0.19999999999998863</v>
      </c>
      <c r="M231">
        <f t="shared" si="24"/>
        <v>-9.9999999999994316E-2</v>
      </c>
      <c r="N231">
        <f t="shared" si="26"/>
        <v>0.20000000000000284</v>
      </c>
      <c r="O231">
        <f t="shared" si="25"/>
        <v>-1.5</v>
      </c>
      <c r="P231">
        <f t="shared" si="25"/>
        <v>0</v>
      </c>
      <c r="R231">
        <v>-0.10000000000000853</v>
      </c>
      <c r="S231">
        <v>100.7</v>
      </c>
      <c r="T231">
        <v>0.20000000000000284</v>
      </c>
      <c r="U231">
        <v>0.20000000000000284</v>
      </c>
      <c r="V231">
        <v>-0.20000000000000284</v>
      </c>
      <c r="W231">
        <v>-0.59999999999999432</v>
      </c>
      <c r="X231">
        <v>0.29999999999999716</v>
      </c>
      <c r="Y231">
        <v>0.5</v>
      </c>
      <c r="Z231">
        <v>0.20000000000000284</v>
      </c>
      <c r="AA231">
        <v>0.19999999999998863</v>
      </c>
      <c r="AB231">
        <v>-9.9999999999994316E-2</v>
      </c>
      <c r="AC231">
        <v>0.20000000000000284</v>
      </c>
      <c r="AD231">
        <v>-1.5</v>
      </c>
      <c r="AE231">
        <v>0</v>
      </c>
    </row>
    <row r="232" spans="1:31" x14ac:dyDescent="0.3">
      <c r="A232" s="1">
        <v>41699</v>
      </c>
      <c r="B232">
        <v>99.6</v>
      </c>
      <c r="C232">
        <f t="shared" si="20"/>
        <v>-1</v>
      </c>
      <c r="D232">
        <f t="shared" si="21"/>
        <v>100.6</v>
      </c>
      <c r="E232">
        <f t="shared" si="22"/>
        <v>-0.10000000000000853</v>
      </c>
      <c r="F232">
        <f t="shared" si="23"/>
        <v>0.20000000000000284</v>
      </c>
      <c r="G232">
        <f t="shared" si="23"/>
        <v>0.20000000000000284</v>
      </c>
      <c r="H232">
        <f t="shared" si="23"/>
        <v>-0.20000000000000284</v>
      </c>
      <c r="I232">
        <f t="shared" si="23"/>
        <v>-0.59999999999999432</v>
      </c>
      <c r="J232">
        <f t="shared" si="24"/>
        <v>0.29999999999999716</v>
      </c>
      <c r="K232">
        <f t="shared" si="24"/>
        <v>0.5</v>
      </c>
      <c r="L232">
        <f t="shared" si="24"/>
        <v>0.20000000000000284</v>
      </c>
      <c r="M232">
        <f t="shared" si="24"/>
        <v>0.19999999999998863</v>
      </c>
      <c r="N232">
        <f t="shared" si="26"/>
        <v>-9.9999999999994316E-2</v>
      </c>
      <c r="O232">
        <f t="shared" si="25"/>
        <v>0.20000000000000284</v>
      </c>
      <c r="P232">
        <f t="shared" si="25"/>
        <v>-1.5</v>
      </c>
      <c r="R232">
        <v>-1</v>
      </c>
      <c r="S232">
        <v>100.6</v>
      </c>
      <c r="T232">
        <v>-0.10000000000000853</v>
      </c>
      <c r="U232">
        <v>0.20000000000000284</v>
      </c>
      <c r="V232">
        <v>0.20000000000000284</v>
      </c>
      <c r="W232">
        <v>-0.20000000000000284</v>
      </c>
      <c r="X232">
        <v>-0.59999999999999432</v>
      </c>
      <c r="Y232">
        <v>0.29999999999999716</v>
      </c>
      <c r="Z232">
        <v>0.5</v>
      </c>
      <c r="AA232">
        <v>0.20000000000000284</v>
      </c>
      <c r="AB232">
        <v>0.19999999999998863</v>
      </c>
      <c r="AC232">
        <v>-9.9999999999994316E-2</v>
      </c>
      <c r="AD232">
        <v>0.20000000000000284</v>
      </c>
      <c r="AE232">
        <v>-1.5</v>
      </c>
    </row>
    <row r="233" spans="1:31" x14ac:dyDescent="0.3">
      <c r="A233" s="1">
        <v>41730</v>
      </c>
      <c r="B233">
        <v>100.1</v>
      </c>
      <c r="C233">
        <f t="shared" si="20"/>
        <v>0.5</v>
      </c>
      <c r="D233">
        <f t="shared" si="21"/>
        <v>99.6</v>
      </c>
      <c r="E233">
        <f t="shared" si="22"/>
        <v>-1</v>
      </c>
      <c r="F233">
        <f t="shared" si="23"/>
        <v>-0.10000000000000853</v>
      </c>
      <c r="G233">
        <f t="shared" si="23"/>
        <v>0.20000000000000284</v>
      </c>
      <c r="H233">
        <f t="shared" si="23"/>
        <v>0.20000000000000284</v>
      </c>
      <c r="I233">
        <f t="shared" si="23"/>
        <v>-0.20000000000000284</v>
      </c>
      <c r="J233">
        <f t="shared" si="24"/>
        <v>-0.59999999999999432</v>
      </c>
      <c r="K233">
        <f t="shared" si="24"/>
        <v>0.29999999999999716</v>
      </c>
      <c r="L233">
        <f t="shared" si="24"/>
        <v>0.5</v>
      </c>
      <c r="M233">
        <f t="shared" si="24"/>
        <v>0.20000000000000284</v>
      </c>
      <c r="N233">
        <f t="shared" si="26"/>
        <v>0.19999999999998863</v>
      </c>
      <c r="O233">
        <f t="shared" si="25"/>
        <v>-9.9999999999994316E-2</v>
      </c>
      <c r="P233">
        <f t="shared" si="25"/>
        <v>0.20000000000000284</v>
      </c>
      <c r="R233">
        <v>0.5</v>
      </c>
      <c r="S233">
        <v>99.6</v>
      </c>
      <c r="T233">
        <v>-1</v>
      </c>
      <c r="U233">
        <v>-0.10000000000000853</v>
      </c>
      <c r="V233">
        <v>0.20000000000000284</v>
      </c>
      <c r="W233">
        <v>0.20000000000000284</v>
      </c>
      <c r="X233">
        <v>-0.20000000000000284</v>
      </c>
      <c r="Y233">
        <v>-0.59999999999999432</v>
      </c>
      <c r="Z233">
        <v>0.29999999999999716</v>
      </c>
      <c r="AA233">
        <v>0.5</v>
      </c>
      <c r="AB233">
        <v>0.20000000000000284</v>
      </c>
      <c r="AC233">
        <v>0.19999999999998863</v>
      </c>
      <c r="AD233">
        <v>-9.9999999999994316E-2</v>
      </c>
      <c r="AE233">
        <v>0.20000000000000284</v>
      </c>
    </row>
    <row r="234" spans="1:31" x14ac:dyDescent="0.3">
      <c r="A234" s="1">
        <v>41760</v>
      </c>
      <c r="B234">
        <v>100.2</v>
      </c>
      <c r="C234">
        <f t="shared" si="20"/>
        <v>0.10000000000000853</v>
      </c>
      <c r="D234">
        <f t="shared" si="21"/>
        <v>100.1</v>
      </c>
      <c r="E234">
        <f t="shared" si="22"/>
        <v>0.5</v>
      </c>
      <c r="F234">
        <f t="shared" si="23"/>
        <v>-1</v>
      </c>
      <c r="G234">
        <f t="shared" si="23"/>
        <v>-0.10000000000000853</v>
      </c>
      <c r="H234">
        <f t="shared" si="23"/>
        <v>0.20000000000000284</v>
      </c>
      <c r="I234">
        <f t="shared" si="23"/>
        <v>0.20000000000000284</v>
      </c>
      <c r="J234">
        <f t="shared" si="24"/>
        <v>-0.20000000000000284</v>
      </c>
      <c r="K234">
        <f t="shared" si="24"/>
        <v>-0.59999999999999432</v>
      </c>
      <c r="L234">
        <f t="shared" si="24"/>
        <v>0.29999999999999716</v>
      </c>
      <c r="M234">
        <f t="shared" si="24"/>
        <v>0.5</v>
      </c>
      <c r="N234">
        <f t="shared" si="26"/>
        <v>0.20000000000000284</v>
      </c>
      <c r="O234">
        <f t="shared" si="25"/>
        <v>0.19999999999998863</v>
      </c>
      <c r="P234">
        <f t="shared" si="25"/>
        <v>-9.9999999999994316E-2</v>
      </c>
      <c r="R234">
        <v>0.10000000000000853</v>
      </c>
      <c r="S234">
        <v>100.1</v>
      </c>
      <c r="T234">
        <v>0.5</v>
      </c>
      <c r="U234">
        <v>-1</v>
      </c>
      <c r="V234">
        <v>-0.10000000000000853</v>
      </c>
      <c r="W234">
        <v>0.20000000000000284</v>
      </c>
      <c r="X234">
        <v>0.20000000000000284</v>
      </c>
      <c r="Y234">
        <v>-0.20000000000000284</v>
      </c>
      <c r="Z234">
        <v>-0.59999999999999432</v>
      </c>
      <c r="AA234">
        <v>0.29999999999999716</v>
      </c>
      <c r="AB234">
        <v>0.5</v>
      </c>
      <c r="AC234">
        <v>0.20000000000000284</v>
      </c>
      <c r="AD234">
        <v>0.19999999999998863</v>
      </c>
      <c r="AE234">
        <v>-9.9999999999994316E-2</v>
      </c>
    </row>
    <row r="235" spans="1:31" x14ac:dyDescent="0.3">
      <c r="A235" s="1">
        <v>41791</v>
      </c>
      <c r="B235">
        <v>100.3</v>
      </c>
      <c r="C235">
        <f t="shared" si="20"/>
        <v>9.9999999999994316E-2</v>
      </c>
      <c r="D235">
        <f t="shared" si="21"/>
        <v>100.2</v>
      </c>
      <c r="E235">
        <f t="shared" si="22"/>
        <v>0.10000000000000853</v>
      </c>
      <c r="F235">
        <f t="shared" si="23"/>
        <v>0.5</v>
      </c>
      <c r="G235">
        <f t="shared" si="23"/>
        <v>-1</v>
      </c>
      <c r="H235">
        <f t="shared" si="23"/>
        <v>-0.10000000000000853</v>
      </c>
      <c r="I235">
        <f t="shared" si="23"/>
        <v>0.20000000000000284</v>
      </c>
      <c r="J235">
        <f t="shared" si="24"/>
        <v>0.20000000000000284</v>
      </c>
      <c r="K235">
        <f t="shared" si="24"/>
        <v>-0.20000000000000284</v>
      </c>
      <c r="L235">
        <f t="shared" si="24"/>
        <v>-0.59999999999999432</v>
      </c>
      <c r="M235">
        <f t="shared" si="24"/>
        <v>0.29999999999999716</v>
      </c>
      <c r="N235">
        <f t="shared" si="26"/>
        <v>0.5</v>
      </c>
      <c r="O235">
        <f t="shared" si="25"/>
        <v>0.20000000000000284</v>
      </c>
      <c r="P235">
        <f t="shared" si="25"/>
        <v>0.19999999999998863</v>
      </c>
      <c r="R235">
        <v>9.9999999999994316E-2</v>
      </c>
      <c r="S235">
        <v>100.2</v>
      </c>
      <c r="T235">
        <v>0.10000000000000853</v>
      </c>
      <c r="U235">
        <v>0.5</v>
      </c>
      <c r="V235">
        <v>-1</v>
      </c>
      <c r="W235">
        <v>-0.10000000000000853</v>
      </c>
      <c r="X235">
        <v>0.20000000000000284</v>
      </c>
      <c r="Y235">
        <v>0.20000000000000284</v>
      </c>
      <c r="Z235">
        <v>-0.20000000000000284</v>
      </c>
      <c r="AA235">
        <v>-0.59999999999999432</v>
      </c>
      <c r="AB235">
        <v>0.29999999999999716</v>
      </c>
      <c r="AC235">
        <v>0.5</v>
      </c>
      <c r="AD235">
        <v>0.20000000000000284</v>
      </c>
      <c r="AE235">
        <v>0.19999999999998863</v>
      </c>
    </row>
    <row r="236" spans="1:31" x14ac:dyDescent="0.3">
      <c r="A236" s="1">
        <v>41821</v>
      </c>
      <c r="B236">
        <v>100.2</v>
      </c>
      <c r="C236">
        <f t="shared" si="20"/>
        <v>-9.9999999999994316E-2</v>
      </c>
      <c r="D236">
        <f t="shared" si="21"/>
        <v>100.3</v>
      </c>
      <c r="E236">
        <f t="shared" si="22"/>
        <v>9.9999999999994316E-2</v>
      </c>
      <c r="F236">
        <f t="shared" si="23"/>
        <v>0.10000000000000853</v>
      </c>
      <c r="G236">
        <f t="shared" si="23"/>
        <v>0.5</v>
      </c>
      <c r="H236">
        <f t="shared" si="23"/>
        <v>-1</v>
      </c>
      <c r="I236">
        <f t="shared" si="23"/>
        <v>-0.10000000000000853</v>
      </c>
      <c r="J236">
        <f t="shared" si="24"/>
        <v>0.20000000000000284</v>
      </c>
      <c r="K236">
        <f t="shared" si="24"/>
        <v>0.20000000000000284</v>
      </c>
      <c r="L236">
        <f t="shared" si="24"/>
        <v>-0.20000000000000284</v>
      </c>
      <c r="M236">
        <f t="shared" si="24"/>
        <v>-0.59999999999999432</v>
      </c>
      <c r="N236">
        <f t="shared" si="26"/>
        <v>0.29999999999999716</v>
      </c>
      <c r="O236">
        <f t="shared" si="25"/>
        <v>0.5</v>
      </c>
      <c r="P236">
        <f t="shared" si="25"/>
        <v>0.20000000000000284</v>
      </c>
      <c r="R236">
        <v>-9.9999999999994316E-2</v>
      </c>
      <c r="S236">
        <v>100.3</v>
      </c>
      <c r="T236">
        <v>9.9999999999994316E-2</v>
      </c>
      <c r="U236">
        <v>0.10000000000000853</v>
      </c>
      <c r="V236">
        <v>0.5</v>
      </c>
      <c r="W236">
        <v>-1</v>
      </c>
      <c r="X236">
        <v>-0.10000000000000853</v>
      </c>
      <c r="Y236">
        <v>0.20000000000000284</v>
      </c>
      <c r="Z236">
        <v>0.20000000000000284</v>
      </c>
      <c r="AA236">
        <v>-0.20000000000000284</v>
      </c>
      <c r="AB236">
        <v>-0.59999999999999432</v>
      </c>
      <c r="AC236">
        <v>0.29999999999999716</v>
      </c>
      <c r="AD236">
        <v>0.5</v>
      </c>
      <c r="AE236">
        <v>0.20000000000000284</v>
      </c>
    </row>
    <row r="237" spans="1:31" x14ac:dyDescent="0.3">
      <c r="A237" s="1">
        <v>41852</v>
      </c>
      <c r="B237">
        <v>100.2</v>
      </c>
      <c r="C237">
        <f t="shared" si="20"/>
        <v>0</v>
      </c>
      <c r="D237">
        <f t="shared" si="21"/>
        <v>100.2</v>
      </c>
      <c r="E237">
        <f t="shared" si="22"/>
        <v>-9.9999999999994316E-2</v>
      </c>
      <c r="F237">
        <f t="shared" si="23"/>
        <v>9.9999999999994316E-2</v>
      </c>
      <c r="G237">
        <f t="shared" si="23"/>
        <v>0.10000000000000853</v>
      </c>
      <c r="H237">
        <f t="shared" si="23"/>
        <v>0.5</v>
      </c>
      <c r="I237">
        <f t="shared" si="23"/>
        <v>-1</v>
      </c>
      <c r="J237">
        <f t="shared" si="24"/>
        <v>-0.10000000000000853</v>
      </c>
      <c r="K237">
        <f t="shared" si="24"/>
        <v>0.20000000000000284</v>
      </c>
      <c r="L237">
        <f t="shared" si="24"/>
        <v>0.20000000000000284</v>
      </c>
      <c r="M237">
        <f t="shared" si="24"/>
        <v>-0.20000000000000284</v>
      </c>
      <c r="N237">
        <f t="shared" si="26"/>
        <v>-0.59999999999999432</v>
      </c>
      <c r="O237">
        <f t="shared" si="25"/>
        <v>0.29999999999999716</v>
      </c>
      <c r="P237">
        <f t="shared" si="25"/>
        <v>0.5</v>
      </c>
      <c r="R237">
        <v>0</v>
      </c>
      <c r="S237">
        <v>100.2</v>
      </c>
      <c r="T237">
        <v>-9.9999999999994316E-2</v>
      </c>
      <c r="U237">
        <v>9.9999999999994316E-2</v>
      </c>
      <c r="V237">
        <v>0.10000000000000853</v>
      </c>
      <c r="W237">
        <v>0.5</v>
      </c>
      <c r="X237">
        <v>-1</v>
      </c>
      <c r="Y237">
        <v>-0.10000000000000853</v>
      </c>
      <c r="Z237">
        <v>0.20000000000000284</v>
      </c>
      <c r="AA237">
        <v>0.20000000000000284</v>
      </c>
      <c r="AB237">
        <v>-0.20000000000000284</v>
      </c>
      <c r="AC237">
        <v>-0.59999999999999432</v>
      </c>
      <c r="AD237">
        <v>0.29999999999999716</v>
      </c>
      <c r="AE237">
        <v>0.5</v>
      </c>
    </row>
    <row r="238" spans="1:31" x14ac:dyDescent="0.3">
      <c r="A238" s="1">
        <v>41883</v>
      </c>
      <c r="B238">
        <v>100.4</v>
      </c>
      <c r="C238">
        <f t="shared" si="20"/>
        <v>0.20000000000000284</v>
      </c>
      <c r="D238">
        <f t="shared" si="21"/>
        <v>100.2</v>
      </c>
      <c r="E238">
        <f t="shared" si="22"/>
        <v>0</v>
      </c>
      <c r="F238">
        <f t="shared" si="23"/>
        <v>-9.9999999999994316E-2</v>
      </c>
      <c r="G238">
        <f t="shared" si="23"/>
        <v>9.9999999999994316E-2</v>
      </c>
      <c r="H238">
        <f t="shared" si="23"/>
        <v>0.10000000000000853</v>
      </c>
      <c r="I238">
        <f t="shared" si="23"/>
        <v>0.5</v>
      </c>
      <c r="J238">
        <f t="shared" si="24"/>
        <v>-1</v>
      </c>
      <c r="K238">
        <f t="shared" si="24"/>
        <v>-0.10000000000000853</v>
      </c>
      <c r="L238">
        <f t="shared" si="24"/>
        <v>0.20000000000000284</v>
      </c>
      <c r="M238">
        <f t="shared" si="24"/>
        <v>0.20000000000000284</v>
      </c>
      <c r="N238">
        <f t="shared" si="26"/>
        <v>-0.20000000000000284</v>
      </c>
      <c r="O238">
        <f t="shared" si="25"/>
        <v>-0.59999999999999432</v>
      </c>
      <c r="P238">
        <f t="shared" si="25"/>
        <v>0.29999999999999716</v>
      </c>
      <c r="R238">
        <v>0.20000000000000284</v>
      </c>
      <c r="S238">
        <v>100.2</v>
      </c>
      <c r="T238">
        <v>0</v>
      </c>
      <c r="U238">
        <v>-9.9999999999994316E-2</v>
      </c>
      <c r="V238">
        <v>9.9999999999994316E-2</v>
      </c>
      <c r="W238">
        <v>0.10000000000000853</v>
      </c>
      <c r="X238">
        <v>0.5</v>
      </c>
      <c r="Y238">
        <v>-1</v>
      </c>
      <c r="Z238">
        <v>-0.10000000000000853</v>
      </c>
      <c r="AA238">
        <v>0.20000000000000284</v>
      </c>
      <c r="AB238">
        <v>0.20000000000000284</v>
      </c>
      <c r="AC238">
        <v>-0.20000000000000284</v>
      </c>
      <c r="AD238">
        <v>-0.59999999999999432</v>
      </c>
      <c r="AE238">
        <v>0.29999999999999716</v>
      </c>
    </row>
    <row r="239" spans="1:31" x14ac:dyDescent="0.3">
      <c r="A239" s="1">
        <v>41913</v>
      </c>
      <c r="B239">
        <v>100.1</v>
      </c>
      <c r="C239">
        <f t="shared" si="20"/>
        <v>-0.30000000000001137</v>
      </c>
      <c r="D239">
        <f t="shared" si="21"/>
        <v>100.4</v>
      </c>
      <c r="E239">
        <f t="shared" si="22"/>
        <v>0.20000000000000284</v>
      </c>
      <c r="F239">
        <f t="shared" si="23"/>
        <v>0</v>
      </c>
      <c r="G239">
        <f t="shared" si="23"/>
        <v>-9.9999999999994316E-2</v>
      </c>
      <c r="H239">
        <f t="shared" si="23"/>
        <v>9.9999999999994316E-2</v>
      </c>
      <c r="I239">
        <f t="shared" si="23"/>
        <v>0.10000000000000853</v>
      </c>
      <c r="J239">
        <f t="shared" si="24"/>
        <v>0.5</v>
      </c>
      <c r="K239">
        <f t="shared" si="24"/>
        <v>-1</v>
      </c>
      <c r="L239">
        <f t="shared" si="24"/>
        <v>-0.10000000000000853</v>
      </c>
      <c r="M239">
        <f t="shared" si="24"/>
        <v>0.20000000000000284</v>
      </c>
      <c r="N239">
        <f t="shared" si="26"/>
        <v>0.20000000000000284</v>
      </c>
      <c r="O239">
        <f t="shared" si="25"/>
        <v>-0.20000000000000284</v>
      </c>
      <c r="P239">
        <f t="shared" si="25"/>
        <v>-0.59999999999999432</v>
      </c>
      <c r="R239">
        <v>-0.30000000000001137</v>
      </c>
      <c r="S239">
        <v>100.4</v>
      </c>
      <c r="T239">
        <v>0.20000000000000284</v>
      </c>
      <c r="U239">
        <v>0</v>
      </c>
      <c r="V239">
        <v>-9.9999999999994316E-2</v>
      </c>
      <c r="W239">
        <v>9.9999999999994316E-2</v>
      </c>
      <c r="X239">
        <v>0.10000000000000853</v>
      </c>
      <c r="Y239">
        <v>0.5</v>
      </c>
      <c r="Z239">
        <v>-1</v>
      </c>
      <c r="AA239">
        <v>-0.10000000000000853</v>
      </c>
      <c r="AB239">
        <v>0.20000000000000284</v>
      </c>
      <c r="AC239">
        <v>0.20000000000000284</v>
      </c>
      <c r="AD239">
        <v>-0.20000000000000284</v>
      </c>
      <c r="AE239">
        <v>-0.59999999999999432</v>
      </c>
    </row>
    <row r="240" spans="1:31" x14ac:dyDescent="0.3">
      <c r="A240" s="1">
        <v>41944</v>
      </c>
      <c r="B240">
        <v>99.7</v>
      </c>
      <c r="C240">
        <f t="shared" si="20"/>
        <v>-0.39999999999999147</v>
      </c>
      <c r="D240">
        <f t="shared" si="21"/>
        <v>100.1</v>
      </c>
      <c r="E240">
        <f t="shared" si="22"/>
        <v>-0.30000000000001137</v>
      </c>
      <c r="F240">
        <f t="shared" si="23"/>
        <v>0.20000000000000284</v>
      </c>
      <c r="G240">
        <f t="shared" si="23"/>
        <v>0</v>
      </c>
      <c r="H240">
        <f t="shared" si="23"/>
        <v>-9.9999999999994316E-2</v>
      </c>
      <c r="I240">
        <f t="shared" si="23"/>
        <v>9.9999999999994316E-2</v>
      </c>
      <c r="J240">
        <f t="shared" si="24"/>
        <v>0.10000000000000853</v>
      </c>
      <c r="K240">
        <f t="shared" si="24"/>
        <v>0.5</v>
      </c>
      <c r="L240">
        <f t="shared" si="24"/>
        <v>-1</v>
      </c>
      <c r="M240">
        <f t="shared" si="24"/>
        <v>-0.10000000000000853</v>
      </c>
      <c r="N240">
        <f t="shared" si="26"/>
        <v>0.20000000000000284</v>
      </c>
      <c r="O240">
        <f t="shared" si="25"/>
        <v>0.20000000000000284</v>
      </c>
      <c r="P240">
        <f t="shared" si="25"/>
        <v>-0.20000000000000284</v>
      </c>
      <c r="R240">
        <v>-0.39999999999999147</v>
      </c>
      <c r="S240">
        <v>100.1</v>
      </c>
      <c r="T240">
        <v>-0.30000000000001137</v>
      </c>
      <c r="U240">
        <v>0.20000000000000284</v>
      </c>
      <c r="V240">
        <v>0</v>
      </c>
      <c r="W240">
        <v>-9.9999999999994316E-2</v>
      </c>
      <c r="X240">
        <v>9.9999999999994316E-2</v>
      </c>
      <c r="Y240">
        <v>0.10000000000000853</v>
      </c>
      <c r="Z240">
        <v>0.5</v>
      </c>
      <c r="AA240">
        <v>-1</v>
      </c>
      <c r="AB240">
        <v>-0.10000000000000853</v>
      </c>
      <c r="AC240">
        <v>0.20000000000000284</v>
      </c>
      <c r="AD240">
        <v>0.20000000000000284</v>
      </c>
      <c r="AE240">
        <v>-0.20000000000000284</v>
      </c>
    </row>
    <row r="241" spans="1:31" x14ac:dyDescent="0.3">
      <c r="A241" s="1">
        <v>41974</v>
      </c>
      <c r="B241">
        <v>99.8</v>
      </c>
      <c r="C241">
        <f t="shared" si="20"/>
        <v>9.9999999999994316E-2</v>
      </c>
      <c r="D241">
        <f t="shared" si="21"/>
        <v>99.7</v>
      </c>
      <c r="E241">
        <f t="shared" si="22"/>
        <v>-0.39999999999999147</v>
      </c>
      <c r="F241">
        <f t="shared" si="23"/>
        <v>-0.30000000000001137</v>
      </c>
      <c r="G241">
        <f t="shared" si="23"/>
        <v>0.20000000000000284</v>
      </c>
      <c r="H241">
        <f t="shared" si="23"/>
        <v>0</v>
      </c>
      <c r="I241">
        <f t="shared" si="23"/>
        <v>-9.9999999999994316E-2</v>
      </c>
      <c r="J241">
        <f t="shared" si="24"/>
        <v>9.9999999999994316E-2</v>
      </c>
      <c r="K241">
        <f t="shared" si="24"/>
        <v>0.10000000000000853</v>
      </c>
      <c r="L241">
        <f t="shared" si="24"/>
        <v>0.5</v>
      </c>
      <c r="M241">
        <f t="shared" si="24"/>
        <v>-1</v>
      </c>
      <c r="N241">
        <f t="shared" si="26"/>
        <v>-0.10000000000000853</v>
      </c>
      <c r="O241">
        <f t="shared" si="25"/>
        <v>0.20000000000000284</v>
      </c>
      <c r="P241">
        <f t="shared" si="25"/>
        <v>0.20000000000000284</v>
      </c>
      <c r="R241">
        <v>9.9999999999994316E-2</v>
      </c>
      <c r="S241">
        <v>99.7</v>
      </c>
      <c r="T241">
        <v>-0.39999999999999147</v>
      </c>
      <c r="U241">
        <v>-0.30000000000001137</v>
      </c>
      <c r="V241">
        <v>0.20000000000000284</v>
      </c>
      <c r="W241">
        <v>0</v>
      </c>
      <c r="X241">
        <v>-9.9999999999994316E-2</v>
      </c>
      <c r="Y241">
        <v>9.9999999999994316E-2</v>
      </c>
      <c r="Z241">
        <v>0.10000000000000853</v>
      </c>
      <c r="AA241">
        <v>0.5</v>
      </c>
      <c r="AB241">
        <v>-1</v>
      </c>
      <c r="AC241">
        <v>-0.10000000000000853</v>
      </c>
      <c r="AD241">
        <v>0.20000000000000284</v>
      </c>
      <c r="AE241">
        <v>0.20000000000000284</v>
      </c>
    </row>
    <row r="242" spans="1:31" x14ac:dyDescent="0.3">
      <c r="A242" s="1">
        <v>42005</v>
      </c>
      <c r="B242">
        <v>99.8</v>
      </c>
      <c r="C242">
        <f t="shared" si="20"/>
        <v>0</v>
      </c>
      <c r="D242">
        <f t="shared" si="21"/>
        <v>99.8</v>
      </c>
      <c r="E242">
        <f t="shared" si="22"/>
        <v>9.9999999999994316E-2</v>
      </c>
      <c r="F242">
        <f t="shared" si="23"/>
        <v>-0.39999999999999147</v>
      </c>
      <c r="G242">
        <f t="shared" si="23"/>
        <v>-0.30000000000001137</v>
      </c>
      <c r="H242">
        <f t="shared" si="23"/>
        <v>0.20000000000000284</v>
      </c>
      <c r="I242">
        <f t="shared" si="23"/>
        <v>0</v>
      </c>
      <c r="J242">
        <f t="shared" si="24"/>
        <v>-9.9999999999994316E-2</v>
      </c>
      <c r="K242">
        <f t="shared" si="24"/>
        <v>9.9999999999994316E-2</v>
      </c>
      <c r="L242">
        <f t="shared" si="24"/>
        <v>0.10000000000000853</v>
      </c>
      <c r="M242">
        <f t="shared" si="24"/>
        <v>0.5</v>
      </c>
      <c r="N242">
        <f t="shared" si="26"/>
        <v>-1</v>
      </c>
      <c r="O242">
        <f t="shared" si="25"/>
        <v>-0.10000000000000853</v>
      </c>
      <c r="P242">
        <f t="shared" si="25"/>
        <v>0.20000000000000284</v>
      </c>
      <c r="R242">
        <v>0</v>
      </c>
      <c r="S242">
        <v>99.8</v>
      </c>
      <c r="T242">
        <v>9.9999999999994316E-2</v>
      </c>
      <c r="U242">
        <v>-0.39999999999999147</v>
      </c>
      <c r="V242">
        <v>-0.30000000000001137</v>
      </c>
      <c r="W242">
        <v>0.20000000000000284</v>
      </c>
      <c r="X242">
        <v>0</v>
      </c>
      <c r="Y242">
        <v>-9.9999999999994316E-2</v>
      </c>
      <c r="Z242">
        <v>9.9999999999994316E-2</v>
      </c>
      <c r="AA242">
        <v>0.10000000000000853</v>
      </c>
      <c r="AB242">
        <v>0.5</v>
      </c>
      <c r="AC242">
        <v>-1</v>
      </c>
      <c r="AD242">
        <v>-0.10000000000000853</v>
      </c>
      <c r="AE242">
        <v>0.20000000000000284</v>
      </c>
    </row>
    <row r="243" spans="1:31" x14ac:dyDescent="0.3">
      <c r="A243" s="1">
        <v>42036</v>
      </c>
      <c r="B243">
        <v>100</v>
      </c>
      <c r="C243">
        <f t="shared" si="20"/>
        <v>0.20000000000000284</v>
      </c>
      <c r="D243">
        <f t="shared" si="21"/>
        <v>99.8</v>
      </c>
      <c r="E243">
        <f t="shared" si="22"/>
        <v>0</v>
      </c>
      <c r="F243">
        <f t="shared" si="23"/>
        <v>9.9999999999994316E-2</v>
      </c>
      <c r="G243">
        <f t="shared" si="23"/>
        <v>-0.39999999999999147</v>
      </c>
      <c r="H243">
        <f t="shared" si="23"/>
        <v>-0.30000000000001137</v>
      </c>
      <c r="I243">
        <f t="shared" si="23"/>
        <v>0.20000000000000284</v>
      </c>
      <c r="J243">
        <f t="shared" si="24"/>
        <v>0</v>
      </c>
      <c r="K243">
        <f t="shared" si="24"/>
        <v>-9.9999999999994316E-2</v>
      </c>
      <c r="L243">
        <f t="shared" si="24"/>
        <v>9.9999999999994316E-2</v>
      </c>
      <c r="M243">
        <f t="shared" si="24"/>
        <v>0.10000000000000853</v>
      </c>
      <c r="N243">
        <f t="shared" si="26"/>
        <v>0.5</v>
      </c>
      <c r="O243">
        <f t="shared" si="25"/>
        <v>-1</v>
      </c>
      <c r="P243">
        <f t="shared" si="25"/>
        <v>-0.10000000000000853</v>
      </c>
      <c r="R243">
        <v>0.20000000000000284</v>
      </c>
      <c r="S243">
        <v>99.8</v>
      </c>
      <c r="T243">
        <v>0</v>
      </c>
      <c r="U243">
        <v>9.9999999999994316E-2</v>
      </c>
      <c r="V243">
        <v>-0.39999999999999147</v>
      </c>
      <c r="W243">
        <v>-0.30000000000001137</v>
      </c>
      <c r="X243">
        <v>0.20000000000000284</v>
      </c>
      <c r="Y243">
        <v>0</v>
      </c>
      <c r="Z243">
        <v>-9.9999999999994316E-2</v>
      </c>
      <c r="AA243">
        <v>9.9999999999994316E-2</v>
      </c>
      <c r="AB243">
        <v>0.10000000000000853</v>
      </c>
      <c r="AC243">
        <v>0.5</v>
      </c>
      <c r="AD243">
        <v>-1</v>
      </c>
      <c r="AE243">
        <v>-0.10000000000000853</v>
      </c>
    </row>
    <row r="244" spans="1:31" x14ac:dyDescent="0.3">
      <c r="A244" s="1">
        <v>42064</v>
      </c>
      <c r="B244">
        <v>100.2</v>
      </c>
      <c r="C244">
        <f t="shared" si="20"/>
        <v>0.20000000000000284</v>
      </c>
      <c r="D244">
        <f t="shared" si="21"/>
        <v>100</v>
      </c>
      <c r="E244">
        <f t="shared" si="22"/>
        <v>0.20000000000000284</v>
      </c>
      <c r="F244">
        <f t="shared" si="23"/>
        <v>0</v>
      </c>
      <c r="G244">
        <f t="shared" si="23"/>
        <v>9.9999999999994316E-2</v>
      </c>
      <c r="H244">
        <f t="shared" si="23"/>
        <v>-0.39999999999999147</v>
      </c>
      <c r="I244">
        <f t="shared" si="23"/>
        <v>-0.30000000000001137</v>
      </c>
      <c r="J244">
        <f t="shared" si="24"/>
        <v>0.20000000000000284</v>
      </c>
      <c r="K244">
        <f t="shared" si="24"/>
        <v>0</v>
      </c>
      <c r="L244">
        <f t="shared" si="24"/>
        <v>-9.9999999999994316E-2</v>
      </c>
      <c r="M244">
        <f t="shared" si="24"/>
        <v>9.9999999999994316E-2</v>
      </c>
      <c r="N244">
        <f t="shared" si="26"/>
        <v>0.10000000000000853</v>
      </c>
      <c r="O244">
        <f t="shared" si="25"/>
        <v>0.5</v>
      </c>
      <c r="P244">
        <f t="shared" si="25"/>
        <v>-1</v>
      </c>
      <c r="R244">
        <v>0.20000000000000284</v>
      </c>
      <c r="S244">
        <v>100</v>
      </c>
      <c r="T244">
        <v>0.20000000000000284</v>
      </c>
      <c r="U244">
        <v>0</v>
      </c>
      <c r="V244">
        <v>9.9999999999994316E-2</v>
      </c>
      <c r="W244">
        <v>-0.39999999999999147</v>
      </c>
      <c r="X244">
        <v>-0.30000000000001137</v>
      </c>
      <c r="Y244">
        <v>0.20000000000000284</v>
      </c>
      <c r="Z244">
        <v>0</v>
      </c>
      <c r="AA244">
        <v>-9.9999999999994316E-2</v>
      </c>
      <c r="AB244">
        <v>9.9999999999994316E-2</v>
      </c>
      <c r="AC244">
        <v>0.10000000000000853</v>
      </c>
      <c r="AD244">
        <v>0.5</v>
      </c>
      <c r="AE244">
        <v>-1</v>
      </c>
    </row>
    <row r="245" spans="1:31" x14ac:dyDescent="0.3">
      <c r="A245" s="1">
        <v>42095</v>
      </c>
      <c r="B245">
        <v>100.1</v>
      </c>
      <c r="C245">
        <f t="shared" si="20"/>
        <v>-0.10000000000000853</v>
      </c>
      <c r="D245">
        <f t="shared" si="21"/>
        <v>100.2</v>
      </c>
      <c r="E245">
        <f t="shared" si="22"/>
        <v>0.20000000000000284</v>
      </c>
      <c r="F245">
        <f t="shared" si="23"/>
        <v>0.20000000000000284</v>
      </c>
      <c r="G245">
        <f t="shared" si="23"/>
        <v>0</v>
      </c>
      <c r="H245">
        <f t="shared" si="23"/>
        <v>9.9999999999994316E-2</v>
      </c>
      <c r="I245">
        <f t="shared" si="23"/>
        <v>-0.39999999999999147</v>
      </c>
      <c r="J245">
        <f t="shared" si="24"/>
        <v>-0.30000000000001137</v>
      </c>
      <c r="K245">
        <f t="shared" si="24"/>
        <v>0.20000000000000284</v>
      </c>
      <c r="L245">
        <f t="shared" si="24"/>
        <v>0</v>
      </c>
      <c r="M245">
        <f t="shared" si="24"/>
        <v>-9.9999999999994316E-2</v>
      </c>
      <c r="N245">
        <f t="shared" si="26"/>
        <v>9.9999999999994316E-2</v>
      </c>
      <c r="O245">
        <f t="shared" si="25"/>
        <v>0.10000000000000853</v>
      </c>
      <c r="P245">
        <f t="shared" si="25"/>
        <v>0.5</v>
      </c>
      <c r="R245">
        <v>-0.10000000000000853</v>
      </c>
      <c r="S245">
        <v>100.2</v>
      </c>
      <c r="T245">
        <v>0.20000000000000284</v>
      </c>
      <c r="U245">
        <v>0.20000000000000284</v>
      </c>
      <c r="V245">
        <v>0</v>
      </c>
      <c r="W245">
        <v>9.9999999999994316E-2</v>
      </c>
      <c r="X245">
        <v>-0.39999999999999147</v>
      </c>
      <c r="Y245">
        <v>-0.30000000000001137</v>
      </c>
      <c r="Z245">
        <v>0.20000000000000284</v>
      </c>
      <c r="AA245">
        <v>0</v>
      </c>
      <c r="AB245">
        <v>-9.9999999999994316E-2</v>
      </c>
      <c r="AC245">
        <v>9.9999999999994316E-2</v>
      </c>
      <c r="AD245">
        <v>0.10000000000000853</v>
      </c>
      <c r="AE245">
        <v>0.5</v>
      </c>
    </row>
    <row r="246" spans="1:31" x14ac:dyDescent="0.3">
      <c r="A246" s="1">
        <v>42125</v>
      </c>
      <c r="B246">
        <v>100.2</v>
      </c>
      <c r="C246">
        <f t="shared" si="20"/>
        <v>0.10000000000000853</v>
      </c>
      <c r="D246">
        <f t="shared" si="21"/>
        <v>100.1</v>
      </c>
      <c r="E246">
        <f t="shared" si="22"/>
        <v>-0.10000000000000853</v>
      </c>
      <c r="F246">
        <f t="shared" si="23"/>
        <v>0.20000000000000284</v>
      </c>
      <c r="G246">
        <f t="shared" si="23"/>
        <v>0.20000000000000284</v>
      </c>
      <c r="H246">
        <f t="shared" si="23"/>
        <v>0</v>
      </c>
      <c r="I246">
        <f t="shared" si="23"/>
        <v>9.9999999999994316E-2</v>
      </c>
      <c r="J246">
        <f t="shared" si="24"/>
        <v>-0.39999999999999147</v>
      </c>
      <c r="K246">
        <f t="shared" si="24"/>
        <v>-0.30000000000001137</v>
      </c>
      <c r="L246">
        <f t="shared" si="24"/>
        <v>0.20000000000000284</v>
      </c>
      <c r="M246">
        <f t="shared" si="24"/>
        <v>0</v>
      </c>
      <c r="N246">
        <f t="shared" si="26"/>
        <v>-9.9999999999994316E-2</v>
      </c>
      <c r="O246">
        <f t="shared" si="25"/>
        <v>9.9999999999994316E-2</v>
      </c>
      <c r="P246">
        <f t="shared" si="25"/>
        <v>0.10000000000000853</v>
      </c>
      <c r="R246">
        <v>0.10000000000000853</v>
      </c>
      <c r="S246">
        <v>100.1</v>
      </c>
      <c r="T246">
        <v>-0.10000000000000853</v>
      </c>
      <c r="U246">
        <v>0.20000000000000284</v>
      </c>
      <c r="V246">
        <v>0.20000000000000284</v>
      </c>
      <c r="W246">
        <v>0</v>
      </c>
      <c r="X246">
        <v>9.9999999999994316E-2</v>
      </c>
      <c r="Y246">
        <v>-0.39999999999999147</v>
      </c>
      <c r="Z246">
        <v>-0.30000000000001137</v>
      </c>
      <c r="AA246">
        <v>0.20000000000000284</v>
      </c>
      <c r="AB246">
        <v>0</v>
      </c>
      <c r="AC246">
        <v>-9.9999999999994316E-2</v>
      </c>
      <c r="AD246">
        <v>9.9999999999994316E-2</v>
      </c>
      <c r="AE246">
        <v>0.10000000000000853</v>
      </c>
    </row>
    <row r="247" spans="1:31" x14ac:dyDescent="0.3">
      <c r="A247" s="1">
        <v>42156</v>
      </c>
      <c r="B247">
        <v>100.4</v>
      </c>
      <c r="C247">
        <f t="shared" si="20"/>
        <v>0.20000000000000284</v>
      </c>
      <c r="D247">
        <f t="shared" si="21"/>
        <v>100.2</v>
      </c>
      <c r="E247">
        <f t="shared" si="22"/>
        <v>0.10000000000000853</v>
      </c>
      <c r="F247">
        <f t="shared" si="23"/>
        <v>-0.10000000000000853</v>
      </c>
      <c r="G247">
        <f t="shared" si="23"/>
        <v>0.20000000000000284</v>
      </c>
      <c r="H247">
        <f t="shared" si="23"/>
        <v>0.20000000000000284</v>
      </c>
      <c r="I247">
        <f t="shared" si="23"/>
        <v>0</v>
      </c>
      <c r="J247">
        <f t="shared" si="24"/>
        <v>9.9999999999994316E-2</v>
      </c>
      <c r="K247">
        <f t="shared" si="24"/>
        <v>-0.39999999999999147</v>
      </c>
      <c r="L247">
        <f t="shared" si="24"/>
        <v>-0.30000000000001137</v>
      </c>
      <c r="M247">
        <f t="shared" si="24"/>
        <v>0.20000000000000284</v>
      </c>
      <c r="N247">
        <f t="shared" si="26"/>
        <v>0</v>
      </c>
      <c r="O247">
        <f t="shared" si="25"/>
        <v>-9.9999999999994316E-2</v>
      </c>
      <c r="P247">
        <f t="shared" si="25"/>
        <v>9.9999999999994316E-2</v>
      </c>
      <c r="R247">
        <v>0.20000000000000284</v>
      </c>
      <c r="S247">
        <v>100.2</v>
      </c>
      <c r="T247">
        <v>0.10000000000000853</v>
      </c>
      <c r="U247">
        <v>-0.10000000000000853</v>
      </c>
      <c r="V247">
        <v>0.20000000000000284</v>
      </c>
      <c r="W247">
        <v>0.20000000000000284</v>
      </c>
      <c r="X247">
        <v>0</v>
      </c>
      <c r="Y247">
        <v>9.9999999999994316E-2</v>
      </c>
      <c r="Z247">
        <v>-0.39999999999999147</v>
      </c>
      <c r="AA247">
        <v>-0.30000000000001137</v>
      </c>
      <c r="AB247">
        <v>0.20000000000000284</v>
      </c>
      <c r="AC247">
        <v>0</v>
      </c>
      <c r="AD247">
        <v>-9.9999999999994316E-2</v>
      </c>
      <c r="AE247">
        <v>9.9999999999994316E-2</v>
      </c>
    </row>
    <row r="248" spans="1:31" x14ac:dyDescent="0.3">
      <c r="A248" s="1">
        <v>42186</v>
      </c>
      <c r="B248">
        <v>100.1</v>
      </c>
      <c r="C248">
        <f t="shared" si="20"/>
        <v>-0.30000000000001137</v>
      </c>
      <c r="D248">
        <f t="shared" si="21"/>
        <v>100.4</v>
      </c>
      <c r="E248">
        <f t="shared" si="22"/>
        <v>0.20000000000000284</v>
      </c>
      <c r="F248">
        <f t="shared" si="23"/>
        <v>0.10000000000000853</v>
      </c>
      <c r="G248">
        <f t="shared" si="23"/>
        <v>-0.10000000000000853</v>
      </c>
      <c r="H248">
        <f t="shared" si="23"/>
        <v>0.20000000000000284</v>
      </c>
      <c r="I248">
        <f t="shared" si="23"/>
        <v>0.20000000000000284</v>
      </c>
      <c r="J248">
        <f t="shared" si="24"/>
        <v>0</v>
      </c>
      <c r="K248">
        <f t="shared" si="24"/>
        <v>9.9999999999994316E-2</v>
      </c>
      <c r="L248">
        <f t="shared" si="24"/>
        <v>-0.39999999999999147</v>
      </c>
      <c r="M248">
        <f t="shared" si="24"/>
        <v>-0.30000000000001137</v>
      </c>
      <c r="N248">
        <f t="shared" si="26"/>
        <v>0.20000000000000284</v>
      </c>
      <c r="O248">
        <f t="shared" si="25"/>
        <v>0</v>
      </c>
      <c r="P248">
        <f t="shared" si="25"/>
        <v>-9.9999999999994316E-2</v>
      </c>
      <c r="R248">
        <v>-0.30000000000001137</v>
      </c>
      <c r="S248">
        <v>100.4</v>
      </c>
      <c r="T248">
        <v>0.20000000000000284</v>
      </c>
      <c r="U248">
        <v>0.10000000000000853</v>
      </c>
      <c r="V248">
        <v>-0.10000000000000853</v>
      </c>
      <c r="W248">
        <v>0.20000000000000284</v>
      </c>
      <c r="X248">
        <v>0.20000000000000284</v>
      </c>
      <c r="Y248">
        <v>0</v>
      </c>
      <c r="Z248">
        <v>9.9999999999994316E-2</v>
      </c>
      <c r="AA248">
        <v>-0.39999999999999147</v>
      </c>
      <c r="AB248">
        <v>-0.30000000000001137</v>
      </c>
      <c r="AC248">
        <v>0.20000000000000284</v>
      </c>
      <c r="AD248">
        <v>0</v>
      </c>
      <c r="AE248">
        <v>-9.9999999999994316E-2</v>
      </c>
    </row>
    <row r="249" spans="1:31" x14ac:dyDescent="0.3">
      <c r="A249" s="1">
        <v>42217</v>
      </c>
      <c r="B249">
        <v>99.9</v>
      </c>
      <c r="C249">
        <f t="shared" si="20"/>
        <v>-0.19999999999998863</v>
      </c>
      <c r="D249">
        <f t="shared" si="21"/>
        <v>100.1</v>
      </c>
      <c r="E249">
        <f t="shared" si="22"/>
        <v>-0.30000000000001137</v>
      </c>
      <c r="F249">
        <f t="shared" si="23"/>
        <v>0.20000000000000284</v>
      </c>
      <c r="G249">
        <f t="shared" si="23"/>
        <v>0.10000000000000853</v>
      </c>
      <c r="H249">
        <f t="shared" si="23"/>
        <v>-0.10000000000000853</v>
      </c>
      <c r="I249">
        <f t="shared" si="23"/>
        <v>0.20000000000000284</v>
      </c>
      <c r="J249">
        <f t="shared" si="24"/>
        <v>0.20000000000000284</v>
      </c>
      <c r="K249">
        <f t="shared" si="24"/>
        <v>0</v>
      </c>
      <c r="L249">
        <f t="shared" si="24"/>
        <v>9.9999999999994316E-2</v>
      </c>
      <c r="M249">
        <f t="shared" si="24"/>
        <v>-0.39999999999999147</v>
      </c>
      <c r="N249">
        <f t="shared" si="26"/>
        <v>-0.30000000000001137</v>
      </c>
      <c r="O249">
        <f t="shared" si="25"/>
        <v>0.20000000000000284</v>
      </c>
      <c r="P249">
        <f t="shared" si="25"/>
        <v>0</v>
      </c>
      <c r="R249">
        <v>-0.19999999999998863</v>
      </c>
      <c r="S249">
        <v>100.1</v>
      </c>
      <c r="T249">
        <v>-0.30000000000001137</v>
      </c>
      <c r="U249">
        <v>0.20000000000000284</v>
      </c>
      <c r="V249">
        <v>0.10000000000000853</v>
      </c>
      <c r="W249">
        <v>-0.10000000000000853</v>
      </c>
      <c r="X249">
        <v>0.20000000000000284</v>
      </c>
      <c r="Y249">
        <v>0.20000000000000284</v>
      </c>
      <c r="Z249">
        <v>0</v>
      </c>
      <c r="AA249">
        <v>9.9999999999994316E-2</v>
      </c>
      <c r="AB249">
        <v>-0.39999999999999147</v>
      </c>
      <c r="AC249">
        <v>-0.30000000000001137</v>
      </c>
      <c r="AD249">
        <v>0.20000000000000284</v>
      </c>
      <c r="AE249">
        <v>0</v>
      </c>
    </row>
    <row r="250" spans="1:31" x14ac:dyDescent="0.3">
      <c r="A250" s="1">
        <v>42248</v>
      </c>
      <c r="B250">
        <v>99.8</v>
      </c>
      <c r="C250">
        <f t="shared" si="20"/>
        <v>-0.10000000000000853</v>
      </c>
      <c r="D250">
        <f t="shared" si="21"/>
        <v>99.9</v>
      </c>
      <c r="E250">
        <f t="shared" si="22"/>
        <v>-0.19999999999998863</v>
      </c>
      <c r="F250">
        <f t="shared" si="23"/>
        <v>-0.30000000000001137</v>
      </c>
      <c r="G250">
        <f t="shared" si="23"/>
        <v>0.20000000000000284</v>
      </c>
      <c r="H250">
        <f t="shared" si="23"/>
        <v>0.10000000000000853</v>
      </c>
      <c r="I250">
        <f t="shared" si="23"/>
        <v>-0.10000000000000853</v>
      </c>
      <c r="J250">
        <f t="shared" si="24"/>
        <v>0.20000000000000284</v>
      </c>
      <c r="K250">
        <f t="shared" si="24"/>
        <v>0.20000000000000284</v>
      </c>
      <c r="L250">
        <f t="shared" si="24"/>
        <v>0</v>
      </c>
      <c r="M250">
        <f t="shared" si="24"/>
        <v>9.9999999999994316E-2</v>
      </c>
      <c r="N250">
        <f t="shared" si="26"/>
        <v>-0.39999999999999147</v>
      </c>
      <c r="O250">
        <f t="shared" si="25"/>
        <v>-0.30000000000001137</v>
      </c>
      <c r="P250">
        <f t="shared" si="25"/>
        <v>0.20000000000000284</v>
      </c>
      <c r="R250">
        <v>-0.10000000000000853</v>
      </c>
      <c r="S250">
        <v>99.9</v>
      </c>
      <c r="T250">
        <v>-0.19999999999998863</v>
      </c>
      <c r="U250">
        <v>-0.30000000000001137</v>
      </c>
      <c r="V250">
        <v>0.20000000000000284</v>
      </c>
      <c r="W250">
        <v>0.10000000000000853</v>
      </c>
      <c r="X250">
        <v>-0.10000000000000853</v>
      </c>
      <c r="Y250">
        <v>0.20000000000000284</v>
      </c>
      <c r="Z250">
        <v>0.20000000000000284</v>
      </c>
      <c r="AA250">
        <v>0</v>
      </c>
      <c r="AB250">
        <v>9.9999999999994316E-2</v>
      </c>
      <c r="AC250">
        <v>-0.39999999999999147</v>
      </c>
      <c r="AD250">
        <v>-0.30000000000001137</v>
      </c>
      <c r="AE250">
        <v>0.20000000000000284</v>
      </c>
    </row>
    <row r="251" spans="1:31" x14ac:dyDescent="0.3">
      <c r="A251" s="1">
        <v>42278</v>
      </c>
      <c r="B251">
        <v>100.1</v>
      </c>
      <c r="C251">
        <f t="shared" si="20"/>
        <v>0.29999999999999716</v>
      </c>
      <c r="D251">
        <f t="shared" si="21"/>
        <v>99.8</v>
      </c>
      <c r="E251">
        <f t="shared" si="22"/>
        <v>-0.10000000000000853</v>
      </c>
      <c r="F251">
        <f t="shared" si="23"/>
        <v>-0.19999999999998863</v>
      </c>
      <c r="G251">
        <f t="shared" si="23"/>
        <v>-0.30000000000001137</v>
      </c>
      <c r="H251">
        <f t="shared" si="23"/>
        <v>0.20000000000000284</v>
      </c>
      <c r="I251">
        <f t="shared" si="23"/>
        <v>0.10000000000000853</v>
      </c>
      <c r="J251">
        <f t="shared" si="24"/>
        <v>-0.10000000000000853</v>
      </c>
      <c r="K251">
        <f t="shared" si="24"/>
        <v>0.20000000000000284</v>
      </c>
      <c r="L251">
        <f t="shared" si="24"/>
        <v>0.20000000000000284</v>
      </c>
      <c r="M251">
        <f t="shared" si="24"/>
        <v>0</v>
      </c>
      <c r="N251">
        <f t="shared" si="26"/>
        <v>9.9999999999994316E-2</v>
      </c>
      <c r="O251">
        <f t="shared" si="25"/>
        <v>-0.39999999999999147</v>
      </c>
      <c r="P251">
        <f t="shared" si="25"/>
        <v>-0.30000000000001137</v>
      </c>
      <c r="R251">
        <v>0.29999999999999716</v>
      </c>
      <c r="S251">
        <v>99.8</v>
      </c>
      <c r="T251">
        <v>-0.10000000000000853</v>
      </c>
      <c r="U251">
        <v>-0.19999999999998863</v>
      </c>
      <c r="V251">
        <v>-0.30000000000001137</v>
      </c>
      <c r="W251">
        <v>0.20000000000000284</v>
      </c>
      <c r="X251">
        <v>0.10000000000000853</v>
      </c>
      <c r="Y251">
        <v>-0.10000000000000853</v>
      </c>
      <c r="Z251">
        <v>0.20000000000000284</v>
      </c>
      <c r="AA251">
        <v>0.20000000000000284</v>
      </c>
      <c r="AB251">
        <v>0</v>
      </c>
      <c r="AC251">
        <v>9.9999999999994316E-2</v>
      </c>
      <c r="AD251">
        <v>-0.39999999999999147</v>
      </c>
      <c r="AE251">
        <v>-0.30000000000001137</v>
      </c>
    </row>
    <row r="252" spans="1:31" x14ac:dyDescent="0.3">
      <c r="A252" s="1">
        <v>42309</v>
      </c>
      <c r="B252">
        <v>100.1</v>
      </c>
      <c r="C252">
        <f t="shared" si="20"/>
        <v>0</v>
      </c>
      <c r="D252">
        <f t="shared" si="21"/>
        <v>100.1</v>
      </c>
      <c r="E252">
        <f t="shared" si="22"/>
        <v>0.29999999999999716</v>
      </c>
      <c r="F252">
        <f t="shared" si="23"/>
        <v>-0.10000000000000853</v>
      </c>
      <c r="G252">
        <f t="shared" si="23"/>
        <v>-0.19999999999998863</v>
      </c>
      <c r="H252">
        <f t="shared" si="23"/>
        <v>-0.30000000000001137</v>
      </c>
      <c r="I252">
        <f t="shared" si="23"/>
        <v>0.20000000000000284</v>
      </c>
      <c r="J252">
        <f t="shared" si="24"/>
        <v>0.10000000000000853</v>
      </c>
      <c r="K252">
        <f t="shared" si="24"/>
        <v>-0.10000000000000853</v>
      </c>
      <c r="L252">
        <f t="shared" si="24"/>
        <v>0.20000000000000284</v>
      </c>
      <c r="M252">
        <f t="shared" si="24"/>
        <v>0.20000000000000284</v>
      </c>
      <c r="N252">
        <f t="shared" si="26"/>
        <v>0</v>
      </c>
      <c r="O252">
        <f t="shared" si="25"/>
        <v>9.9999999999994316E-2</v>
      </c>
      <c r="P252">
        <f t="shared" si="25"/>
        <v>-0.39999999999999147</v>
      </c>
      <c r="R252">
        <v>0</v>
      </c>
      <c r="S252">
        <v>100.1</v>
      </c>
      <c r="T252">
        <v>0.29999999999999716</v>
      </c>
      <c r="U252">
        <v>-0.10000000000000853</v>
      </c>
      <c r="V252">
        <v>-0.19999999999998863</v>
      </c>
      <c r="W252">
        <v>-0.30000000000001137</v>
      </c>
      <c r="X252">
        <v>0.20000000000000284</v>
      </c>
      <c r="Y252">
        <v>0.10000000000000853</v>
      </c>
      <c r="Z252">
        <v>-0.10000000000000853</v>
      </c>
      <c r="AA252">
        <v>0.20000000000000284</v>
      </c>
      <c r="AB252">
        <v>0.20000000000000284</v>
      </c>
      <c r="AC252">
        <v>0</v>
      </c>
      <c r="AD252">
        <v>9.9999999999994316E-2</v>
      </c>
      <c r="AE252">
        <v>-0.39999999999999147</v>
      </c>
    </row>
    <row r="253" spans="1:31" x14ac:dyDescent="0.3">
      <c r="A253" s="1">
        <v>42339</v>
      </c>
      <c r="B253">
        <v>100</v>
      </c>
      <c r="C253">
        <f t="shared" si="20"/>
        <v>-9.9999999999994316E-2</v>
      </c>
      <c r="D253">
        <f t="shared" si="21"/>
        <v>100.1</v>
      </c>
      <c r="E253">
        <f t="shared" si="22"/>
        <v>0</v>
      </c>
      <c r="F253">
        <f t="shared" si="23"/>
        <v>0.29999999999999716</v>
      </c>
      <c r="G253">
        <f t="shared" si="23"/>
        <v>-0.10000000000000853</v>
      </c>
      <c r="H253">
        <f t="shared" si="23"/>
        <v>-0.19999999999998863</v>
      </c>
      <c r="I253">
        <f t="shared" si="23"/>
        <v>-0.30000000000001137</v>
      </c>
      <c r="J253">
        <f t="shared" si="24"/>
        <v>0.20000000000000284</v>
      </c>
      <c r="K253">
        <f t="shared" si="24"/>
        <v>0.10000000000000853</v>
      </c>
      <c r="L253">
        <f t="shared" si="24"/>
        <v>-0.10000000000000853</v>
      </c>
      <c r="M253">
        <f t="shared" si="24"/>
        <v>0.20000000000000284</v>
      </c>
      <c r="N253">
        <f t="shared" si="26"/>
        <v>0.20000000000000284</v>
      </c>
      <c r="O253">
        <f t="shared" si="25"/>
        <v>0</v>
      </c>
      <c r="P253">
        <f t="shared" si="25"/>
        <v>9.9999999999994316E-2</v>
      </c>
      <c r="R253">
        <v>-9.9999999999994316E-2</v>
      </c>
      <c r="S253">
        <v>100.1</v>
      </c>
      <c r="T253">
        <v>0</v>
      </c>
      <c r="U253">
        <v>0.29999999999999716</v>
      </c>
      <c r="V253">
        <v>-0.10000000000000853</v>
      </c>
      <c r="W253">
        <v>-0.19999999999998863</v>
      </c>
      <c r="X253">
        <v>-0.30000000000001137</v>
      </c>
      <c r="Y253">
        <v>0.20000000000000284</v>
      </c>
      <c r="Z253">
        <v>0.10000000000000853</v>
      </c>
      <c r="AA253">
        <v>-0.10000000000000853</v>
      </c>
      <c r="AB253">
        <v>0.20000000000000284</v>
      </c>
      <c r="AC253">
        <v>0.20000000000000284</v>
      </c>
      <c r="AD253">
        <v>0</v>
      </c>
      <c r="AE253">
        <v>9.9999999999994316E-2</v>
      </c>
    </row>
    <row r="254" spans="1:31" x14ac:dyDescent="0.3">
      <c r="A254" s="1">
        <v>42370</v>
      </c>
      <c r="B254">
        <v>100</v>
      </c>
      <c r="C254">
        <f t="shared" si="20"/>
        <v>0</v>
      </c>
      <c r="D254">
        <f t="shared" si="21"/>
        <v>100</v>
      </c>
      <c r="E254">
        <f t="shared" si="22"/>
        <v>-9.9999999999994316E-2</v>
      </c>
      <c r="F254">
        <f t="shared" si="23"/>
        <v>0</v>
      </c>
      <c r="G254">
        <f t="shared" si="23"/>
        <v>0.29999999999999716</v>
      </c>
      <c r="H254">
        <f t="shared" si="23"/>
        <v>-0.10000000000000853</v>
      </c>
      <c r="I254">
        <f t="shared" si="23"/>
        <v>-0.19999999999998863</v>
      </c>
      <c r="J254">
        <f t="shared" si="24"/>
        <v>-0.30000000000001137</v>
      </c>
      <c r="K254">
        <f t="shared" si="24"/>
        <v>0.20000000000000284</v>
      </c>
      <c r="L254">
        <f t="shared" si="24"/>
        <v>0.10000000000000853</v>
      </c>
      <c r="M254">
        <f t="shared" si="24"/>
        <v>-0.10000000000000853</v>
      </c>
      <c r="N254">
        <f t="shared" si="26"/>
        <v>0.20000000000000284</v>
      </c>
      <c r="O254">
        <f t="shared" si="25"/>
        <v>0.20000000000000284</v>
      </c>
      <c r="P254">
        <f t="shared" si="25"/>
        <v>0</v>
      </c>
      <c r="R254">
        <v>0</v>
      </c>
      <c r="S254">
        <v>100</v>
      </c>
      <c r="T254">
        <v>-9.9999999999994316E-2</v>
      </c>
      <c r="U254">
        <v>0</v>
      </c>
      <c r="V254">
        <v>0.29999999999999716</v>
      </c>
      <c r="W254">
        <v>-0.10000000000000853</v>
      </c>
      <c r="X254">
        <v>-0.19999999999998863</v>
      </c>
      <c r="Y254">
        <v>-0.30000000000001137</v>
      </c>
      <c r="Z254">
        <v>0.20000000000000284</v>
      </c>
      <c r="AA254">
        <v>0.10000000000000853</v>
      </c>
      <c r="AB254">
        <v>-0.10000000000000853</v>
      </c>
      <c r="AC254">
        <v>0.20000000000000284</v>
      </c>
      <c r="AD254">
        <v>0.20000000000000284</v>
      </c>
      <c r="AE254">
        <v>0</v>
      </c>
    </row>
    <row r="255" spans="1:31" x14ac:dyDescent="0.3">
      <c r="A255" s="1">
        <v>42401</v>
      </c>
      <c r="B255">
        <v>100.4</v>
      </c>
      <c r="C255">
        <f t="shared" si="20"/>
        <v>0.40000000000000568</v>
      </c>
      <c r="D255">
        <f t="shared" si="21"/>
        <v>100</v>
      </c>
      <c r="E255">
        <f t="shared" si="22"/>
        <v>0</v>
      </c>
      <c r="F255">
        <f t="shared" si="23"/>
        <v>-9.9999999999994316E-2</v>
      </c>
      <c r="G255">
        <f t="shared" si="23"/>
        <v>0</v>
      </c>
      <c r="H255">
        <f t="shared" si="23"/>
        <v>0.29999999999999716</v>
      </c>
      <c r="I255">
        <f t="shared" si="23"/>
        <v>-0.10000000000000853</v>
      </c>
      <c r="J255">
        <f t="shared" si="24"/>
        <v>-0.19999999999998863</v>
      </c>
      <c r="K255">
        <f t="shared" si="24"/>
        <v>-0.30000000000001137</v>
      </c>
      <c r="L255">
        <f t="shared" si="24"/>
        <v>0.20000000000000284</v>
      </c>
      <c r="M255">
        <f t="shared" si="24"/>
        <v>0.10000000000000853</v>
      </c>
      <c r="N255">
        <f t="shared" si="26"/>
        <v>-0.10000000000000853</v>
      </c>
      <c r="O255">
        <f t="shared" si="25"/>
        <v>0.20000000000000284</v>
      </c>
      <c r="P255">
        <f t="shared" si="25"/>
        <v>0.20000000000000284</v>
      </c>
      <c r="R255">
        <v>0.40000000000000568</v>
      </c>
      <c r="S255">
        <v>100</v>
      </c>
      <c r="T255">
        <v>0</v>
      </c>
      <c r="U255">
        <v>-9.9999999999994316E-2</v>
      </c>
      <c r="V255">
        <v>0</v>
      </c>
      <c r="W255">
        <v>0.29999999999999716</v>
      </c>
      <c r="X255">
        <v>-0.10000000000000853</v>
      </c>
      <c r="Y255">
        <v>-0.19999999999998863</v>
      </c>
      <c r="Z255">
        <v>-0.30000000000001137</v>
      </c>
      <c r="AA255">
        <v>0.20000000000000284</v>
      </c>
      <c r="AB255">
        <v>0.10000000000000853</v>
      </c>
      <c r="AC255">
        <v>-0.10000000000000853</v>
      </c>
      <c r="AD255">
        <v>0.20000000000000284</v>
      </c>
      <c r="AE255">
        <v>0.20000000000000284</v>
      </c>
    </row>
    <row r="256" spans="1:31" x14ac:dyDescent="0.3">
      <c r="A256" s="1">
        <v>42430</v>
      </c>
      <c r="B256">
        <v>100.6</v>
      </c>
      <c r="C256">
        <f t="shared" si="20"/>
        <v>0.19999999999998863</v>
      </c>
      <c r="D256">
        <f t="shared" si="21"/>
        <v>100.4</v>
      </c>
      <c r="E256">
        <f t="shared" si="22"/>
        <v>0.40000000000000568</v>
      </c>
      <c r="F256">
        <f t="shared" si="23"/>
        <v>0</v>
      </c>
      <c r="G256">
        <f t="shared" si="23"/>
        <v>-9.9999999999994316E-2</v>
      </c>
      <c r="H256">
        <f t="shared" si="23"/>
        <v>0</v>
      </c>
      <c r="I256">
        <f t="shared" si="23"/>
        <v>0.29999999999999716</v>
      </c>
      <c r="J256">
        <f t="shared" si="24"/>
        <v>-0.10000000000000853</v>
      </c>
      <c r="K256">
        <f t="shared" si="24"/>
        <v>-0.19999999999998863</v>
      </c>
      <c r="L256">
        <f t="shared" si="24"/>
        <v>-0.30000000000001137</v>
      </c>
      <c r="M256">
        <f t="shared" si="24"/>
        <v>0.20000000000000284</v>
      </c>
      <c r="N256">
        <f t="shared" si="26"/>
        <v>0.10000000000000853</v>
      </c>
      <c r="O256">
        <f t="shared" si="25"/>
        <v>-0.10000000000000853</v>
      </c>
      <c r="P256">
        <f t="shared" si="25"/>
        <v>0.20000000000000284</v>
      </c>
      <c r="R256">
        <v>0.19999999999998863</v>
      </c>
      <c r="S256">
        <v>100.4</v>
      </c>
      <c r="T256">
        <v>0.40000000000000568</v>
      </c>
      <c r="U256">
        <v>0</v>
      </c>
      <c r="V256">
        <v>-9.9999999999994316E-2</v>
      </c>
      <c r="W256">
        <v>0</v>
      </c>
      <c r="X256">
        <v>0.29999999999999716</v>
      </c>
      <c r="Y256">
        <v>-0.10000000000000853</v>
      </c>
      <c r="Z256">
        <v>-0.19999999999998863</v>
      </c>
      <c r="AA256">
        <v>-0.30000000000001137</v>
      </c>
      <c r="AB256">
        <v>0.20000000000000284</v>
      </c>
      <c r="AC256">
        <v>0.10000000000000853</v>
      </c>
      <c r="AD256">
        <v>-0.10000000000000853</v>
      </c>
      <c r="AE256">
        <v>0.20000000000000284</v>
      </c>
    </row>
    <row r="257" spans="1:31" x14ac:dyDescent="0.3">
      <c r="A257" s="1">
        <v>42461</v>
      </c>
      <c r="B257">
        <v>100.3</v>
      </c>
      <c r="C257">
        <f t="shared" si="20"/>
        <v>-0.29999999999999716</v>
      </c>
      <c r="D257">
        <f t="shared" si="21"/>
        <v>100.6</v>
      </c>
      <c r="E257">
        <f t="shared" si="22"/>
        <v>0.19999999999998863</v>
      </c>
      <c r="F257">
        <f t="shared" si="23"/>
        <v>0.40000000000000568</v>
      </c>
      <c r="G257">
        <f t="shared" si="23"/>
        <v>0</v>
      </c>
      <c r="H257">
        <f t="shared" si="23"/>
        <v>-9.9999999999994316E-2</v>
      </c>
      <c r="I257">
        <f t="shared" si="23"/>
        <v>0</v>
      </c>
      <c r="J257">
        <f t="shared" si="24"/>
        <v>0.29999999999999716</v>
      </c>
      <c r="K257">
        <f t="shared" si="24"/>
        <v>-0.10000000000000853</v>
      </c>
      <c r="L257">
        <f t="shared" si="24"/>
        <v>-0.19999999999998863</v>
      </c>
      <c r="M257">
        <f t="shared" si="24"/>
        <v>-0.30000000000001137</v>
      </c>
      <c r="N257">
        <f t="shared" si="26"/>
        <v>0.20000000000000284</v>
      </c>
      <c r="O257">
        <f t="shared" si="25"/>
        <v>0.10000000000000853</v>
      </c>
      <c r="P257">
        <f t="shared" si="25"/>
        <v>-0.10000000000000853</v>
      </c>
      <c r="R257">
        <v>-0.29999999999999716</v>
      </c>
      <c r="S257">
        <v>100.6</v>
      </c>
      <c r="T257">
        <v>0.19999999999998863</v>
      </c>
      <c r="U257">
        <v>0.40000000000000568</v>
      </c>
      <c r="V257">
        <v>0</v>
      </c>
      <c r="W257">
        <v>-9.9999999999994316E-2</v>
      </c>
      <c r="X257">
        <v>0</v>
      </c>
      <c r="Y257">
        <v>0.29999999999999716</v>
      </c>
      <c r="Z257">
        <v>-0.10000000000000853</v>
      </c>
      <c r="AA257">
        <v>-0.19999999999998863</v>
      </c>
      <c r="AB257">
        <v>-0.30000000000001137</v>
      </c>
      <c r="AC257">
        <v>0.20000000000000284</v>
      </c>
      <c r="AD257">
        <v>0.10000000000000853</v>
      </c>
      <c r="AE257">
        <v>-0.10000000000000853</v>
      </c>
    </row>
    <row r="258" spans="1:31" x14ac:dyDescent="0.3">
      <c r="A258" s="1">
        <v>42491</v>
      </c>
      <c r="B258">
        <v>100.5</v>
      </c>
      <c r="C258">
        <f t="shared" si="20"/>
        <v>0.20000000000000284</v>
      </c>
      <c r="D258">
        <f t="shared" si="21"/>
        <v>100.3</v>
      </c>
      <c r="E258">
        <f t="shared" si="22"/>
        <v>-0.29999999999999716</v>
      </c>
      <c r="F258">
        <f t="shared" si="23"/>
        <v>0.19999999999998863</v>
      </c>
      <c r="G258">
        <f t="shared" si="23"/>
        <v>0.40000000000000568</v>
      </c>
      <c r="H258">
        <f t="shared" si="23"/>
        <v>0</v>
      </c>
      <c r="I258">
        <f t="shared" si="23"/>
        <v>-9.9999999999994316E-2</v>
      </c>
      <c r="J258">
        <f t="shared" si="24"/>
        <v>0</v>
      </c>
      <c r="K258">
        <f t="shared" si="24"/>
        <v>0.29999999999999716</v>
      </c>
      <c r="L258">
        <f t="shared" si="24"/>
        <v>-0.10000000000000853</v>
      </c>
      <c r="M258">
        <f t="shared" si="24"/>
        <v>-0.19999999999998863</v>
      </c>
      <c r="N258">
        <f t="shared" si="26"/>
        <v>-0.30000000000001137</v>
      </c>
      <c r="O258">
        <f t="shared" si="25"/>
        <v>0.20000000000000284</v>
      </c>
      <c r="P258">
        <f t="shared" si="25"/>
        <v>0.10000000000000853</v>
      </c>
      <c r="R258">
        <v>0.20000000000000284</v>
      </c>
      <c r="S258">
        <v>100.3</v>
      </c>
      <c r="T258">
        <v>-0.29999999999999716</v>
      </c>
      <c r="U258">
        <v>0.19999999999998863</v>
      </c>
      <c r="V258">
        <v>0.40000000000000568</v>
      </c>
      <c r="W258">
        <v>0</v>
      </c>
      <c r="X258">
        <v>-9.9999999999994316E-2</v>
      </c>
      <c r="Y258">
        <v>0</v>
      </c>
      <c r="Z258">
        <v>0.29999999999999716</v>
      </c>
      <c r="AA258">
        <v>-0.10000000000000853</v>
      </c>
      <c r="AB258">
        <v>-0.19999999999998863</v>
      </c>
      <c r="AC258">
        <v>-0.30000000000001137</v>
      </c>
      <c r="AD258">
        <v>0.20000000000000284</v>
      </c>
      <c r="AE258">
        <v>0.10000000000000853</v>
      </c>
    </row>
    <row r="259" spans="1:31" x14ac:dyDescent="0.3">
      <c r="A259" s="1">
        <v>42522</v>
      </c>
      <c r="B259">
        <v>100.5</v>
      </c>
      <c r="C259">
        <f t="shared" si="20"/>
        <v>0</v>
      </c>
      <c r="D259">
        <f t="shared" si="21"/>
        <v>100.5</v>
      </c>
      <c r="E259">
        <f t="shared" si="22"/>
        <v>0.20000000000000284</v>
      </c>
      <c r="F259">
        <f t="shared" si="23"/>
        <v>-0.29999999999999716</v>
      </c>
      <c r="G259">
        <f t="shared" si="23"/>
        <v>0.19999999999998863</v>
      </c>
      <c r="H259">
        <f t="shared" si="23"/>
        <v>0.40000000000000568</v>
      </c>
      <c r="I259">
        <f t="shared" si="23"/>
        <v>0</v>
      </c>
      <c r="J259">
        <f t="shared" si="24"/>
        <v>-9.9999999999994316E-2</v>
      </c>
      <c r="K259">
        <f t="shared" si="24"/>
        <v>0</v>
      </c>
      <c r="L259">
        <f t="shared" si="24"/>
        <v>0.29999999999999716</v>
      </c>
      <c r="M259">
        <f t="shared" si="24"/>
        <v>-0.10000000000000853</v>
      </c>
      <c r="N259">
        <f t="shared" si="26"/>
        <v>-0.19999999999998863</v>
      </c>
      <c r="O259">
        <f t="shared" si="25"/>
        <v>-0.30000000000001137</v>
      </c>
      <c r="P259">
        <f t="shared" si="25"/>
        <v>0.20000000000000284</v>
      </c>
      <c r="R259">
        <v>0</v>
      </c>
      <c r="S259">
        <v>100.5</v>
      </c>
      <c r="T259">
        <v>0.20000000000000284</v>
      </c>
      <c r="U259">
        <v>-0.29999999999999716</v>
      </c>
      <c r="V259">
        <v>0.19999999999998863</v>
      </c>
      <c r="W259">
        <v>0.40000000000000568</v>
      </c>
      <c r="X259">
        <v>0</v>
      </c>
      <c r="Y259">
        <v>-9.9999999999994316E-2</v>
      </c>
      <c r="Z259">
        <v>0</v>
      </c>
      <c r="AA259">
        <v>0.29999999999999716</v>
      </c>
      <c r="AB259">
        <v>-0.10000000000000853</v>
      </c>
      <c r="AC259">
        <v>-0.19999999999998863</v>
      </c>
      <c r="AD259">
        <v>-0.30000000000001137</v>
      </c>
      <c r="AE259">
        <v>0.20000000000000284</v>
      </c>
    </row>
    <row r="260" spans="1:31" x14ac:dyDescent="0.3">
      <c r="A260" s="1">
        <v>42552</v>
      </c>
      <c r="B260">
        <v>100.1</v>
      </c>
      <c r="C260">
        <f t="shared" ref="C260:C323" si="27">B260-B259</f>
        <v>-0.40000000000000568</v>
      </c>
      <c r="D260">
        <f t="shared" ref="D260:D323" si="28">B259</f>
        <v>100.5</v>
      </c>
      <c r="E260">
        <f t="shared" si="22"/>
        <v>0</v>
      </c>
      <c r="F260">
        <f t="shared" si="23"/>
        <v>0.20000000000000284</v>
      </c>
      <c r="G260">
        <f t="shared" si="23"/>
        <v>-0.29999999999999716</v>
      </c>
      <c r="H260">
        <f t="shared" si="23"/>
        <v>0.19999999999998863</v>
      </c>
      <c r="I260">
        <f t="shared" si="23"/>
        <v>0.40000000000000568</v>
      </c>
      <c r="J260">
        <f t="shared" si="24"/>
        <v>0</v>
      </c>
      <c r="K260">
        <f t="shared" si="24"/>
        <v>-9.9999999999994316E-2</v>
      </c>
      <c r="L260">
        <f t="shared" si="24"/>
        <v>0</v>
      </c>
      <c r="M260">
        <f t="shared" si="24"/>
        <v>0.29999999999999716</v>
      </c>
      <c r="N260">
        <f t="shared" si="26"/>
        <v>-0.10000000000000853</v>
      </c>
      <c r="O260">
        <f t="shared" si="25"/>
        <v>-0.19999999999998863</v>
      </c>
      <c r="P260">
        <f t="shared" si="25"/>
        <v>-0.30000000000001137</v>
      </c>
      <c r="R260">
        <v>-0.40000000000000568</v>
      </c>
      <c r="S260">
        <v>100.5</v>
      </c>
      <c r="T260">
        <v>0</v>
      </c>
      <c r="U260">
        <v>0.20000000000000284</v>
      </c>
      <c r="V260">
        <v>-0.29999999999999716</v>
      </c>
      <c r="W260">
        <v>0.19999999999998863</v>
      </c>
      <c r="X260">
        <v>0.40000000000000568</v>
      </c>
      <c r="Y260">
        <v>0</v>
      </c>
      <c r="Z260">
        <v>-9.9999999999994316E-2</v>
      </c>
      <c r="AA260">
        <v>0</v>
      </c>
      <c r="AB260">
        <v>0.29999999999999716</v>
      </c>
      <c r="AC260">
        <v>-0.10000000000000853</v>
      </c>
      <c r="AD260">
        <v>-0.19999999999998863</v>
      </c>
      <c r="AE260">
        <v>-0.30000000000001137</v>
      </c>
    </row>
    <row r="261" spans="1:31" x14ac:dyDescent="0.3">
      <c r="A261" s="1">
        <v>42583</v>
      </c>
      <c r="B261">
        <v>100.1</v>
      </c>
      <c r="C261">
        <f t="shared" si="27"/>
        <v>0</v>
      </c>
      <c r="D261">
        <f t="shared" si="28"/>
        <v>100.1</v>
      </c>
      <c r="E261">
        <f t="shared" ref="E261:E324" si="29">C260</f>
        <v>-0.40000000000000568</v>
      </c>
      <c r="F261">
        <f t="shared" si="23"/>
        <v>0</v>
      </c>
      <c r="G261">
        <f t="shared" si="23"/>
        <v>0.20000000000000284</v>
      </c>
      <c r="H261">
        <f t="shared" si="23"/>
        <v>-0.29999999999999716</v>
      </c>
      <c r="I261">
        <f t="shared" ref="I261:M324" si="30">H260</f>
        <v>0.19999999999998863</v>
      </c>
      <c r="J261">
        <f t="shared" si="24"/>
        <v>0.40000000000000568</v>
      </c>
      <c r="K261">
        <f t="shared" si="24"/>
        <v>0</v>
      </c>
      <c r="L261">
        <f t="shared" si="24"/>
        <v>-9.9999999999994316E-2</v>
      </c>
      <c r="M261">
        <f t="shared" si="24"/>
        <v>0</v>
      </c>
      <c r="N261">
        <f t="shared" si="26"/>
        <v>0.29999999999999716</v>
      </c>
      <c r="O261">
        <f t="shared" si="25"/>
        <v>-0.10000000000000853</v>
      </c>
      <c r="P261">
        <f t="shared" si="25"/>
        <v>-0.19999999999998863</v>
      </c>
      <c r="R261">
        <v>0</v>
      </c>
      <c r="S261">
        <v>100.1</v>
      </c>
      <c r="T261">
        <v>-0.40000000000000568</v>
      </c>
      <c r="U261">
        <v>0</v>
      </c>
      <c r="V261">
        <v>0.20000000000000284</v>
      </c>
      <c r="W261">
        <v>-0.29999999999999716</v>
      </c>
      <c r="X261">
        <v>0.19999999999998863</v>
      </c>
      <c r="Y261">
        <v>0.40000000000000568</v>
      </c>
      <c r="Z261">
        <v>0</v>
      </c>
      <c r="AA261">
        <v>-9.9999999999994316E-2</v>
      </c>
      <c r="AB261">
        <v>0</v>
      </c>
      <c r="AC261">
        <v>0.29999999999999716</v>
      </c>
      <c r="AD261">
        <v>-0.10000000000000853</v>
      </c>
      <c r="AE261">
        <v>-0.19999999999998863</v>
      </c>
    </row>
    <row r="262" spans="1:31" x14ac:dyDescent="0.3">
      <c r="A262" s="1">
        <v>42614</v>
      </c>
      <c r="B262">
        <v>100.5</v>
      </c>
      <c r="C262">
        <f t="shared" si="27"/>
        <v>0.40000000000000568</v>
      </c>
      <c r="D262">
        <f t="shared" si="28"/>
        <v>100.1</v>
      </c>
      <c r="E262">
        <f t="shared" si="29"/>
        <v>0</v>
      </c>
      <c r="F262">
        <f t="shared" ref="F262:L325" si="31">E261</f>
        <v>-0.40000000000000568</v>
      </c>
      <c r="G262">
        <f t="shared" si="31"/>
        <v>0</v>
      </c>
      <c r="H262">
        <f t="shared" si="31"/>
        <v>0.20000000000000284</v>
      </c>
      <c r="I262">
        <f t="shared" si="30"/>
        <v>-0.29999999999999716</v>
      </c>
      <c r="J262">
        <f t="shared" si="30"/>
        <v>0.19999999999998863</v>
      </c>
      <c r="K262">
        <f t="shared" si="30"/>
        <v>0.40000000000000568</v>
      </c>
      <c r="L262">
        <f t="shared" si="30"/>
        <v>0</v>
      </c>
      <c r="M262">
        <f t="shared" si="30"/>
        <v>-9.9999999999994316E-2</v>
      </c>
      <c r="N262">
        <f t="shared" si="26"/>
        <v>0</v>
      </c>
      <c r="O262">
        <f t="shared" si="25"/>
        <v>0.29999999999999716</v>
      </c>
      <c r="P262">
        <f t="shared" si="25"/>
        <v>-0.10000000000000853</v>
      </c>
      <c r="R262">
        <v>0.40000000000000568</v>
      </c>
      <c r="S262">
        <v>100.1</v>
      </c>
      <c r="T262">
        <v>0</v>
      </c>
      <c r="U262">
        <v>-0.40000000000000568</v>
      </c>
      <c r="V262">
        <v>0</v>
      </c>
      <c r="W262">
        <v>0.20000000000000284</v>
      </c>
      <c r="X262">
        <v>-0.29999999999999716</v>
      </c>
      <c r="Y262">
        <v>0.19999999999998863</v>
      </c>
      <c r="Z262">
        <v>0.40000000000000568</v>
      </c>
      <c r="AA262">
        <v>0</v>
      </c>
      <c r="AB262">
        <v>-9.9999999999994316E-2</v>
      </c>
      <c r="AC262">
        <v>0</v>
      </c>
      <c r="AD262">
        <v>0.29999999999999716</v>
      </c>
      <c r="AE262">
        <v>-0.10000000000000853</v>
      </c>
    </row>
    <row r="263" spans="1:31" x14ac:dyDescent="0.3">
      <c r="A263" s="1">
        <v>42644</v>
      </c>
      <c r="B263">
        <v>100.8</v>
      </c>
      <c r="C263">
        <f t="shared" si="27"/>
        <v>0.29999999999999716</v>
      </c>
      <c r="D263">
        <f t="shared" si="28"/>
        <v>100.5</v>
      </c>
      <c r="E263">
        <f t="shared" si="29"/>
        <v>0.40000000000000568</v>
      </c>
      <c r="F263">
        <f t="shared" si="31"/>
        <v>0</v>
      </c>
      <c r="G263">
        <f t="shared" si="31"/>
        <v>-0.40000000000000568</v>
      </c>
      <c r="H263">
        <f t="shared" si="31"/>
        <v>0</v>
      </c>
      <c r="I263">
        <f t="shared" si="30"/>
        <v>0.20000000000000284</v>
      </c>
      <c r="J263">
        <f t="shared" si="30"/>
        <v>-0.29999999999999716</v>
      </c>
      <c r="K263">
        <f t="shared" si="30"/>
        <v>0.19999999999998863</v>
      </c>
      <c r="L263">
        <f t="shared" si="30"/>
        <v>0.40000000000000568</v>
      </c>
      <c r="M263">
        <f t="shared" si="30"/>
        <v>0</v>
      </c>
      <c r="N263">
        <f t="shared" si="26"/>
        <v>-9.9999999999994316E-2</v>
      </c>
      <c r="O263">
        <f t="shared" si="25"/>
        <v>0</v>
      </c>
      <c r="P263">
        <f t="shared" si="25"/>
        <v>0.29999999999999716</v>
      </c>
      <c r="R263">
        <v>0.29999999999999716</v>
      </c>
      <c r="S263">
        <v>100.5</v>
      </c>
      <c r="T263">
        <v>0.40000000000000568</v>
      </c>
      <c r="U263">
        <v>0</v>
      </c>
      <c r="V263">
        <v>-0.40000000000000568</v>
      </c>
      <c r="W263">
        <v>0</v>
      </c>
      <c r="X263">
        <v>0.20000000000000284</v>
      </c>
      <c r="Y263">
        <v>-0.29999999999999716</v>
      </c>
      <c r="Z263">
        <v>0.19999999999998863</v>
      </c>
      <c r="AA263">
        <v>0.40000000000000568</v>
      </c>
      <c r="AB263">
        <v>0</v>
      </c>
      <c r="AC263">
        <v>-9.9999999999994316E-2</v>
      </c>
      <c r="AD263">
        <v>0</v>
      </c>
      <c r="AE263">
        <v>0.29999999999999716</v>
      </c>
    </row>
    <row r="264" spans="1:31" x14ac:dyDescent="0.3">
      <c r="A264" s="1">
        <v>42675</v>
      </c>
      <c r="B264">
        <v>100.5</v>
      </c>
      <c r="C264">
        <f t="shared" si="27"/>
        <v>-0.29999999999999716</v>
      </c>
      <c r="D264">
        <f t="shared" si="28"/>
        <v>100.8</v>
      </c>
      <c r="E264">
        <f t="shared" si="29"/>
        <v>0.29999999999999716</v>
      </c>
      <c r="F264">
        <f t="shared" si="31"/>
        <v>0.40000000000000568</v>
      </c>
      <c r="G264">
        <f t="shared" si="31"/>
        <v>0</v>
      </c>
      <c r="H264">
        <f t="shared" si="31"/>
        <v>-0.40000000000000568</v>
      </c>
      <c r="I264">
        <f t="shared" si="30"/>
        <v>0</v>
      </c>
      <c r="J264">
        <f t="shared" si="30"/>
        <v>0.20000000000000284</v>
      </c>
      <c r="K264">
        <f t="shared" si="30"/>
        <v>-0.29999999999999716</v>
      </c>
      <c r="L264">
        <f t="shared" si="30"/>
        <v>0.19999999999998863</v>
      </c>
      <c r="M264">
        <f t="shared" ref="M264:P327" si="32">L263</f>
        <v>0.40000000000000568</v>
      </c>
      <c r="N264">
        <f t="shared" si="26"/>
        <v>0</v>
      </c>
      <c r="O264">
        <f t="shared" si="25"/>
        <v>-9.9999999999994316E-2</v>
      </c>
      <c r="P264">
        <f t="shared" si="25"/>
        <v>0</v>
      </c>
      <c r="R264">
        <v>-0.29999999999999716</v>
      </c>
      <c r="S264">
        <v>100.8</v>
      </c>
      <c r="T264">
        <v>0.29999999999999716</v>
      </c>
      <c r="U264">
        <v>0.40000000000000568</v>
      </c>
      <c r="V264">
        <v>0</v>
      </c>
      <c r="W264">
        <v>-0.40000000000000568</v>
      </c>
      <c r="X264">
        <v>0</v>
      </c>
      <c r="Y264">
        <v>0.20000000000000284</v>
      </c>
      <c r="Z264">
        <v>-0.29999999999999716</v>
      </c>
      <c r="AA264">
        <v>0.19999999999998863</v>
      </c>
      <c r="AB264">
        <v>0.40000000000000568</v>
      </c>
      <c r="AC264">
        <v>0</v>
      </c>
      <c r="AD264">
        <v>-9.9999999999994316E-2</v>
      </c>
      <c r="AE264">
        <v>0</v>
      </c>
    </row>
    <row r="265" spans="1:31" x14ac:dyDescent="0.3">
      <c r="A265" s="1">
        <v>42705</v>
      </c>
      <c r="B265">
        <v>100.2</v>
      </c>
      <c r="C265">
        <f t="shared" si="27"/>
        <v>-0.29999999999999716</v>
      </c>
      <c r="D265">
        <f t="shared" si="28"/>
        <v>100.5</v>
      </c>
      <c r="E265">
        <f t="shared" si="29"/>
        <v>-0.29999999999999716</v>
      </c>
      <c r="F265">
        <f t="shared" si="31"/>
        <v>0.29999999999999716</v>
      </c>
      <c r="G265">
        <f t="shared" si="31"/>
        <v>0.40000000000000568</v>
      </c>
      <c r="H265">
        <f t="shared" si="31"/>
        <v>0</v>
      </c>
      <c r="I265">
        <f t="shared" si="30"/>
        <v>-0.40000000000000568</v>
      </c>
      <c r="J265">
        <f t="shared" si="30"/>
        <v>0</v>
      </c>
      <c r="K265">
        <f t="shared" si="30"/>
        <v>0.20000000000000284</v>
      </c>
      <c r="L265">
        <f t="shared" si="30"/>
        <v>-0.29999999999999716</v>
      </c>
      <c r="M265">
        <f t="shared" si="32"/>
        <v>0.19999999999998863</v>
      </c>
      <c r="N265">
        <f t="shared" si="26"/>
        <v>0.40000000000000568</v>
      </c>
      <c r="O265">
        <f t="shared" si="25"/>
        <v>0</v>
      </c>
      <c r="P265">
        <f t="shared" si="25"/>
        <v>-9.9999999999994316E-2</v>
      </c>
      <c r="R265">
        <v>-0.29999999999999716</v>
      </c>
      <c r="S265">
        <v>100.5</v>
      </c>
      <c r="T265">
        <v>-0.29999999999999716</v>
      </c>
      <c r="U265">
        <v>0.29999999999999716</v>
      </c>
      <c r="V265">
        <v>0.40000000000000568</v>
      </c>
      <c r="W265">
        <v>0</v>
      </c>
      <c r="X265">
        <v>-0.40000000000000568</v>
      </c>
      <c r="Y265">
        <v>0</v>
      </c>
      <c r="Z265">
        <v>0.20000000000000284</v>
      </c>
      <c r="AA265">
        <v>-0.29999999999999716</v>
      </c>
      <c r="AB265">
        <v>0.19999999999998863</v>
      </c>
      <c r="AC265">
        <v>0.40000000000000568</v>
      </c>
      <c r="AD265">
        <v>0</v>
      </c>
      <c r="AE265">
        <v>-9.9999999999994316E-2</v>
      </c>
    </row>
    <row r="266" spans="1:31" x14ac:dyDescent="0.3">
      <c r="A266" s="1">
        <v>42736</v>
      </c>
      <c r="B266">
        <v>100.5</v>
      </c>
      <c r="C266">
        <f t="shared" si="27"/>
        <v>0.29999999999999716</v>
      </c>
      <c r="D266">
        <f t="shared" si="28"/>
        <v>100.2</v>
      </c>
      <c r="E266">
        <f t="shared" si="29"/>
        <v>-0.29999999999999716</v>
      </c>
      <c r="F266">
        <f t="shared" si="31"/>
        <v>-0.29999999999999716</v>
      </c>
      <c r="G266">
        <f t="shared" si="31"/>
        <v>0.29999999999999716</v>
      </c>
      <c r="H266">
        <f t="shared" si="31"/>
        <v>0.40000000000000568</v>
      </c>
      <c r="I266">
        <f t="shared" si="30"/>
        <v>0</v>
      </c>
      <c r="J266">
        <f t="shared" si="30"/>
        <v>-0.40000000000000568</v>
      </c>
      <c r="K266">
        <f t="shared" si="30"/>
        <v>0</v>
      </c>
      <c r="L266">
        <f t="shared" si="30"/>
        <v>0.20000000000000284</v>
      </c>
      <c r="M266">
        <f t="shared" si="32"/>
        <v>-0.29999999999999716</v>
      </c>
      <c r="N266">
        <f t="shared" si="26"/>
        <v>0.19999999999998863</v>
      </c>
      <c r="O266">
        <f t="shared" si="25"/>
        <v>0.40000000000000568</v>
      </c>
      <c r="P266">
        <f t="shared" si="25"/>
        <v>0</v>
      </c>
      <c r="R266">
        <v>0.29999999999999716</v>
      </c>
      <c r="S266">
        <v>100.2</v>
      </c>
      <c r="T266">
        <v>-0.29999999999999716</v>
      </c>
      <c r="U266">
        <v>-0.29999999999999716</v>
      </c>
      <c r="V266">
        <v>0.29999999999999716</v>
      </c>
      <c r="W266">
        <v>0.40000000000000568</v>
      </c>
      <c r="X266">
        <v>0</v>
      </c>
      <c r="Y266">
        <v>-0.40000000000000568</v>
      </c>
      <c r="Z266">
        <v>0</v>
      </c>
      <c r="AA266">
        <v>0.20000000000000284</v>
      </c>
      <c r="AB266">
        <v>-0.29999999999999716</v>
      </c>
      <c r="AC266">
        <v>0.19999999999998863</v>
      </c>
      <c r="AD266">
        <v>0.40000000000000568</v>
      </c>
      <c r="AE266">
        <v>0</v>
      </c>
    </row>
    <row r="267" spans="1:31" x14ac:dyDescent="0.3">
      <c r="A267" s="1">
        <v>42767</v>
      </c>
      <c r="B267">
        <v>100.2</v>
      </c>
      <c r="C267">
        <f t="shared" si="27"/>
        <v>-0.29999999999999716</v>
      </c>
      <c r="D267">
        <f t="shared" si="28"/>
        <v>100.5</v>
      </c>
      <c r="E267">
        <f t="shared" si="29"/>
        <v>0.29999999999999716</v>
      </c>
      <c r="F267">
        <f t="shared" si="31"/>
        <v>-0.29999999999999716</v>
      </c>
      <c r="G267">
        <f t="shared" si="31"/>
        <v>-0.29999999999999716</v>
      </c>
      <c r="H267">
        <f t="shared" si="31"/>
        <v>0.29999999999999716</v>
      </c>
      <c r="I267">
        <f t="shared" si="30"/>
        <v>0.40000000000000568</v>
      </c>
      <c r="J267">
        <f t="shared" si="30"/>
        <v>0</v>
      </c>
      <c r="K267">
        <f t="shared" si="30"/>
        <v>-0.40000000000000568</v>
      </c>
      <c r="L267">
        <f t="shared" si="30"/>
        <v>0</v>
      </c>
      <c r="M267">
        <f t="shared" si="32"/>
        <v>0.20000000000000284</v>
      </c>
      <c r="N267">
        <f t="shared" si="26"/>
        <v>-0.29999999999999716</v>
      </c>
      <c r="O267">
        <f t="shared" si="25"/>
        <v>0.19999999999998863</v>
      </c>
      <c r="P267">
        <f t="shared" si="25"/>
        <v>0.40000000000000568</v>
      </c>
      <c r="R267">
        <v>-0.29999999999999716</v>
      </c>
      <c r="S267">
        <v>100.5</v>
      </c>
      <c r="T267">
        <v>0.29999999999999716</v>
      </c>
      <c r="U267">
        <v>-0.29999999999999716</v>
      </c>
      <c r="V267">
        <v>-0.29999999999999716</v>
      </c>
      <c r="W267">
        <v>0.29999999999999716</v>
      </c>
      <c r="X267">
        <v>0.40000000000000568</v>
      </c>
      <c r="Y267">
        <v>0</v>
      </c>
      <c r="Z267">
        <v>-0.40000000000000568</v>
      </c>
      <c r="AA267">
        <v>0</v>
      </c>
      <c r="AB267">
        <v>0.20000000000000284</v>
      </c>
      <c r="AC267">
        <v>-0.29999999999999716</v>
      </c>
      <c r="AD267">
        <v>0.19999999999998863</v>
      </c>
      <c r="AE267">
        <v>0.40000000000000568</v>
      </c>
    </row>
    <row r="268" spans="1:31" x14ac:dyDescent="0.3">
      <c r="A268" s="1">
        <v>42795</v>
      </c>
      <c r="B268">
        <v>100.2</v>
      </c>
      <c r="C268">
        <f t="shared" si="27"/>
        <v>0</v>
      </c>
      <c r="D268">
        <f t="shared" si="28"/>
        <v>100.2</v>
      </c>
      <c r="E268">
        <f t="shared" si="29"/>
        <v>-0.29999999999999716</v>
      </c>
      <c r="F268">
        <f t="shared" si="31"/>
        <v>0.29999999999999716</v>
      </c>
      <c r="G268">
        <f t="shared" si="31"/>
        <v>-0.29999999999999716</v>
      </c>
      <c r="H268">
        <f t="shared" si="31"/>
        <v>-0.29999999999999716</v>
      </c>
      <c r="I268">
        <f t="shared" si="30"/>
        <v>0.29999999999999716</v>
      </c>
      <c r="J268">
        <f t="shared" si="30"/>
        <v>0.40000000000000568</v>
      </c>
      <c r="K268">
        <f t="shared" si="30"/>
        <v>0</v>
      </c>
      <c r="L268">
        <f t="shared" si="30"/>
        <v>-0.40000000000000568</v>
      </c>
      <c r="M268">
        <f t="shared" si="32"/>
        <v>0</v>
      </c>
      <c r="N268">
        <f t="shared" si="26"/>
        <v>0.20000000000000284</v>
      </c>
      <c r="O268">
        <f t="shared" si="25"/>
        <v>-0.29999999999999716</v>
      </c>
      <c r="P268">
        <f t="shared" si="25"/>
        <v>0.19999999999998863</v>
      </c>
      <c r="R268">
        <v>0</v>
      </c>
      <c r="S268">
        <v>100.2</v>
      </c>
      <c r="T268">
        <v>-0.29999999999999716</v>
      </c>
      <c r="U268">
        <v>0.29999999999999716</v>
      </c>
      <c r="V268">
        <v>-0.29999999999999716</v>
      </c>
      <c r="W268">
        <v>-0.29999999999999716</v>
      </c>
      <c r="X268">
        <v>0.29999999999999716</v>
      </c>
      <c r="Y268">
        <v>0.40000000000000568</v>
      </c>
      <c r="Z268">
        <v>0</v>
      </c>
      <c r="AA268">
        <v>-0.40000000000000568</v>
      </c>
      <c r="AB268">
        <v>0</v>
      </c>
      <c r="AC268">
        <v>0.20000000000000284</v>
      </c>
      <c r="AD268">
        <v>-0.29999999999999716</v>
      </c>
      <c r="AE268">
        <v>0.19999999999998863</v>
      </c>
    </row>
    <row r="269" spans="1:31" x14ac:dyDescent="0.3">
      <c r="A269" s="1">
        <v>42826</v>
      </c>
      <c r="B269">
        <v>100</v>
      </c>
      <c r="C269">
        <f t="shared" si="27"/>
        <v>-0.20000000000000284</v>
      </c>
      <c r="D269">
        <f t="shared" si="28"/>
        <v>100.2</v>
      </c>
      <c r="E269">
        <f t="shared" si="29"/>
        <v>0</v>
      </c>
      <c r="F269">
        <f t="shared" si="31"/>
        <v>-0.29999999999999716</v>
      </c>
      <c r="G269">
        <f t="shared" si="31"/>
        <v>0.29999999999999716</v>
      </c>
      <c r="H269">
        <f t="shared" si="31"/>
        <v>-0.29999999999999716</v>
      </c>
      <c r="I269">
        <f t="shared" si="30"/>
        <v>-0.29999999999999716</v>
      </c>
      <c r="J269">
        <f t="shared" si="30"/>
        <v>0.29999999999999716</v>
      </c>
      <c r="K269">
        <f t="shared" si="30"/>
        <v>0.40000000000000568</v>
      </c>
      <c r="L269">
        <f t="shared" si="30"/>
        <v>0</v>
      </c>
      <c r="M269">
        <f t="shared" si="32"/>
        <v>-0.40000000000000568</v>
      </c>
      <c r="N269">
        <f t="shared" si="26"/>
        <v>0</v>
      </c>
      <c r="O269">
        <f t="shared" si="25"/>
        <v>0.20000000000000284</v>
      </c>
      <c r="P269">
        <f t="shared" si="25"/>
        <v>-0.29999999999999716</v>
      </c>
      <c r="R269">
        <v>-0.20000000000000284</v>
      </c>
      <c r="S269">
        <v>100.2</v>
      </c>
      <c r="T269">
        <v>0</v>
      </c>
      <c r="U269">
        <v>-0.29999999999999716</v>
      </c>
      <c r="V269">
        <v>0.29999999999999716</v>
      </c>
      <c r="W269">
        <v>-0.29999999999999716</v>
      </c>
      <c r="X269">
        <v>-0.29999999999999716</v>
      </c>
      <c r="Y269">
        <v>0.29999999999999716</v>
      </c>
      <c r="Z269">
        <v>0.40000000000000568</v>
      </c>
      <c r="AA269">
        <v>0</v>
      </c>
      <c r="AB269">
        <v>-0.40000000000000568</v>
      </c>
      <c r="AC269">
        <v>0</v>
      </c>
      <c r="AD269">
        <v>0.20000000000000284</v>
      </c>
      <c r="AE269">
        <v>-0.29999999999999716</v>
      </c>
    </row>
    <row r="270" spans="1:31" x14ac:dyDescent="0.3">
      <c r="A270" s="1">
        <v>42856</v>
      </c>
      <c r="B270">
        <v>99.5</v>
      </c>
      <c r="C270">
        <f t="shared" si="27"/>
        <v>-0.5</v>
      </c>
      <c r="D270">
        <f t="shared" si="28"/>
        <v>100</v>
      </c>
      <c r="E270">
        <f t="shared" si="29"/>
        <v>-0.20000000000000284</v>
      </c>
      <c r="F270">
        <f t="shared" si="31"/>
        <v>0</v>
      </c>
      <c r="G270">
        <f t="shared" si="31"/>
        <v>-0.29999999999999716</v>
      </c>
      <c r="H270">
        <f t="shared" si="31"/>
        <v>0.29999999999999716</v>
      </c>
      <c r="I270">
        <f t="shared" si="30"/>
        <v>-0.29999999999999716</v>
      </c>
      <c r="J270">
        <f t="shared" si="30"/>
        <v>-0.29999999999999716</v>
      </c>
      <c r="K270">
        <f t="shared" si="30"/>
        <v>0.29999999999999716</v>
      </c>
      <c r="L270">
        <f t="shared" si="30"/>
        <v>0.40000000000000568</v>
      </c>
      <c r="M270">
        <f t="shared" si="32"/>
        <v>0</v>
      </c>
      <c r="N270">
        <f t="shared" si="26"/>
        <v>-0.40000000000000568</v>
      </c>
      <c r="O270">
        <f t="shared" si="26"/>
        <v>0</v>
      </c>
      <c r="P270">
        <f t="shared" si="26"/>
        <v>0.20000000000000284</v>
      </c>
      <c r="R270">
        <v>-0.5</v>
      </c>
      <c r="S270">
        <v>100</v>
      </c>
      <c r="T270">
        <v>-0.20000000000000284</v>
      </c>
      <c r="U270">
        <v>0</v>
      </c>
      <c r="V270">
        <v>-0.29999999999999716</v>
      </c>
      <c r="W270">
        <v>0.29999999999999716</v>
      </c>
      <c r="X270">
        <v>-0.29999999999999716</v>
      </c>
      <c r="Y270">
        <v>-0.29999999999999716</v>
      </c>
      <c r="Z270">
        <v>0.29999999999999716</v>
      </c>
      <c r="AA270">
        <v>0.40000000000000568</v>
      </c>
      <c r="AB270">
        <v>0</v>
      </c>
      <c r="AC270">
        <v>-0.40000000000000568</v>
      </c>
      <c r="AD270">
        <v>0</v>
      </c>
      <c r="AE270">
        <v>0.20000000000000284</v>
      </c>
    </row>
    <row r="271" spans="1:31" x14ac:dyDescent="0.3">
      <c r="A271" s="1">
        <v>42887</v>
      </c>
      <c r="B271">
        <v>99.8</v>
      </c>
      <c r="C271">
        <f t="shared" si="27"/>
        <v>0.29999999999999716</v>
      </c>
      <c r="D271">
        <f t="shared" si="28"/>
        <v>99.5</v>
      </c>
      <c r="E271">
        <f t="shared" si="29"/>
        <v>-0.5</v>
      </c>
      <c r="F271">
        <f t="shared" si="31"/>
        <v>-0.20000000000000284</v>
      </c>
      <c r="G271">
        <f t="shared" si="31"/>
        <v>0</v>
      </c>
      <c r="H271">
        <f t="shared" si="31"/>
        <v>-0.29999999999999716</v>
      </c>
      <c r="I271">
        <f t="shared" si="30"/>
        <v>0.29999999999999716</v>
      </c>
      <c r="J271">
        <f t="shared" si="30"/>
        <v>-0.29999999999999716</v>
      </c>
      <c r="K271">
        <f t="shared" si="30"/>
        <v>-0.29999999999999716</v>
      </c>
      <c r="L271">
        <f t="shared" si="30"/>
        <v>0.29999999999999716</v>
      </c>
      <c r="M271">
        <f t="shared" si="32"/>
        <v>0.40000000000000568</v>
      </c>
      <c r="N271">
        <f t="shared" si="26"/>
        <v>0</v>
      </c>
      <c r="O271">
        <f t="shared" si="26"/>
        <v>-0.40000000000000568</v>
      </c>
      <c r="P271">
        <f t="shared" si="26"/>
        <v>0</v>
      </c>
      <c r="R271">
        <v>0.29999999999999716</v>
      </c>
      <c r="S271">
        <v>99.5</v>
      </c>
      <c r="T271">
        <v>-0.5</v>
      </c>
      <c r="U271">
        <v>-0.20000000000000284</v>
      </c>
      <c r="V271">
        <v>0</v>
      </c>
      <c r="W271">
        <v>-0.29999999999999716</v>
      </c>
      <c r="X271">
        <v>0.29999999999999716</v>
      </c>
      <c r="Y271">
        <v>-0.29999999999999716</v>
      </c>
      <c r="Z271">
        <v>-0.29999999999999716</v>
      </c>
      <c r="AA271">
        <v>0.29999999999999716</v>
      </c>
      <c r="AB271">
        <v>0.40000000000000568</v>
      </c>
      <c r="AC271">
        <v>0</v>
      </c>
      <c r="AD271">
        <v>-0.40000000000000568</v>
      </c>
      <c r="AE271">
        <v>0</v>
      </c>
    </row>
    <row r="272" spans="1:31" x14ac:dyDescent="0.3">
      <c r="A272" s="1">
        <v>42917</v>
      </c>
      <c r="B272">
        <v>100.1</v>
      </c>
      <c r="C272">
        <f t="shared" si="27"/>
        <v>0.29999999999999716</v>
      </c>
      <c r="D272">
        <f t="shared" si="28"/>
        <v>99.8</v>
      </c>
      <c r="E272">
        <f t="shared" si="29"/>
        <v>0.29999999999999716</v>
      </c>
      <c r="F272">
        <f t="shared" si="31"/>
        <v>-0.5</v>
      </c>
      <c r="G272">
        <f t="shared" si="31"/>
        <v>-0.20000000000000284</v>
      </c>
      <c r="H272">
        <f t="shared" si="31"/>
        <v>0</v>
      </c>
      <c r="I272">
        <f t="shared" si="30"/>
        <v>-0.29999999999999716</v>
      </c>
      <c r="J272">
        <f t="shared" si="30"/>
        <v>0.29999999999999716</v>
      </c>
      <c r="K272">
        <f t="shared" si="30"/>
        <v>-0.29999999999999716</v>
      </c>
      <c r="L272">
        <f t="shared" si="30"/>
        <v>-0.29999999999999716</v>
      </c>
      <c r="M272">
        <f t="shared" si="32"/>
        <v>0.29999999999999716</v>
      </c>
      <c r="N272">
        <f t="shared" si="26"/>
        <v>0.40000000000000568</v>
      </c>
      <c r="O272">
        <f t="shared" si="26"/>
        <v>0</v>
      </c>
      <c r="P272">
        <f t="shared" si="26"/>
        <v>-0.40000000000000568</v>
      </c>
      <c r="R272">
        <v>0.29999999999999716</v>
      </c>
      <c r="S272">
        <v>99.8</v>
      </c>
      <c r="T272">
        <v>0.29999999999999716</v>
      </c>
      <c r="U272">
        <v>-0.5</v>
      </c>
      <c r="V272">
        <v>-0.20000000000000284</v>
      </c>
      <c r="W272">
        <v>0</v>
      </c>
      <c r="X272">
        <v>-0.29999999999999716</v>
      </c>
      <c r="Y272">
        <v>0.29999999999999716</v>
      </c>
      <c r="Z272">
        <v>-0.29999999999999716</v>
      </c>
      <c r="AA272">
        <v>-0.29999999999999716</v>
      </c>
      <c r="AB272">
        <v>0.29999999999999716</v>
      </c>
      <c r="AC272">
        <v>0.40000000000000568</v>
      </c>
      <c r="AD272">
        <v>0</v>
      </c>
      <c r="AE272">
        <v>-0.40000000000000568</v>
      </c>
    </row>
    <row r="273" spans="1:31" x14ac:dyDescent="0.3">
      <c r="A273" s="1">
        <v>42948</v>
      </c>
      <c r="B273">
        <v>100.9</v>
      </c>
      <c r="C273">
        <f t="shared" si="27"/>
        <v>0.80000000000001137</v>
      </c>
      <c r="D273">
        <f t="shared" si="28"/>
        <v>100.1</v>
      </c>
      <c r="E273">
        <f t="shared" si="29"/>
        <v>0.29999999999999716</v>
      </c>
      <c r="F273">
        <f t="shared" si="31"/>
        <v>0.29999999999999716</v>
      </c>
      <c r="G273">
        <f t="shared" si="31"/>
        <v>-0.5</v>
      </c>
      <c r="H273">
        <f t="shared" si="31"/>
        <v>-0.20000000000000284</v>
      </c>
      <c r="I273">
        <f t="shared" si="30"/>
        <v>0</v>
      </c>
      <c r="J273">
        <f t="shared" si="30"/>
        <v>-0.29999999999999716</v>
      </c>
      <c r="K273">
        <f t="shared" si="30"/>
        <v>0.29999999999999716</v>
      </c>
      <c r="L273">
        <f t="shared" si="30"/>
        <v>-0.29999999999999716</v>
      </c>
      <c r="M273">
        <f t="shared" si="32"/>
        <v>-0.29999999999999716</v>
      </c>
      <c r="N273">
        <f t="shared" si="26"/>
        <v>0.29999999999999716</v>
      </c>
      <c r="O273">
        <f t="shared" si="26"/>
        <v>0.40000000000000568</v>
      </c>
      <c r="P273">
        <f t="shared" si="26"/>
        <v>0</v>
      </c>
      <c r="R273">
        <v>0.80000000000001137</v>
      </c>
      <c r="S273">
        <v>100.1</v>
      </c>
      <c r="T273">
        <v>0.29999999999999716</v>
      </c>
      <c r="U273">
        <v>0.29999999999999716</v>
      </c>
      <c r="V273">
        <v>-0.5</v>
      </c>
      <c r="W273">
        <v>-0.20000000000000284</v>
      </c>
      <c r="X273">
        <v>0</v>
      </c>
      <c r="Y273">
        <v>-0.29999999999999716</v>
      </c>
      <c r="Z273">
        <v>0.29999999999999716</v>
      </c>
      <c r="AA273">
        <v>-0.29999999999999716</v>
      </c>
      <c r="AB273">
        <v>-0.29999999999999716</v>
      </c>
      <c r="AC273">
        <v>0.29999999999999716</v>
      </c>
      <c r="AD273">
        <v>0.40000000000000568</v>
      </c>
      <c r="AE273">
        <v>0</v>
      </c>
    </row>
    <row r="274" spans="1:31" x14ac:dyDescent="0.3">
      <c r="A274" s="1">
        <v>42979</v>
      </c>
      <c r="B274">
        <v>100.6</v>
      </c>
      <c r="C274">
        <f t="shared" si="27"/>
        <v>-0.30000000000001137</v>
      </c>
      <c r="D274">
        <f t="shared" si="28"/>
        <v>100.9</v>
      </c>
      <c r="E274">
        <f t="shared" si="29"/>
        <v>0.80000000000001137</v>
      </c>
      <c r="F274">
        <f t="shared" si="31"/>
        <v>0.29999999999999716</v>
      </c>
      <c r="G274">
        <f t="shared" si="31"/>
        <v>0.29999999999999716</v>
      </c>
      <c r="H274">
        <f t="shared" si="31"/>
        <v>-0.5</v>
      </c>
      <c r="I274">
        <f t="shared" si="30"/>
        <v>-0.20000000000000284</v>
      </c>
      <c r="J274">
        <f t="shared" si="30"/>
        <v>0</v>
      </c>
      <c r="K274">
        <f t="shared" si="30"/>
        <v>-0.29999999999999716</v>
      </c>
      <c r="L274">
        <f t="shared" si="30"/>
        <v>0.29999999999999716</v>
      </c>
      <c r="M274">
        <f t="shared" si="32"/>
        <v>-0.29999999999999716</v>
      </c>
      <c r="N274">
        <f t="shared" si="26"/>
        <v>-0.29999999999999716</v>
      </c>
      <c r="O274">
        <f t="shared" si="26"/>
        <v>0.29999999999999716</v>
      </c>
      <c r="P274">
        <f t="shared" si="26"/>
        <v>0.40000000000000568</v>
      </c>
      <c r="R274">
        <v>-0.30000000000001137</v>
      </c>
      <c r="S274">
        <v>100.9</v>
      </c>
      <c r="T274">
        <v>0.80000000000001137</v>
      </c>
      <c r="U274">
        <v>0.29999999999999716</v>
      </c>
      <c r="V274">
        <v>0.29999999999999716</v>
      </c>
      <c r="W274">
        <v>-0.5</v>
      </c>
      <c r="X274">
        <v>-0.20000000000000284</v>
      </c>
      <c r="Y274">
        <v>0</v>
      </c>
      <c r="Z274">
        <v>-0.29999999999999716</v>
      </c>
      <c r="AA274">
        <v>0.29999999999999716</v>
      </c>
      <c r="AB274">
        <v>-0.29999999999999716</v>
      </c>
      <c r="AC274">
        <v>-0.29999999999999716</v>
      </c>
      <c r="AD274">
        <v>0.29999999999999716</v>
      </c>
      <c r="AE274">
        <v>0.40000000000000568</v>
      </c>
    </row>
    <row r="275" spans="1:31" x14ac:dyDescent="0.3">
      <c r="A275" s="1">
        <v>43009</v>
      </c>
      <c r="B275">
        <v>100.4</v>
      </c>
      <c r="C275">
        <f t="shared" si="27"/>
        <v>-0.19999999999998863</v>
      </c>
      <c r="D275">
        <f t="shared" si="28"/>
        <v>100.6</v>
      </c>
      <c r="E275">
        <f t="shared" si="29"/>
        <v>-0.30000000000001137</v>
      </c>
      <c r="F275">
        <f t="shared" si="31"/>
        <v>0.80000000000001137</v>
      </c>
      <c r="G275">
        <f t="shared" si="31"/>
        <v>0.29999999999999716</v>
      </c>
      <c r="H275">
        <f t="shared" si="31"/>
        <v>0.29999999999999716</v>
      </c>
      <c r="I275">
        <f t="shared" si="30"/>
        <v>-0.5</v>
      </c>
      <c r="J275">
        <f t="shared" si="30"/>
        <v>-0.20000000000000284</v>
      </c>
      <c r="K275">
        <f t="shared" si="30"/>
        <v>0</v>
      </c>
      <c r="L275">
        <f t="shared" si="30"/>
        <v>-0.29999999999999716</v>
      </c>
      <c r="M275">
        <f t="shared" si="32"/>
        <v>0.29999999999999716</v>
      </c>
      <c r="N275">
        <f t="shared" si="26"/>
        <v>-0.29999999999999716</v>
      </c>
      <c r="O275">
        <f t="shared" si="26"/>
        <v>-0.29999999999999716</v>
      </c>
      <c r="P275">
        <f t="shared" si="26"/>
        <v>0.29999999999999716</v>
      </c>
      <c r="R275">
        <v>-0.19999999999998863</v>
      </c>
      <c r="S275">
        <v>100.6</v>
      </c>
      <c r="T275">
        <v>-0.30000000000001137</v>
      </c>
      <c r="U275">
        <v>0.80000000000001137</v>
      </c>
      <c r="V275">
        <v>0.29999999999999716</v>
      </c>
      <c r="W275">
        <v>0.29999999999999716</v>
      </c>
      <c r="X275">
        <v>-0.5</v>
      </c>
      <c r="Y275">
        <v>-0.20000000000000284</v>
      </c>
      <c r="Z275">
        <v>0</v>
      </c>
      <c r="AA275">
        <v>-0.29999999999999716</v>
      </c>
      <c r="AB275">
        <v>0.29999999999999716</v>
      </c>
      <c r="AC275">
        <v>-0.29999999999999716</v>
      </c>
      <c r="AD275">
        <v>-0.29999999999999716</v>
      </c>
      <c r="AE275">
        <v>0.29999999999999716</v>
      </c>
    </row>
    <row r="276" spans="1:31" x14ac:dyDescent="0.3">
      <c r="A276" s="1">
        <v>43040</v>
      </c>
      <c r="B276">
        <v>100.1</v>
      </c>
      <c r="C276">
        <f t="shared" si="27"/>
        <v>-0.30000000000001137</v>
      </c>
      <c r="D276">
        <f t="shared" si="28"/>
        <v>100.4</v>
      </c>
      <c r="E276">
        <f t="shared" si="29"/>
        <v>-0.19999999999998863</v>
      </c>
      <c r="F276">
        <f t="shared" si="31"/>
        <v>-0.30000000000001137</v>
      </c>
      <c r="G276">
        <f t="shared" si="31"/>
        <v>0.80000000000001137</v>
      </c>
      <c r="H276">
        <f t="shared" si="31"/>
        <v>0.29999999999999716</v>
      </c>
      <c r="I276">
        <f t="shared" si="30"/>
        <v>0.29999999999999716</v>
      </c>
      <c r="J276">
        <f t="shared" si="30"/>
        <v>-0.5</v>
      </c>
      <c r="K276">
        <f t="shared" si="30"/>
        <v>-0.20000000000000284</v>
      </c>
      <c r="L276">
        <f t="shared" si="30"/>
        <v>0</v>
      </c>
      <c r="M276">
        <f t="shared" si="32"/>
        <v>-0.29999999999999716</v>
      </c>
      <c r="N276">
        <f t="shared" si="26"/>
        <v>0.29999999999999716</v>
      </c>
      <c r="O276">
        <f t="shared" si="26"/>
        <v>-0.29999999999999716</v>
      </c>
      <c r="P276">
        <f t="shared" si="26"/>
        <v>-0.29999999999999716</v>
      </c>
      <c r="R276">
        <v>-0.30000000000001137</v>
      </c>
      <c r="S276">
        <v>100.4</v>
      </c>
      <c r="T276">
        <v>-0.19999999999998863</v>
      </c>
      <c r="U276">
        <v>-0.30000000000001137</v>
      </c>
      <c r="V276">
        <v>0.80000000000001137</v>
      </c>
      <c r="W276">
        <v>0.29999999999999716</v>
      </c>
      <c r="X276">
        <v>0.29999999999999716</v>
      </c>
      <c r="Y276">
        <v>-0.5</v>
      </c>
      <c r="Z276">
        <v>-0.20000000000000284</v>
      </c>
      <c r="AA276">
        <v>0</v>
      </c>
      <c r="AB276">
        <v>-0.29999999999999716</v>
      </c>
      <c r="AC276">
        <v>0.29999999999999716</v>
      </c>
      <c r="AD276">
        <v>-0.29999999999999716</v>
      </c>
      <c r="AE276">
        <v>-0.29999999999999716</v>
      </c>
    </row>
    <row r="277" spans="1:31" x14ac:dyDescent="0.3">
      <c r="A277" s="1">
        <v>43070</v>
      </c>
      <c r="B277">
        <v>100.2</v>
      </c>
      <c r="C277">
        <f t="shared" si="27"/>
        <v>0.10000000000000853</v>
      </c>
      <c r="D277">
        <f t="shared" si="28"/>
        <v>100.1</v>
      </c>
      <c r="E277">
        <f t="shared" si="29"/>
        <v>-0.30000000000001137</v>
      </c>
      <c r="F277">
        <f t="shared" si="31"/>
        <v>-0.19999999999998863</v>
      </c>
      <c r="G277">
        <f t="shared" si="31"/>
        <v>-0.30000000000001137</v>
      </c>
      <c r="H277">
        <f t="shared" si="31"/>
        <v>0.80000000000001137</v>
      </c>
      <c r="I277">
        <f t="shared" si="30"/>
        <v>0.29999999999999716</v>
      </c>
      <c r="J277">
        <f t="shared" si="30"/>
        <v>0.29999999999999716</v>
      </c>
      <c r="K277">
        <f t="shared" si="30"/>
        <v>-0.5</v>
      </c>
      <c r="L277">
        <f t="shared" si="30"/>
        <v>-0.20000000000000284</v>
      </c>
      <c r="M277">
        <f t="shared" si="32"/>
        <v>0</v>
      </c>
      <c r="N277">
        <f t="shared" si="32"/>
        <v>-0.29999999999999716</v>
      </c>
      <c r="O277">
        <f t="shared" si="32"/>
        <v>0.29999999999999716</v>
      </c>
      <c r="P277">
        <f t="shared" si="32"/>
        <v>-0.29999999999999716</v>
      </c>
      <c r="R277">
        <v>0.10000000000000853</v>
      </c>
      <c r="S277">
        <v>100.1</v>
      </c>
      <c r="T277">
        <v>-0.30000000000001137</v>
      </c>
      <c r="U277">
        <v>-0.19999999999998863</v>
      </c>
      <c r="V277">
        <v>-0.30000000000001137</v>
      </c>
      <c r="W277">
        <v>0.80000000000001137</v>
      </c>
      <c r="X277">
        <v>0.29999999999999716</v>
      </c>
      <c r="Y277">
        <v>0.29999999999999716</v>
      </c>
      <c r="Z277">
        <v>-0.5</v>
      </c>
      <c r="AA277">
        <v>-0.20000000000000284</v>
      </c>
      <c r="AB277">
        <v>0</v>
      </c>
      <c r="AC277">
        <v>-0.29999999999999716</v>
      </c>
      <c r="AD277">
        <v>0.29999999999999716</v>
      </c>
      <c r="AE277">
        <v>-0.29999999999999716</v>
      </c>
    </row>
    <row r="278" spans="1:31" x14ac:dyDescent="0.3">
      <c r="A278" s="1">
        <v>43101</v>
      </c>
      <c r="B278">
        <v>100.5</v>
      </c>
      <c r="C278">
        <f t="shared" si="27"/>
        <v>0.29999999999999716</v>
      </c>
      <c r="D278">
        <f t="shared" si="28"/>
        <v>100.2</v>
      </c>
      <c r="E278">
        <f t="shared" si="29"/>
        <v>0.10000000000000853</v>
      </c>
      <c r="F278">
        <f t="shared" si="31"/>
        <v>-0.30000000000001137</v>
      </c>
      <c r="G278">
        <f t="shared" si="31"/>
        <v>-0.19999999999998863</v>
      </c>
      <c r="H278">
        <f t="shared" si="31"/>
        <v>-0.30000000000001137</v>
      </c>
      <c r="I278">
        <f t="shared" si="30"/>
        <v>0.80000000000001137</v>
      </c>
      <c r="J278">
        <f t="shared" si="30"/>
        <v>0.29999999999999716</v>
      </c>
      <c r="K278">
        <f t="shared" si="30"/>
        <v>0.29999999999999716</v>
      </c>
      <c r="L278">
        <f t="shared" si="30"/>
        <v>-0.5</v>
      </c>
      <c r="M278">
        <f t="shared" si="32"/>
        <v>-0.20000000000000284</v>
      </c>
      <c r="N278">
        <f t="shared" si="32"/>
        <v>0</v>
      </c>
      <c r="O278">
        <f t="shared" si="32"/>
        <v>-0.29999999999999716</v>
      </c>
      <c r="P278">
        <f t="shared" si="32"/>
        <v>0.29999999999999716</v>
      </c>
      <c r="R278">
        <v>0.29999999999999716</v>
      </c>
      <c r="S278">
        <v>100.2</v>
      </c>
      <c r="T278">
        <v>0.10000000000000853</v>
      </c>
      <c r="U278">
        <v>-0.30000000000001137</v>
      </c>
      <c r="V278">
        <v>-0.19999999999998863</v>
      </c>
      <c r="W278">
        <v>-0.30000000000001137</v>
      </c>
      <c r="X278">
        <v>0.80000000000001137</v>
      </c>
      <c r="Y278">
        <v>0.29999999999999716</v>
      </c>
      <c r="Z278">
        <v>0.29999999999999716</v>
      </c>
      <c r="AA278">
        <v>-0.5</v>
      </c>
      <c r="AB278">
        <v>-0.20000000000000284</v>
      </c>
      <c r="AC278">
        <v>0</v>
      </c>
      <c r="AD278">
        <v>-0.29999999999999716</v>
      </c>
      <c r="AE278">
        <v>0.29999999999999716</v>
      </c>
    </row>
    <row r="279" spans="1:31" x14ac:dyDescent="0.3">
      <c r="A279" s="1">
        <v>43132</v>
      </c>
      <c r="B279">
        <v>100.7</v>
      </c>
      <c r="C279">
        <f t="shared" si="27"/>
        <v>0.20000000000000284</v>
      </c>
      <c r="D279">
        <f t="shared" si="28"/>
        <v>100.5</v>
      </c>
      <c r="E279">
        <f t="shared" si="29"/>
        <v>0.29999999999999716</v>
      </c>
      <c r="F279">
        <f t="shared" si="31"/>
        <v>0.10000000000000853</v>
      </c>
      <c r="G279">
        <f t="shared" si="31"/>
        <v>-0.30000000000001137</v>
      </c>
      <c r="H279">
        <f t="shared" si="31"/>
        <v>-0.19999999999998863</v>
      </c>
      <c r="I279">
        <f t="shared" si="30"/>
        <v>-0.30000000000001137</v>
      </c>
      <c r="J279">
        <f t="shared" si="30"/>
        <v>0.80000000000001137</v>
      </c>
      <c r="K279">
        <f t="shared" si="30"/>
        <v>0.29999999999999716</v>
      </c>
      <c r="L279">
        <f t="shared" si="30"/>
        <v>0.29999999999999716</v>
      </c>
      <c r="M279">
        <f t="shared" si="32"/>
        <v>-0.5</v>
      </c>
      <c r="N279">
        <f t="shared" si="32"/>
        <v>-0.20000000000000284</v>
      </c>
      <c r="O279">
        <f t="shared" si="32"/>
        <v>0</v>
      </c>
      <c r="P279">
        <f t="shared" si="32"/>
        <v>-0.29999999999999716</v>
      </c>
      <c r="R279">
        <v>0.20000000000000284</v>
      </c>
      <c r="S279">
        <v>100.5</v>
      </c>
      <c r="T279">
        <v>0.29999999999999716</v>
      </c>
      <c r="U279">
        <v>0.10000000000000853</v>
      </c>
      <c r="V279">
        <v>-0.30000000000001137</v>
      </c>
      <c r="W279">
        <v>-0.19999999999998863</v>
      </c>
      <c r="X279">
        <v>-0.30000000000001137</v>
      </c>
      <c r="Y279">
        <v>0.80000000000001137</v>
      </c>
      <c r="Z279">
        <v>0.29999999999999716</v>
      </c>
      <c r="AA279">
        <v>0.29999999999999716</v>
      </c>
      <c r="AB279">
        <v>-0.5</v>
      </c>
      <c r="AC279">
        <v>-0.20000000000000284</v>
      </c>
      <c r="AD279">
        <v>0</v>
      </c>
      <c r="AE279">
        <v>-0.29999999999999716</v>
      </c>
    </row>
    <row r="280" spans="1:31" x14ac:dyDescent="0.3">
      <c r="A280" s="1">
        <v>43160</v>
      </c>
      <c r="B280">
        <v>99.7</v>
      </c>
      <c r="C280">
        <f t="shared" si="27"/>
        <v>-1</v>
      </c>
      <c r="D280">
        <f t="shared" si="28"/>
        <v>100.7</v>
      </c>
      <c r="E280">
        <f t="shared" si="29"/>
        <v>0.20000000000000284</v>
      </c>
      <c r="F280">
        <f t="shared" si="31"/>
        <v>0.29999999999999716</v>
      </c>
      <c r="G280">
        <f t="shared" si="31"/>
        <v>0.10000000000000853</v>
      </c>
      <c r="H280">
        <f t="shared" si="31"/>
        <v>-0.30000000000001137</v>
      </c>
      <c r="I280">
        <f t="shared" si="30"/>
        <v>-0.19999999999998863</v>
      </c>
      <c r="J280">
        <f t="shared" si="30"/>
        <v>-0.30000000000001137</v>
      </c>
      <c r="K280">
        <f t="shared" si="30"/>
        <v>0.80000000000001137</v>
      </c>
      <c r="L280">
        <f t="shared" si="30"/>
        <v>0.29999999999999716</v>
      </c>
      <c r="M280">
        <f t="shared" si="32"/>
        <v>0.29999999999999716</v>
      </c>
      <c r="N280">
        <f t="shared" si="32"/>
        <v>-0.5</v>
      </c>
      <c r="O280">
        <f t="shared" si="32"/>
        <v>-0.20000000000000284</v>
      </c>
      <c r="P280">
        <f t="shared" si="32"/>
        <v>0</v>
      </c>
      <c r="R280">
        <v>-1</v>
      </c>
      <c r="S280">
        <v>100.7</v>
      </c>
      <c r="T280">
        <v>0.20000000000000284</v>
      </c>
      <c r="U280">
        <v>0.29999999999999716</v>
      </c>
      <c r="V280">
        <v>0.10000000000000853</v>
      </c>
      <c r="W280">
        <v>-0.30000000000001137</v>
      </c>
      <c r="X280">
        <v>-0.19999999999998863</v>
      </c>
      <c r="Y280">
        <v>-0.30000000000001137</v>
      </c>
      <c r="Z280">
        <v>0.80000000000001137</v>
      </c>
      <c r="AA280">
        <v>0.29999999999999716</v>
      </c>
      <c r="AB280">
        <v>0.29999999999999716</v>
      </c>
      <c r="AC280">
        <v>-0.5</v>
      </c>
      <c r="AD280">
        <v>-0.20000000000000284</v>
      </c>
      <c r="AE280">
        <v>0</v>
      </c>
    </row>
    <row r="281" spans="1:31" x14ac:dyDescent="0.3">
      <c r="A281" s="1">
        <v>43191</v>
      </c>
      <c r="B281">
        <v>100.1</v>
      </c>
      <c r="C281">
        <f t="shared" si="27"/>
        <v>0.39999999999999147</v>
      </c>
      <c r="D281">
        <f t="shared" si="28"/>
        <v>99.7</v>
      </c>
      <c r="E281">
        <f t="shared" si="29"/>
        <v>-1</v>
      </c>
      <c r="F281">
        <f t="shared" si="31"/>
        <v>0.20000000000000284</v>
      </c>
      <c r="G281">
        <f t="shared" si="31"/>
        <v>0.29999999999999716</v>
      </c>
      <c r="H281">
        <f t="shared" si="31"/>
        <v>0.10000000000000853</v>
      </c>
      <c r="I281">
        <f t="shared" si="30"/>
        <v>-0.30000000000001137</v>
      </c>
      <c r="J281">
        <f t="shared" si="30"/>
        <v>-0.19999999999998863</v>
      </c>
      <c r="K281">
        <f t="shared" si="30"/>
        <v>-0.30000000000001137</v>
      </c>
      <c r="L281">
        <f t="shared" si="30"/>
        <v>0.80000000000001137</v>
      </c>
      <c r="M281">
        <f t="shared" si="32"/>
        <v>0.29999999999999716</v>
      </c>
      <c r="N281">
        <f t="shared" si="32"/>
        <v>0.29999999999999716</v>
      </c>
      <c r="O281">
        <f t="shared" si="32"/>
        <v>-0.5</v>
      </c>
      <c r="P281">
        <f t="shared" si="32"/>
        <v>-0.20000000000000284</v>
      </c>
      <c r="R281">
        <v>0.39999999999999147</v>
      </c>
      <c r="S281">
        <v>99.7</v>
      </c>
      <c r="T281">
        <v>-1</v>
      </c>
      <c r="U281">
        <v>0.20000000000000284</v>
      </c>
      <c r="V281">
        <v>0.29999999999999716</v>
      </c>
      <c r="W281">
        <v>0.10000000000000853</v>
      </c>
      <c r="X281">
        <v>-0.30000000000001137</v>
      </c>
      <c r="Y281">
        <v>-0.19999999999998863</v>
      </c>
      <c r="Z281">
        <v>-0.30000000000001137</v>
      </c>
      <c r="AA281">
        <v>0.80000000000001137</v>
      </c>
      <c r="AB281">
        <v>0.29999999999999716</v>
      </c>
      <c r="AC281">
        <v>0.29999999999999716</v>
      </c>
      <c r="AD281">
        <v>-0.5</v>
      </c>
      <c r="AE281">
        <v>-0.20000000000000284</v>
      </c>
    </row>
    <row r="282" spans="1:31" x14ac:dyDescent="0.3">
      <c r="A282" s="1">
        <v>43221</v>
      </c>
      <c r="B282">
        <v>100.6</v>
      </c>
      <c r="C282">
        <f t="shared" si="27"/>
        <v>0.5</v>
      </c>
      <c r="D282">
        <f t="shared" si="28"/>
        <v>100.1</v>
      </c>
      <c r="E282">
        <f t="shared" si="29"/>
        <v>0.39999999999999147</v>
      </c>
      <c r="F282">
        <f t="shared" si="31"/>
        <v>-1</v>
      </c>
      <c r="G282">
        <f t="shared" si="31"/>
        <v>0.20000000000000284</v>
      </c>
      <c r="H282">
        <f t="shared" si="31"/>
        <v>0.29999999999999716</v>
      </c>
      <c r="I282">
        <f t="shared" si="30"/>
        <v>0.10000000000000853</v>
      </c>
      <c r="J282">
        <f t="shared" si="30"/>
        <v>-0.30000000000001137</v>
      </c>
      <c r="K282">
        <f t="shared" si="30"/>
        <v>-0.19999999999998863</v>
      </c>
      <c r="L282">
        <f t="shared" si="30"/>
        <v>-0.30000000000001137</v>
      </c>
      <c r="M282">
        <f t="shared" si="32"/>
        <v>0.80000000000001137</v>
      </c>
      <c r="N282">
        <f t="shared" si="32"/>
        <v>0.29999999999999716</v>
      </c>
      <c r="O282">
        <f t="shared" si="32"/>
        <v>0.29999999999999716</v>
      </c>
      <c r="P282">
        <f t="shared" si="32"/>
        <v>-0.5</v>
      </c>
      <c r="R282">
        <v>0.5</v>
      </c>
      <c r="S282">
        <v>100.1</v>
      </c>
      <c r="T282">
        <v>0.39999999999999147</v>
      </c>
      <c r="U282">
        <v>-1</v>
      </c>
      <c r="V282">
        <v>0.20000000000000284</v>
      </c>
      <c r="W282">
        <v>0.29999999999999716</v>
      </c>
      <c r="X282">
        <v>0.10000000000000853</v>
      </c>
      <c r="Y282">
        <v>-0.30000000000001137</v>
      </c>
      <c r="Z282">
        <v>-0.19999999999998863</v>
      </c>
      <c r="AA282">
        <v>-0.30000000000001137</v>
      </c>
      <c r="AB282">
        <v>0.80000000000001137</v>
      </c>
      <c r="AC282">
        <v>0.29999999999999716</v>
      </c>
      <c r="AD282">
        <v>0.29999999999999716</v>
      </c>
      <c r="AE282">
        <v>-0.5</v>
      </c>
    </row>
    <row r="283" spans="1:31" x14ac:dyDescent="0.3">
      <c r="A283" s="1">
        <v>43252</v>
      </c>
      <c r="B283">
        <v>100.6</v>
      </c>
      <c r="C283">
        <f t="shared" si="27"/>
        <v>0</v>
      </c>
      <c r="D283">
        <f t="shared" si="28"/>
        <v>100.6</v>
      </c>
      <c r="E283">
        <f t="shared" si="29"/>
        <v>0.5</v>
      </c>
      <c r="F283">
        <f t="shared" si="31"/>
        <v>0.39999999999999147</v>
      </c>
      <c r="G283">
        <f t="shared" si="31"/>
        <v>-1</v>
      </c>
      <c r="H283">
        <f t="shared" si="31"/>
        <v>0.20000000000000284</v>
      </c>
      <c r="I283">
        <f t="shared" si="30"/>
        <v>0.29999999999999716</v>
      </c>
      <c r="J283">
        <f t="shared" si="30"/>
        <v>0.10000000000000853</v>
      </c>
      <c r="K283">
        <f t="shared" si="30"/>
        <v>-0.30000000000001137</v>
      </c>
      <c r="L283">
        <f t="shared" si="30"/>
        <v>-0.19999999999998863</v>
      </c>
      <c r="M283">
        <f t="shared" si="32"/>
        <v>-0.30000000000001137</v>
      </c>
      <c r="N283">
        <f t="shared" si="32"/>
        <v>0.80000000000001137</v>
      </c>
      <c r="O283">
        <f t="shared" si="32"/>
        <v>0.29999999999999716</v>
      </c>
      <c r="P283">
        <f t="shared" si="32"/>
        <v>0.29999999999999716</v>
      </c>
      <c r="R283">
        <v>0</v>
      </c>
      <c r="S283">
        <v>100.6</v>
      </c>
      <c r="T283">
        <v>0.5</v>
      </c>
      <c r="U283">
        <v>0.39999999999999147</v>
      </c>
      <c r="V283">
        <v>-1</v>
      </c>
      <c r="W283">
        <v>0.20000000000000284</v>
      </c>
      <c r="X283">
        <v>0.29999999999999716</v>
      </c>
      <c r="Y283">
        <v>0.10000000000000853</v>
      </c>
      <c r="Z283">
        <v>-0.30000000000001137</v>
      </c>
      <c r="AA283">
        <v>-0.19999999999998863</v>
      </c>
      <c r="AB283">
        <v>-0.30000000000001137</v>
      </c>
      <c r="AC283">
        <v>0.80000000000001137</v>
      </c>
      <c r="AD283">
        <v>0.29999999999999716</v>
      </c>
      <c r="AE283">
        <v>0.29999999999999716</v>
      </c>
    </row>
    <row r="284" spans="1:31" x14ac:dyDescent="0.3">
      <c r="A284" s="1">
        <v>43282</v>
      </c>
      <c r="B284">
        <v>99.9</v>
      </c>
      <c r="C284">
        <f t="shared" si="27"/>
        <v>-0.69999999999998863</v>
      </c>
      <c r="D284">
        <f t="shared" si="28"/>
        <v>100.6</v>
      </c>
      <c r="E284">
        <f t="shared" si="29"/>
        <v>0</v>
      </c>
      <c r="F284">
        <f t="shared" si="31"/>
        <v>0.5</v>
      </c>
      <c r="G284">
        <f t="shared" si="31"/>
        <v>0.39999999999999147</v>
      </c>
      <c r="H284">
        <f t="shared" si="31"/>
        <v>-1</v>
      </c>
      <c r="I284">
        <f t="shared" si="30"/>
        <v>0.20000000000000284</v>
      </c>
      <c r="J284">
        <f t="shared" si="30"/>
        <v>0.29999999999999716</v>
      </c>
      <c r="K284">
        <f t="shared" si="30"/>
        <v>0.10000000000000853</v>
      </c>
      <c r="L284">
        <f t="shared" si="30"/>
        <v>-0.30000000000001137</v>
      </c>
      <c r="M284">
        <f t="shared" si="32"/>
        <v>-0.19999999999998863</v>
      </c>
      <c r="N284">
        <f t="shared" si="32"/>
        <v>-0.30000000000001137</v>
      </c>
      <c r="O284">
        <f t="shared" si="32"/>
        <v>0.80000000000001137</v>
      </c>
      <c r="P284">
        <f t="shared" si="32"/>
        <v>0.29999999999999716</v>
      </c>
      <c r="R284">
        <v>-0.69999999999998863</v>
      </c>
      <c r="S284">
        <v>100.6</v>
      </c>
      <c r="T284">
        <v>0</v>
      </c>
      <c r="U284">
        <v>0.5</v>
      </c>
      <c r="V284">
        <v>0.39999999999999147</v>
      </c>
      <c r="W284">
        <v>-1</v>
      </c>
      <c r="X284">
        <v>0.20000000000000284</v>
      </c>
      <c r="Y284">
        <v>0.29999999999999716</v>
      </c>
      <c r="Z284">
        <v>0.10000000000000853</v>
      </c>
      <c r="AA284">
        <v>-0.30000000000001137</v>
      </c>
      <c r="AB284">
        <v>-0.19999999999998863</v>
      </c>
      <c r="AC284">
        <v>-0.30000000000001137</v>
      </c>
      <c r="AD284">
        <v>0.80000000000001137</v>
      </c>
      <c r="AE284">
        <v>0.29999999999999716</v>
      </c>
    </row>
    <row r="285" spans="1:31" x14ac:dyDescent="0.3">
      <c r="A285" s="1">
        <v>43313</v>
      </c>
      <c r="B285">
        <v>100.5</v>
      </c>
      <c r="C285">
        <f t="shared" si="27"/>
        <v>0.59999999999999432</v>
      </c>
      <c r="D285">
        <f t="shared" si="28"/>
        <v>99.9</v>
      </c>
      <c r="E285">
        <f t="shared" si="29"/>
        <v>-0.69999999999998863</v>
      </c>
      <c r="F285">
        <f t="shared" si="31"/>
        <v>0</v>
      </c>
      <c r="G285">
        <f t="shared" si="31"/>
        <v>0.5</v>
      </c>
      <c r="H285">
        <f t="shared" si="31"/>
        <v>0.39999999999999147</v>
      </c>
      <c r="I285">
        <f t="shared" si="30"/>
        <v>-1</v>
      </c>
      <c r="J285">
        <f t="shared" si="30"/>
        <v>0.20000000000000284</v>
      </c>
      <c r="K285">
        <f t="shared" si="30"/>
        <v>0.29999999999999716</v>
      </c>
      <c r="L285">
        <f t="shared" si="30"/>
        <v>0.10000000000000853</v>
      </c>
      <c r="M285">
        <f t="shared" si="32"/>
        <v>-0.30000000000001137</v>
      </c>
      <c r="N285">
        <f t="shared" si="32"/>
        <v>-0.19999999999998863</v>
      </c>
      <c r="O285">
        <f t="shared" si="32"/>
        <v>-0.30000000000001137</v>
      </c>
      <c r="P285">
        <f t="shared" si="32"/>
        <v>0.80000000000001137</v>
      </c>
      <c r="R285">
        <v>0.59999999999999432</v>
      </c>
      <c r="S285">
        <v>99.9</v>
      </c>
      <c r="T285">
        <v>-0.69999999999998863</v>
      </c>
      <c r="U285">
        <v>0</v>
      </c>
      <c r="V285">
        <v>0.5</v>
      </c>
      <c r="W285">
        <v>0.39999999999999147</v>
      </c>
      <c r="X285">
        <v>-1</v>
      </c>
      <c r="Y285">
        <v>0.20000000000000284</v>
      </c>
      <c r="Z285">
        <v>0.29999999999999716</v>
      </c>
      <c r="AA285">
        <v>0.10000000000000853</v>
      </c>
      <c r="AB285">
        <v>-0.30000000000001137</v>
      </c>
      <c r="AC285">
        <v>-0.19999999999998863</v>
      </c>
      <c r="AD285">
        <v>-0.30000000000001137</v>
      </c>
      <c r="AE285">
        <v>0.80000000000001137</v>
      </c>
    </row>
    <row r="286" spans="1:31" x14ac:dyDescent="0.3">
      <c r="A286" s="1">
        <v>43344</v>
      </c>
      <c r="B286">
        <v>100.6</v>
      </c>
      <c r="C286">
        <f t="shared" si="27"/>
        <v>9.9999999999994316E-2</v>
      </c>
      <c r="D286">
        <f t="shared" si="28"/>
        <v>100.5</v>
      </c>
      <c r="E286">
        <f t="shared" si="29"/>
        <v>0.59999999999999432</v>
      </c>
      <c r="F286">
        <f t="shared" si="31"/>
        <v>-0.69999999999998863</v>
      </c>
      <c r="G286">
        <f t="shared" si="31"/>
        <v>0</v>
      </c>
      <c r="H286">
        <f t="shared" si="31"/>
        <v>0.5</v>
      </c>
      <c r="I286">
        <f t="shared" si="30"/>
        <v>0.39999999999999147</v>
      </c>
      <c r="J286">
        <f t="shared" si="30"/>
        <v>-1</v>
      </c>
      <c r="K286">
        <f t="shared" si="30"/>
        <v>0.20000000000000284</v>
      </c>
      <c r="L286">
        <f t="shared" si="30"/>
        <v>0.29999999999999716</v>
      </c>
      <c r="M286">
        <f t="shared" si="32"/>
        <v>0.10000000000000853</v>
      </c>
      <c r="N286">
        <f t="shared" si="32"/>
        <v>-0.30000000000001137</v>
      </c>
      <c r="O286">
        <f t="shared" si="32"/>
        <v>-0.19999999999998863</v>
      </c>
      <c r="P286">
        <f t="shared" si="32"/>
        <v>-0.30000000000001137</v>
      </c>
      <c r="R286">
        <v>9.9999999999994316E-2</v>
      </c>
      <c r="S286">
        <v>100.5</v>
      </c>
      <c r="T286">
        <v>0.59999999999999432</v>
      </c>
      <c r="U286">
        <v>-0.69999999999998863</v>
      </c>
      <c r="V286">
        <v>0</v>
      </c>
      <c r="W286">
        <v>0.5</v>
      </c>
      <c r="X286">
        <v>0.39999999999999147</v>
      </c>
      <c r="Y286">
        <v>-1</v>
      </c>
      <c r="Z286">
        <v>0.20000000000000284</v>
      </c>
      <c r="AA286">
        <v>0.29999999999999716</v>
      </c>
      <c r="AB286">
        <v>0.10000000000000853</v>
      </c>
      <c r="AC286">
        <v>-0.30000000000001137</v>
      </c>
      <c r="AD286">
        <v>-0.19999999999998863</v>
      </c>
      <c r="AE286">
        <v>-0.30000000000001137</v>
      </c>
    </row>
    <row r="287" spans="1:31" x14ac:dyDescent="0.3">
      <c r="A287" s="1">
        <v>43374</v>
      </c>
      <c r="B287">
        <v>100.3</v>
      </c>
      <c r="C287">
        <f t="shared" si="27"/>
        <v>-0.29999999999999716</v>
      </c>
      <c r="D287">
        <f t="shared" si="28"/>
        <v>100.6</v>
      </c>
      <c r="E287">
        <f t="shared" si="29"/>
        <v>9.9999999999994316E-2</v>
      </c>
      <c r="F287">
        <f t="shared" si="31"/>
        <v>0.59999999999999432</v>
      </c>
      <c r="G287">
        <f t="shared" si="31"/>
        <v>-0.69999999999998863</v>
      </c>
      <c r="H287">
        <f t="shared" si="31"/>
        <v>0</v>
      </c>
      <c r="I287">
        <f t="shared" si="30"/>
        <v>0.5</v>
      </c>
      <c r="J287">
        <f t="shared" si="30"/>
        <v>0.39999999999999147</v>
      </c>
      <c r="K287">
        <f t="shared" si="30"/>
        <v>-1</v>
      </c>
      <c r="L287">
        <f t="shared" si="30"/>
        <v>0.20000000000000284</v>
      </c>
      <c r="M287">
        <f t="shared" si="32"/>
        <v>0.29999999999999716</v>
      </c>
      <c r="N287">
        <f t="shared" si="32"/>
        <v>0.10000000000000853</v>
      </c>
      <c r="O287">
        <f t="shared" si="32"/>
        <v>-0.30000000000001137</v>
      </c>
      <c r="P287">
        <f t="shared" si="32"/>
        <v>-0.19999999999998863</v>
      </c>
      <c r="R287">
        <v>-0.29999999999999716</v>
      </c>
      <c r="S287">
        <v>100.6</v>
      </c>
      <c r="T287">
        <v>9.9999999999994316E-2</v>
      </c>
      <c r="U287">
        <v>0.59999999999999432</v>
      </c>
      <c r="V287">
        <v>-0.69999999999998863</v>
      </c>
      <c r="W287">
        <v>0</v>
      </c>
      <c r="X287">
        <v>0.5</v>
      </c>
      <c r="Y287">
        <v>0.39999999999999147</v>
      </c>
      <c r="Z287">
        <v>-1</v>
      </c>
      <c r="AA287">
        <v>0.20000000000000284</v>
      </c>
      <c r="AB287">
        <v>0.29999999999999716</v>
      </c>
      <c r="AC287">
        <v>0.10000000000000853</v>
      </c>
      <c r="AD287">
        <v>-0.30000000000001137</v>
      </c>
      <c r="AE287">
        <v>-0.19999999999998863</v>
      </c>
    </row>
    <row r="288" spans="1:31" x14ac:dyDescent="0.3">
      <c r="A288" s="1">
        <v>43405</v>
      </c>
      <c r="B288">
        <v>99.7</v>
      </c>
      <c r="C288">
        <f t="shared" si="27"/>
        <v>-0.59999999999999432</v>
      </c>
      <c r="D288">
        <f t="shared" si="28"/>
        <v>100.3</v>
      </c>
      <c r="E288">
        <f t="shared" si="29"/>
        <v>-0.29999999999999716</v>
      </c>
      <c r="F288">
        <f t="shared" si="31"/>
        <v>9.9999999999994316E-2</v>
      </c>
      <c r="G288">
        <f t="shared" si="31"/>
        <v>0.59999999999999432</v>
      </c>
      <c r="H288">
        <f t="shared" si="31"/>
        <v>-0.69999999999998863</v>
      </c>
      <c r="I288">
        <f t="shared" si="30"/>
        <v>0</v>
      </c>
      <c r="J288">
        <f t="shared" si="30"/>
        <v>0.5</v>
      </c>
      <c r="K288">
        <f t="shared" si="30"/>
        <v>0.39999999999999147</v>
      </c>
      <c r="L288">
        <f t="shared" si="30"/>
        <v>-1</v>
      </c>
      <c r="M288">
        <f t="shared" si="32"/>
        <v>0.20000000000000284</v>
      </c>
      <c r="N288">
        <f t="shared" si="32"/>
        <v>0.29999999999999716</v>
      </c>
      <c r="O288">
        <f t="shared" si="32"/>
        <v>0.10000000000000853</v>
      </c>
      <c r="P288">
        <f t="shared" si="32"/>
        <v>-0.30000000000001137</v>
      </c>
      <c r="R288">
        <v>-0.59999999999999432</v>
      </c>
      <c r="S288">
        <v>100.3</v>
      </c>
      <c r="T288">
        <v>-0.29999999999999716</v>
      </c>
      <c r="U288">
        <v>9.9999999999994316E-2</v>
      </c>
      <c r="V288">
        <v>0.59999999999999432</v>
      </c>
      <c r="W288">
        <v>-0.69999999999998863</v>
      </c>
      <c r="X288">
        <v>0</v>
      </c>
      <c r="Y288">
        <v>0.5</v>
      </c>
      <c r="Z288">
        <v>0.39999999999999147</v>
      </c>
      <c r="AA288">
        <v>-1</v>
      </c>
      <c r="AB288">
        <v>0.20000000000000284</v>
      </c>
      <c r="AC288">
        <v>0.29999999999999716</v>
      </c>
      <c r="AD288">
        <v>0.10000000000000853</v>
      </c>
      <c r="AE288">
        <v>-0.30000000000001137</v>
      </c>
    </row>
    <row r="289" spans="1:31" x14ac:dyDescent="0.3">
      <c r="A289" s="1">
        <v>43435</v>
      </c>
      <c r="B289">
        <v>99.8</v>
      </c>
      <c r="C289">
        <f t="shared" si="27"/>
        <v>9.9999999999994316E-2</v>
      </c>
      <c r="D289">
        <f t="shared" si="28"/>
        <v>99.7</v>
      </c>
      <c r="E289">
        <f t="shared" si="29"/>
        <v>-0.59999999999999432</v>
      </c>
      <c r="F289">
        <f t="shared" si="31"/>
        <v>-0.29999999999999716</v>
      </c>
      <c r="G289">
        <f t="shared" si="31"/>
        <v>9.9999999999994316E-2</v>
      </c>
      <c r="H289">
        <f t="shared" si="31"/>
        <v>0.59999999999999432</v>
      </c>
      <c r="I289">
        <f t="shared" si="30"/>
        <v>-0.69999999999998863</v>
      </c>
      <c r="J289">
        <f t="shared" si="30"/>
        <v>0</v>
      </c>
      <c r="K289">
        <f t="shared" si="30"/>
        <v>0.5</v>
      </c>
      <c r="L289">
        <f t="shared" si="30"/>
        <v>0.39999999999999147</v>
      </c>
      <c r="M289">
        <f t="shared" si="32"/>
        <v>-1</v>
      </c>
      <c r="N289">
        <f t="shared" si="32"/>
        <v>0.20000000000000284</v>
      </c>
      <c r="O289">
        <f t="shared" si="32"/>
        <v>0.29999999999999716</v>
      </c>
      <c r="P289">
        <f t="shared" si="32"/>
        <v>0.10000000000000853</v>
      </c>
      <c r="R289">
        <v>9.9999999999994316E-2</v>
      </c>
      <c r="S289">
        <v>99.7</v>
      </c>
      <c r="T289">
        <v>-0.59999999999999432</v>
      </c>
      <c r="U289">
        <v>-0.29999999999999716</v>
      </c>
      <c r="V289">
        <v>9.9999999999994316E-2</v>
      </c>
      <c r="W289">
        <v>0.59999999999999432</v>
      </c>
      <c r="X289">
        <v>-0.69999999999998863</v>
      </c>
      <c r="Y289">
        <v>0</v>
      </c>
      <c r="Z289">
        <v>0.5</v>
      </c>
      <c r="AA289">
        <v>0.39999999999999147</v>
      </c>
      <c r="AB289">
        <v>-1</v>
      </c>
      <c r="AC289">
        <v>0.20000000000000284</v>
      </c>
      <c r="AD289">
        <v>0.29999999999999716</v>
      </c>
      <c r="AE289">
        <v>0.10000000000000853</v>
      </c>
    </row>
    <row r="290" spans="1:31" x14ac:dyDescent="0.3">
      <c r="A290" s="1">
        <v>43466</v>
      </c>
      <c r="B290">
        <v>100.1</v>
      </c>
      <c r="C290">
        <f t="shared" si="27"/>
        <v>0.29999999999999716</v>
      </c>
      <c r="D290">
        <f t="shared" si="28"/>
        <v>99.8</v>
      </c>
      <c r="E290">
        <f t="shared" si="29"/>
        <v>9.9999999999994316E-2</v>
      </c>
      <c r="F290">
        <f t="shared" si="31"/>
        <v>-0.59999999999999432</v>
      </c>
      <c r="G290">
        <f t="shared" si="31"/>
        <v>-0.29999999999999716</v>
      </c>
      <c r="H290">
        <f t="shared" si="31"/>
        <v>9.9999999999994316E-2</v>
      </c>
      <c r="I290">
        <f t="shared" si="30"/>
        <v>0.59999999999999432</v>
      </c>
      <c r="J290">
        <f t="shared" si="30"/>
        <v>-0.69999999999998863</v>
      </c>
      <c r="K290">
        <f t="shared" si="30"/>
        <v>0</v>
      </c>
      <c r="L290">
        <f t="shared" si="30"/>
        <v>0.5</v>
      </c>
      <c r="M290">
        <f t="shared" si="32"/>
        <v>0.39999999999999147</v>
      </c>
      <c r="N290">
        <f t="shared" si="32"/>
        <v>-1</v>
      </c>
      <c r="O290">
        <f t="shared" si="32"/>
        <v>0.20000000000000284</v>
      </c>
      <c r="P290">
        <f t="shared" si="32"/>
        <v>0.29999999999999716</v>
      </c>
      <c r="R290">
        <v>0.29999999999999716</v>
      </c>
      <c r="S290">
        <v>99.8</v>
      </c>
      <c r="T290">
        <v>9.9999999999994316E-2</v>
      </c>
      <c r="U290">
        <v>-0.59999999999999432</v>
      </c>
      <c r="V290">
        <v>-0.29999999999999716</v>
      </c>
      <c r="W290">
        <v>9.9999999999994316E-2</v>
      </c>
      <c r="X290">
        <v>0.59999999999999432</v>
      </c>
      <c r="Y290">
        <v>-0.69999999999998863</v>
      </c>
      <c r="Z290">
        <v>0</v>
      </c>
      <c r="AA290">
        <v>0.5</v>
      </c>
      <c r="AB290">
        <v>0.39999999999999147</v>
      </c>
      <c r="AC290">
        <v>-1</v>
      </c>
      <c r="AD290">
        <v>0.20000000000000284</v>
      </c>
      <c r="AE290">
        <v>0.29999999999999716</v>
      </c>
    </row>
    <row r="291" spans="1:31" x14ac:dyDescent="0.3">
      <c r="A291" s="1">
        <v>43497</v>
      </c>
      <c r="B291">
        <v>100.8</v>
      </c>
      <c r="C291">
        <f t="shared" si="27"/>
        <v>0.70000000000000284</v>
      </c>
      <c r="D291">
        <f t="shared" si="28"/>
        <v>100.1</v>
      </c>
      <c r="E291">
        <f t="shared" si="29"/>
        <v>0.29999999999999716</v>
      </c>
      <c r="F291">
        <f t="shared" si="31"/>
        <v>9.9999999999994316E-2</v>
      </c>
      <c r="G291">
        <f t="shared" si="31"/>
        <v>-0.59999999999999432</v>
      </c>
      <c r="H291">
        <f t="shared" si="31"/>
        <v>-0.29999999999999716</v>
      </c>
      <c r="I291">
        <f t="shared" si="30"/>
        <v>9.9999999999994316E-2</v>
      </c>
      <c r="J291">
        <f t="shared" si="30"/>
        <v>0.59999999999999432</v>
      </c>
      <c r="K291">
        <f t="shared" si="30"/>
        <v>-0.69999999999998863</v>
      </c>
      <c r="L291">
        <f t="shared" si="30"/>
        <v>0</v>
      </c>
      <c r="M291">
        <f t="shared" si="32"/>
        <v>0.5</v>
      </c>
      <c r="N291">
        <f t="shared" si="32"/>
        <v>0.39999999999999147</v>
      </c>
      <c r="O291">
        <f t="shared" si="32"/>
        <v>-1</v>
      </c>
      <c r="P291">
        <f t="shared" si="32"/>
        <v>0.20000000000000284</v>
      </c>
      <c r="R291">
        <v>0.70000000000000284</v>
      </c>
      <c r="S291">
        <v>100.1</v>
      </c>
      <c r="T291">
        <v>0.29999999999999716</v>
      </c>
      <c r="U291">
        <v>9.9999999999994316E-2</v>
      </c>
      <c r="V291">
        <v>-0.59999999999999432</v>
      </c>
      <c r="W291">
        <v>-0.29999999999999716</v>
      </c>
      <c r="X291">
        <v>9.9999999999994316E-2</v>
      </c>
      <c r="Y291">
        <v>0.59999999999999432</v>
      </c>
      <c r="Z291">
        <v>-0.69999999999998863</v>
      </c>
      <c r="AA291">
        <v>0</v>
      </c>
      <c r="AB291">
        <v>0.5</v>
      </c>
      <c r="AC291">
        <v>0.39999999999999147</v>
      </c>
      <c r="AD291">
        <v>-1</v>
      </c>
      <c r="AE291">
        <v>0.20000000000000284</v>
      </c>
    </row>
    <row r="292" spans="1:31" x14ac:dyDescent="0.3">
      <c r="A292" s="1">
        <v>43525</v>
      </c>
      <c r="B292">
        <v>99.8</v>
      </c>
      <c r="C292">
        <f t="shared" si="27"/>
        <v>-1</v>
      </c>
      <c r="D292">
        <f t="shared" si="28"/>
        <v>100.8</v>
      </c>
      <c r="E292">
        <f t="shared" si="29"/>
        <v>0.70000000000000284</v>
      </c>
      <c r="F292">
        <f t="shared" si="31"/>
        <v>0.29999999999999716</v>
      </c>
      <c r="G292">
        <f t="shared" si="31"/>
        <v>9.9999999999994316E-2</v>
      </c>
      <c r="H292">
        <f t="shared" si="31"/>
        <v>-0.59999999999999432</v>
      </c>
      <c r="I292">
        <f t="shared" si="30"/>
        <v>-0.29999999999999716</v>
      </c>
      <c r="J292">
        <f t="shared" si="30"/>
        <v>9.9999999999994316E-2</v>
      </c>
      <c r="K292">
        <f t="shared" si="30"/>
        <v>0.59999999999999432</v>
      </c>
      <c r="L292">
        <f t="shared" si="30"/>
        <v>-0.69999999999998863</v>
      </c>
      <c r="M292">
        <f t="shared" si="32"/>
        <v>0</v>
      </c>
      <c r="N292">
        <f t="shared" si="32"/>
        <v>0.5</v>
      </c>
      <c r="O292">
        <f t="shared" si="32"/>
        <v>0.39999999999999147</v>
      </c>
      <c r="P292">
        <f t="shared" si="32"/>
        <v>-1</v>
      </c>
      <c r="R292">
        <v>-1</v>
      </c>
      <c r="S292">
        <v>100.8</v>
      </c>
      <c r="T292">
        <v>0.70000000000000284</v>
      </c>
      <c r="U292">
        <v>0.29999999999999716</v>
      </c>
      <c r="V292">
        <v>9.9999999999994316E-2</v>
      </c>
      <c r="W292">
        <v>-0.59999999999999432</v>
      </c>
      <c r="X292">
        <v>-0.29999999999999716</v>
      </c>
      <c r="Y292">
        <v>9.9999999999994316E-2</v>
      </c>
      <c r="Z292">
        <v>0.59999999999999432</v>
      </c>
      <c r="AA292">
        <v>-0.69999999999998863</v>
      </c>
      <c r="AB292">
        <v>0</v>
      </c>
      <c r="AC292">
        <v>0.5</v>
      </c>
      <c r="AD292">
        <v>0.39999999999999147</v>
      </c>
      <c r="AE292">
        <v>-1</v>
      </c>
    </row>
    <row r="293" spans="1:31" x14ac:dyDescent="0.3">
      <c r="A293" s="1">
        <v>43556</v>
      </c>
      <c r="B293">
        <v>100.3</v>
      </c>
      <c r="C293">
        <f t="shared" si="27"/>
        <v>0.5</v>
      </c>
      <c r="D293">
        <f t="shared" si="28"/>
        <v>99.8</v>
      </c>
      <c r="E293">
        <f t="shared" si="29"/>
        <v>-1</v>
      </c>
      <c r="F293">
        <f t="shared" si="31"/>
        <v>0.70000000000000284</v>
      </c>
      <c r="G293">
        <f t="shared" si="31"/>
        <v>0.29999999999999716</v>
      </c>
      <c r="H293">
        <f t="shared" si="31"/>
        <v>9.9999999999994316E-2</v>
      </c>
      <c r="I293">
        <f t="shared" si="30"/>
        <v>-0.59999999999999432</v>
      </c>
      <c r="J293">
        <f t="shared" si="30"/>
        <v>-0.29999999999999716</v>
      </c>
      <c r="K293">
        <f t="shared" si="30"/>
        <v>9.9999999999994316E-2</v>
      </c>
      <c r="L293">
        <f t="shared" si="30"/>
        <v>0.59999999999999432</v>
      </c>
      <c r="M293">
        <f t="shared" si="32"/>
        <v>-0.69999999999998863</v>
      </c>
      <c r="N293">
        <f t="shared" si="32"/>
        <v>0</v>
      </c>
      <c r="O293">
        <f t="shared" si="32"/>
        <v>0.5</v>
      </c>
      <c r="P293">
        <f t="shared" si="32"/>
        <v>0.39999999999999147</v>
      </c>
      <c r="R293">
        <v>0.5</v>
      </c>
      <c r="S293">
        <v>99.8</v>
      </c>
      <c r="T293">
        <v>-1</v>
      </c>
      <c r="U293">
        <v>0.70000000000000284</v>
      </c>
      <c r="V293">
        <v>0.29999999999999716</v>
      </c>
      <c r="W293">
        <v>9.9999999999994316E-2</v>
      </c>
      <c r="X293">
        <v>-0.59999999999999432</v>
      </c>
      <c r="Y293">
        <v>-0.29999999999999716</v>
      </c>
      <c r="Z293">
        <v>9.9999999999994316E-2</v>
      </c>
      <c r="AA293">
        <v>0.59999999999999432</v>
      </c>
      <c r="AB293">
        <v>-0.69999999999998863</v>
      </c>
      <c r="AC293">
        <v>0</v>
      </c>
      <c r="AD293">
        <v>0.5</v>
      </c>
      <c r="AE293">
        <v>0.39999999999999147</v>
      </c>
    </row>
    <row r="294" spans="1:31" x14ac:dyDescent="0.3">
      <c r="A294" s="1">
        <v>43586</v>
      </c>
      <c r="B294">
        <v>100.5</v>
      </c>
      <c r="C294">
        <f t="shared" si="27"/>
        <v>0.20000000000000284</v>
      </c>
      <c r="D294">
        <f t="shared" si="28"/>
        <v>100.3</v>
      </c>
      <c r="E294">
        <f t="shared" si="29"/>
        <v>0.5</v>
      </c>
      <c r="F294">
        <f t="shared" si="31"/>
        <v>-1</v>
      </c>
      <c r="G294">
        <f t="shared" si="31"/>
        <v>0.70000000000000284</v>
      </c>
      <c r="H294">
        <f t="shared" si="31"/>
        <v>0.29999999999999716</v>
      </c>
      <c r="I294">
        <f t="shared" si="30"/>
        <v>9.9999999999994316E-2</v>
      </c>
      <c r="J294">
        <f t="shared" si="30"/>
        <v>-0.59999999999999432</v>
      </c>
      <c r="K294">
        <f t="shared" si="30"/>
        <v>-0.29999999999999716</v>
      </c>
      <c r="L294">
        <f t="shared" si="30"/>
        <v>9.9999999999994316E-2</v>
      </c>
      <c r="M294">
        <f t="shared" si="32"/>
        <v>0.59999999999999432</v>
      </c>
      <c r="N294">
        <f t="shared" si="32"/>
        <v>-0.69999999999998863</v>
      </c>
      <c r="O294">
        <f t="shared" si="32"/>
        <v>0</v>
      </c>
      <c r="P294">
        <f t="shared" si="32"/>
        <v>0.5</v>
      </c>
      <c r="R294">
        <v>0.20000000000000284</v>
      </c>
      <c r="S294">
        <v>100.3</v>
      </c>
      <c r="T294">
        <v>0.5</v>
      </c>
      <c r="U294">
        <v>-1</v>
      </c>
      <c r="V294">
        <v>0.70000000000000284</v>
      </c>
      <c r="W294">
        <v>0.29999999999999716</v>
      </c>
      <c r="X294">
        <v>9.9999999999994316E-2</v>
      </c>
      <c r="Y294">
        <v>-0.59999999999999432</v>
      </c>
      <c r="Z294">
        <v>-0.29999999999999716</v>
      </c>
      <c r="AA294">
        <v>9.9999999999994316E-2</v>
      </c>
      <c r="AB294">
        <v>0.59999999999999432</v>
      </c>
      <c r="AC294">
        <v>-0.69999999999998863</v>
      </c>
      <c r="AD294">
        <v>0</v>
      </c>
      <c r="AE294">
        <v>0.5</v>
      </c>
    </row>
    <row r="295" spans="1:31" x14ac:dyDescent="0.3">
      <c r="A295" s="1">
        <v>43617</v>
      </c>
      <c r="B295">
        <v>99.9</v>
      </c>
      <c r="C295">
        <f t="shared" si="27"/>
        <v>-0.59999999999999432</v>
      </c>
      <c r="D295">
        <f t="shared" si="28"/>
        <v>100.5</v>
      </c>
      <c r="E295">
        <f t="shared" si="29"/>
        <v>0.20000000000000284</v>
      </c>
      <c r="F295">
        <f t="shared" si="31"/>
        <v>0.5</v>
      </c>
      <c r="G295">
        <f t="shared" si="31"/>
        <v>-1</v>
      </c>
      <c r="H295">
        <f t="shared" si="31"/>
        <v>0.70000000000000284</v>
      </c>
      <c r="I295">
        <f t="shared" si="30"/>
        <v>0.29999999999999716</v>
      </c>
      <c r="J295">
        <f t="shared" si="30"/>
        <v>9.9999999999994316E-2</v>
      </c>
      <c r="K295">
        <f t="shared" si="30"/>
        <v>-0.59999999999999432</v>
      </c>
      <c r="L295">
        <f t="shared" si="30"/>
        <v>-0.29999999999999716</v>
      </c>
      <c r="M295">
        <f t="shared" si="32"/>
        <v>9.9999999999994316E-2</v>
      </c>
      <c r="N295">
        <f t="shared" si="32"/>
        <v>0.59999999999999432</v>
      </c>
      <c r="O295">
        <f t="shared" si="32"/>
        <v>-0.69999999999998863</v>
      </c>
      <c r="P295">
        <f t="shared" si="32"/>
        <v>0</v>
      </c>
      <c r="R295">
        <v>-0.59999999999999432</v>
      </c>
      <c r="S295">
        <v>100.5</v>
      </c>
      <c r="T295">
        <v>0.20000000000000284</v>
      </c>
      <c r="U295">
        <v>0.5</v>
      </c>
      <c r="V295">
        <v>-1</v>
      </c>
      <c r="W295">
        <v>0.70000000000000284</v>
      </c>
      <c r="X295">
        <v>0.29999999999999716</v>
      </c>
      <c r="Y295">
        <v>9.9999999999994316E-2</v>
      </c>
      <c r="Z295">
        <v>-0.59999999999999432</v>
      </c>
      <c r="AA295">
        <v>-0.29999999999999716</v>
      </c>
      <c r="AB295">
        <v>9.9999999999994316E-2</v>
      </c>
      <c r="AC295">
        <v>0.59999999999999432</v>
      </c>
      <c r="AD295">
        <v>-0.69999999999998863</v>
      </c>
      <c r="AE295">
        <v>0</v>
      </c>
    </row>
    <row r="296" spans="1:31" x14ac:dyDescent="0.3">
      <c r="A296" s="1">
        <v>43647</v>
      </c>
      <c r="B296">
        <v>100.2</v>
      </c>
      <c r="C296">
        <f t="shared" si="27"/>
        <v>0.29999999999999716</v>
      </c>
      <c r="D296">
        <f t="shared" si="28"/>
        <v>99.9</v>
      </c>
      <c r="E296">
        <f t="shared" si="29"/>
        <v>-0.59999999999999432</v>
      </c>
      <c r="F296">
        <f t="shared" si="31"/>
        <v>0.20000000000000284</v>
      </c>
      <c r="G296">
        <f t="shared" si="31"/>
        <v>0.5</v>
      </c>
      <c r="H296">
        <f t="shared" si="31"/>
        <v>-1</v>
      </c>
      <c r="I296">
        <f t="shared" si="30"/>
        <v>0.70000000000000284</v>
      </c>
      <c r="J296">
        <f t="shared" si="30"/>
        <v>0.29999999999999716</v>
      </c>
      <c r="K296">
        <f t="shared" si="30"/>
        <v>9.9999999999994316E-2</v>
      </c>
      <c r="L296">
        <f t="shared" si="30"/>
        <v>-0.59999999999999432</v>
      </c>
      <c r="M296">
        <f t="shared" si="32"/>
        <v>-0.29999999999999716</v>
      </c>
      <c r="N296">
        <f t="shared" si="32"/>
        <v>9.9999999999994316E-2</v>
      </c>
      <c r="O296">
        <f t="shared" si="32"/>
        <v>0.59999999999999432</v>
      </c>
      <c r="P296">
        <f t="shared" si="32"/>
        <v>-0.69999999999998863</v>
      </c>
      <c r="R296">
        <v>0.29999999999999716</v>
      </c>
      <c r="S296">
        <v>99.9</v>
      </c>
      <c r="T296">
        <v>-0.59999999999999432</v>
      </c>
      <c r="U296">
        <v>0.20000000000000284</v>
      </c>
      <c r="V296">
        <v>0.5</v>
      </c>
      <c r="W296">
        <v>-1</v>
      </c>
      <c r="X296">
        <v>0.70000000000000284</v>
      </c>
      <c r="Y296">
        <v>0.29999999999999716</v>
      </c>
      <c r="Z296">
        <v>9.9999999999994316E-2</v>
      </c>
      <c r="AA296">
        <v>-0.59999999999999432</v>
      </c>
      <c r="AB296">
        <v>-0.29999999999999716</v>
      </c>
      <c r="AC296">
        <v>9.9999999999994316E-2</v>
      </c>
      <c r="AD296">
        <v>0.59999999999999432</v>
      </c>
      <c r="AE296">
        <v>-0.69999999999998863</v>
      </c>
    </row>
    <row r="297" spans="1:31" x14ac:dyDescent="0.3">
      <c r="A297" s="1">
        <v>43678</v>
      </c>
      <c r="B297">
        <v>100.3</v>
      </c>
      <c r="C297">
        <f t="shared" si="27"/>
        <v>9.9999999999994316E-2</v>
      </c>
      <c r="D297">
        <f t="shared" si="28"/>
        <v>100.2</v>
      </c>
      <c r="E297">
        <f t="shared" si="29"/>
        <v>0.29999999999999716</v>
      </c>
      <c r="F297">
        <f t="shared" si="31"/>
        <v>-0.59999999999999432</v>
      </c>
      <c r="G297">
        <f t="shared" si="31"/>
        <v>0.20000000000000284</v>
      </c>
      <c r="H297">
        <f t="shared" si="31"/>
        <v>0.5</v>
      </c>
      <c r="I297">
        <f t="shared" si="30"/>
        <v>-1</v>
      </c>
      <c r="J297">
        <f t="shared" si="30"/>
        <v>0.70000000000000284</v>
      </c>
      <c r="K297">
        <f t="shared" si="30"/>
        <v>0.29999999999999716</v>
      </c>
      <c r="L297">
        <f t="shared" si="30"/>
        <v>9.9999999999994316E-2</v>
      </c>
      <c r="M297">
        <f t="shared" si="32"/>
        <v>-0.59999999999999432</v>
      </c>
      <c r="N297">
        <f t="shared" si="32"/>
        <v>-0.29999999999999716</v>
      </c>
      <c r="O297">
        <f t="shared" si="32"/>
        <v>9.9999999999994316E-2</v>
      </c>
      <c r="P297">
        <f t="shared" si="32"/>
        <v>0.59999999999999432</v>
      </c>
      <c r="R297">
        <v>9.9999999999994316E-2</v>
      </c>
      <c r="S297">
        <v>100.2</v>
      </c>
      <c r="T297">
        <v>0.29999999999999716</v>
      </c>
      <c r="U297">
        <v>-0.59999999999999432</v>
      </c>
      <c r="V297">
        <v>0.20000000000000284</v>
      </c>
      <c r="W297">
        <v>0.5</v>
      </c>
      <c r="X297">
        <v>-1</v>
      </c>
      <c r="Y297">
        <v>0.70000000000000284</v>
      </c>
      <c r="Z297">
        <v>0.29999999999999716</v>
      </c>
      <c r="AA297">
        <v>9.9999999999994316E-2</v>
      </c>
      <c r="AB297">
        <v>-0.59999999999999432</v>
      </c>
      <c r="AC297">
        <v>-0.29999999999999716</v>
      </c>
      <c r="AD297">
        <v>9.9999999999994316E-2</v>
      </c>
      <c r="AE297">
        <v>0.59999999999999432</v>
      </c>
    </row>
    <row r="298" spans="1:31" x14ac:dyDescent="0.3">
      <c r="A298" s="1">
        <v>43709</v>
      </c>
      <c r="B298">
        <v>100.3</v>
      </c>
      <c r="C298">
        <f t="shared" si="27"/>
        <v>0</v>
      </c>
      <c r="D298">
        <f t="shared" si="28"/>
        <v>100.3</v>
      </c>
      <c r="E298">
        <f t="shared" si="29"/>
        <v>9.9999999999994316E-2</v>
      </c>
      <c r="F298">
        <f t="shared" si="31"/>
        <v>0.29999999999999716</v>
      </c>
      <c r="G298">
        <f t="shared" si="31"/>
        <v>-0.59999999999999432</v>
      </c>
      <c r="H298">
        <f t="shared" si="31"/>
        <v>0.20000000000000284</v>
      </c>
      <c r="I298">
        <f t="shared" si="30"/>
        <v>0.5</v>
      </c>
      <c r="J298">
        <f t="shared" si="30"/>
        <v>-1</v>
      </c>
      <c r="K298">
        <f t="shared" si="30"/>
        <v>0.70000000000000284</v>
      </c>
      <c r="L298">
        <f t="shared" si="30"/>
        <v>0.29999999999999716</v>
      </c>
      <c r="M298">
        <f t="shared" si="32"/>
        <v>9.9999999999994316E-2</v>
      </c>
      <c r="N298">
        <f t="shared" si="32"/>
        <v>-0.59999999999999432</v>
      </c>
      <c r="O298">
        <f t="shared" si="32"/>
        <v>-0.29999999999999716</v>
      </c>
      <c r="P298">
        <f t="shared" si="32"/>
        <v>9.9999999999994316E-2</v>
      </c>
      <c r="R298">
        <v>0</v>
      </c>
      <c r="S298">
        <v>100.3</v>
      </c>
      <c r="T298">
        <v>9.9999999999994316E-2</v>
      </c>
      <c r="U298">
        <v>0.29999999999999716</v>
      </c>
      <c r="V298">
        <v>-0.59999999999999432</v>
      </c>
      <c r="W298">
        <v>0.20000000000000284</v>
      </c>
      <c r="X298">
        <v>0.5</v>
      </c>
      <c r="Y298">
        <v>-1</v>
      </c>
      <c r="Z298">
        <v>0.70000000000000284</v>
      </c>
      <c r="AA298">
        <v>0.29999999999999716</v>
      </c>
      <c r="AB298">
        <v>9.9999999999994316E-2</v>
      </c>
      <c r="AC298">
        <v>-0.59999999999999432</v>
      </c>
      <c r="AD298">
        <v>-0.29999999999999716</v>
      </c>
      <c r="AE298">
        <v>9.9999999999994316E-2</v>
      </c>
    </row>
    <row r="299" spans="1:31" x14ac:dyDescent="0.3">
      <c r="A299" s="1">
        <v>43739</v>
      </c>
      <c r="B299">
        <v>100.6</v>
      </c>
      <c r="C299">
        <f t="shared" si="27"/>
        <v>0.29999999999999716</v>
      </c>
      <c r="D299">
        <f t="shared" si="28"/>
        <v>100.3</v>
      </c>
      <c r="E299">
        <f t="shared" si="29"/>
        <v>0</v>
      </c>
      <c r="F299">
        <f t="shared" si="31"/>
        <v>9.9999999999994316E-2</v>
      </c>
      <c r="G299">
        <f t="shared" si="31"/>
        <v>0.29999999999999716</v>
      </c>
      <c r="H299">
        <f t="shared" si="31"/>
        <v>-0.59999999999999432</v>
      </c>
      <c r="I299">
        <f t="shared" si="30"/>
        <v>0.20000000000000284</v>
      </c>
      <c r="J299">
        <f t="shared" si="30"/>
        <v>0.5</v>
      </c>
      <c r="K299">
        <f t="shared" si="30"/>
        <v>-1</v>
      </c>
      <c r="L299">
        <f t="shared" si="30"/>
        <v>0.70000000000000284</v>
      </c>
      <c r="M299">
        <f t="shared" si="32"/>
        <v>0.29999999999999716</v>
      </c>
      <c r="N299">
        <f t="shared" si="32"/>
        <v>9.9999999999994316E-2</v>
      </c>
      <c r="O299">
        <f t="shared" si="32"/>
        <v>-0.59999999999999432</v>
      </c>
      <c r="P299">
        <f t="shared" si="32"/>
        <v>-0.29999999999999716</v>
      </c>
      <c r="R299">
        <v>0.29999999999999716</v>
      </c>
      <c r="S299">
        <v>100.3</v>
      </c>
      <c r="T299">
        <v>0</v>
      </c>
      <c r="U299">
        <v>9.9999999999994316E-2</v>
      </c>
      <c r="V299">
        <v>0.29999999999999716</v>
      </c>
      <c r="W299">
        <v>-0.59999999999999432</v>
      </c>
      <c r="X299">
        <v>0.20000000000000284</v>
      </c>
      <c r="Y299">
        <v>0.5</v>
      </c>
      <c r="Z299">
        <v>-1</v>
      </c>
      <c r="AA299">
        <v>0.70000000000000284</v>
      </c>
      <c r="AB299">
        <v>0.29999999999999716</v>
      </c>
      <c r="AC299">
        <v>9.9999999999994316E-2</v>
      </c>
      <c r="AD299">
        <v>-0.59999999999999432</v>
      </c>
      <c r="AE299">
        <v>-0.29999999999999716</v>
      </c>
    </row>
    <row r="300" spans="1:31" x14ac:dyDescent="0.3">
      <c r="A300" s="1">
        <v>43770</v>
      </c>
      <c r="B300">
        <v>101</v>
      </c>
      <c r="C300">
        <f t="shared" si="27"/>
        <v>0.40000000000000568</v>
      </c>
      <c r="D300">
        <f t="shared" si="28"/>
        <v>100.6</v>
      </c>
      <c r="E300">
        <f t="shared" si="29"/>
        <v>0.29999999999999716</v>
      </c>
      <c r="F300">
        <f t="shared" si="31"/>
        <v>0</v>
      </c>
      <c r="G300">
        <f t="shared" si="31"/>
        <v>9.9999999999994316E-2</v>
      </c>
      <c r="H300">
        <f t="shared" si="31"/>
        <v>0.29999999999999716</v>
      </c>
      <c r="I300">
        <f t="shared" si="30"/>
        <v>-0.59999999999999432</v>
      </c>
      <c r="J300">
        <f t="shared" si="30"/>
        <v>0.20000000000000284</v>
      </c>
      <c r="K300">
        <f t="shared" si="30"/>
        <v>0.5</v>
      </c>
      <c r="L300">
        <f t="shared" si="30"/>
        <v>-1</v>
      </c>
      <c r="M300">
        <f t="shared" si="32"/>
        <v>0.70000000000000284</v>
      </c>
      <c r="N300">
        <f t="shared" si="32"/>
        <v>0.29999999999999716</v>
      </c>
      <c r="O300">
        <f t="shared" si="32"/>
        <v>9.9999999999994316E-2</v>
      </c>
      <c r="P300">
        <f t="shared" si="32"/>
        <v>-0.59999999999999432</v>
      </c>
      <c r="R300">
        <v>0.40000000000000568</v>
      </c>
      <c r="S300">
        <v>100.6</v>
      </c>
      <c r="T300">
        <v>0.29999999999999716</v>
      </c>
      <c r="U300">
        <v>0</v>
      </c>
      <c r="V300">
        <v>9.9999999999994316E-2</v>
      </c>
      <c r="W300">
        <v>0.29999999999999716</v>
      </c>
      <c r="X300">
        <v>-0.59999999999999432</v>
      </c>
      <c r="Y300">
        <v>0.20000000000000284</v>
      </c>
      <c r="Z300">
        <v>0.5</v>
      </c>
      <c r="AA300">
        <v>-1</v>
      </c>
      <c r="AB300">
        <v>0.70000000000000284</v>
      </c>
      <c r="AC300">
        <v>0.29999999999999716</v>
      </c>
      <c r="AD300">
        <v>9.9999999999994316E-2</v>
      </c>
      <c r="AE300">
        <v>-0.59999999999999432</v>
      </c>
    </row>
    <row r="301" spans="1:31" x14ac:dyDescent="0.3">
      <c r="A301" s="1">
        <v>43800</v>
      </c>
      <c r="B301">
        <v>101.4</v>
      </c>
      <c r="C301">
        <f t="shared" si="27"/>
        <v>0.40000000000000568</v>
      </c>
      <c r="D301">
        <f t="shared" si="28"/>
        <v>101</v>
      </c>
      <c r="E301">
        <f t="shared" si="29"/>
        <v>0.40000000000000568</v>
      </c>
      <c r="F301">
        <f t="shared" si="31"/>
        <v>0.29999999999999716</v>
      </c>
      <c r="G301">
        <f t="shared" si="31"/>
        <v>0</v>
      </c>
      <c r="H301">
        <f t="shared" si="31"/>
        <v>9.9999999999994316E-2</v>
      </c>
      <c r="I301">
        <f t="shared" si="30"/>
        <v>0.29999999999999716</v>
      </c>
      <c r="J301">
        <f t="shared" si="30"/>
        <v>-0.59999999999999432</v>
      </c>
      <c r="K301">
        <f t="shared" si="30"/>
        <v>0.20000000000000284</v>
      </c>
      <c r="L301">
        <f t="shared" si="30"/>
        <v>0.5</v>
      </c>
      <c r="M301">
        <f t="shared" si="32"/>
        <v>-1</v>
      </c>
      <c r="N301">
        <f t="shared" si="32"/>
        <v>0.70000000000000284</v>
      </c>
      <c r="O301">
        <f t="shared" si="32"/>
        <v>0.29999999999999716</v>
      </c>
      <c r="P301">
        <f t="shared" si="32"/>
        <v>9.9999999999994316E-2</v>
      </c>
      <c r="R301">
        <v>0.40000000000000568</v>
      </c>
      <c r="S301">
        <v>101</v>
      </c>
      <c r="T301">
        <v>0.40000000000000568</v>
      </c>
      <c r="U301">
        <v>0.29999999999999716</v>
      </c>
      <c r="V301">
        <v>0</v>
      </c>
      <c r="W301">
        <v>9.9999999999994316E-2</v>
      </c>
      <c r="X301">
        <v>0.29999999999999716</v>
      </c>
      <c r="Y301">
        <v>-0.59999999999999432</v>
      </c>
      <c r="Z301">
        <v>0.20000000000000284</v>
      </c>
      <c r="AA301">
        <v>0.5</v>
      </c>
      <c r="AB301">
        <v>-1</v>
      </c>
      <c r="AC301">
        <v>0.70000000000000284</v>
      </c>
      <c r="AD301">
        <v>0.29999999999999716</v>
      </c>
      <c r="AE301">
        <v>9.9999999999994316E-2</v>
      </c>
    </row>
    <row r="302" spans="1:31" x14ac:dyDescent="0.3">
      <c r="A302" s="1">
        <v>43831</v>
      </c>
      <c r="B302">
        <v>101.2</v>
      </c>
      <c r="C302">
        <f t="shared" si="27"/>
        <v>-0.20000000000000284</v>
      </c>
      <c r="D302">
        <f t="shared" si="28"/>
        <v>101.4</v>
      </c>
      <c r="E302">
        <f t="shared" si="29"/>
        <v>0.40000000000000568</v>
      </c>
      <c r="F302">
        <f t="shared" si="31"/>
        <v>0.40000000000000568</v>
      </c>
      <c r="G302">
        <f t="shared" si="31"/>
        <v>0.29999999999999716</v>
      </c>
      <c r="H302">
        <f t="shared" si="31"/>
        <v>0</v>
      </c>
      <c r="I302">
        <f t="shared" si="30"/>
        <v>9.9999999999994316E-2</v>
      </c>
      <c r="J302">
        <f t="shared" si="30"/>
        <v>0.29999999999999716</v>
      </c>
      <c r="K302">
        <f t="shared" si="30"/>
        <v>-0.59999999999999432</v>
      </c>
      <c r="L302">
        <f t="shared" si="30"/>
        <v>0.20000000000000284</v>
      </c>
      <c r="M302">
        <f t="shared" si="32"/>
        <v>0.5</v>
      </c>
      <c r="N302">
        <f t="shared" si="32"/>
        <v>-1</v>
      </c>
      <c r="O302">
        <f t="shared" si="32"/>
        <v>0.70000000000000284</v>
      </c>
      <c r="P302">
        <f t="shared" si="32"/>
        <v>0.29999999999999716</v>
      </c>
      <c r="R302">
        <v>-0.20000000000000284</v>
      </c>
      <c r="S302">
        <v>101.4</v>
      </c>
      <c r="T302">
        <v>0.40000000000000568</v>
      </c>
      <c r="U302">
        <v>0.40000000000000568</v>
      </c>
      <c r="V302">
        <v>0.29999999999999716</v>
      </c>
      <c r="W302">
        <v>0</v>
      </c>
      <c r="X302">
        <v>9.9999999999994316E-2</v>
      </c>
      <c r="Y302">
        <v>0.29999999999999716</v>
      </c>
      <c r="Z302">
        <v>-0.59999999999999432</v>
      </c>
      <c r="AA302">
        <v>0.20000000000000284</v>
      </c>
      <c r="AB302">
        <v>0.5</v>
      </c>
      <c r="AC302">
        <v>-1</v>
      </c>
      <c r="AD302">
        <v>0.70000000000000284</v>
      </c>
      <c r="AE302">
        <v>0.29999999999999716</v>
      </c>
    </row>
    <row r="303" spans="1:31" x14ac:dyDescent="0.3">
      <c r="A303" s="1">
        <v>43862</v>
      </c>
      <c r="B303">
        <v>99.8</v>
      </c>
      <c r="C303">
        <f t="shared" si="27"/>
        <v>-1.4000000000000057</v>
      </c>
      <c r="D303">
        <f t="shared" si="28"/>
        <v>101.2</v>
      </c>
      <c r="E303">
        <f t="shared" si="29"/>
        <v>-0.20000000000000284</v>
      </c>
      <c r="F303">
        <f t="shared" si="31"/>
        <v>0.40000000000000568</v>
      </c>
      <c r="G303">
        <f t="shared" si="31"/>
        <v>0.40000000000000568</v>
      </c>
      <c r="H303">
        <f t="shared" si="31"/>
        <v>0.29999999999999716</v>
      </c>
      <c r="I303">
        <f t="shared" si="30"/>
        <v>0</v>
      </c>
      <c r="J303">
        <f t="shared" si="30"/>
        <v>9.9999999999994316E-2</v>
      </c>
      <c r="K303">
        <f t="shared" si="30"/>
        <v>0.29999999999999716</v>
      </c>
      <c r="L303">
        <f t="shared" si="30"/>
        <v>-0.59999999999999432</v>
      </c>
      <c r="M303">
        <f t="shared" si="32"/>
        <v>0.20000000000000284</v>
      </c>
      <c r="N303">
        <f t="shared" si="32"/>
        <v>0.5</v>
      </c>
      <c r="O303">
        <f t="shared" si="32"/>
        <v>-1</v>
      </c>
      <c r="P303">
        <f t="shared" si="32"/>
        <v>0.70000000000000284</v>
      </c>
      <c r="R303">
        <v>-1.4000000000000057</v>
      </c>
      <c r="S303">
        <v>101.2</v>
      </c>
      <c r="T303">
        <v>-0.20000000000000284</v>
      </c>
      <c r="U303">
        <v>0.40000000000000568</v>
      </c>
      <c r="V303">
        <v>0.40000000000000568</v>
      </c>
      <c r="W303">
        <v>0.29999999999999716</v>
      </c>
      <c r="X303">
        <v>0</v>
      </c>
      <c r="Y303">
        <v>9.9999999999994316E-2</v>
      </c>
      <c r="Z303">
        <v>0.29999999999999716</v>
      </c>
      <c r="AA303">
        <v>-0.59999999999999432</v>
      </c>
      <c r="AB303">
        <v>0.20000000000000284</v>
      </c>
      <c r="AC303">
        <v>0.5</v>
      </c>
      <c r="AD303">
        <v>-1</v>
      </c>
      <c r="AE303">
        <v>0.70000000000000284</v>
      </c>
    </row>
    <row r="304" spans="1:31" x14ac:dyDescent="0.3">
      <c r="A304" s="1">
        <v>43891</v>
      </c>
      <c r="B304">
        <v>99.3</v>
      </c>
      <c r="C304">
        <f t="shared" si="27"/>
        <v>-0.5</v>
      </c>
      <c r="D304">
        <f t="shared" si="28"/>
        <v>99.8</v>
      </c>
      <c r="E304">
        <f t="shared" si="29"/>
        <v>-1.4000000000000057</v>
      </c>
      <c r="F304">
        <f t="shared" si="31"/>
        <v>-0.20000000000000284</v>
      </c>
      <c r="G304">
        <f t="shared" si="31"/>
        <v>0.40000000000000568</v>
      </c>
      <c r="H304">
        <f t="shared" si="31"/>
        <v>0.40000000000000568</v>
      </c>
      <c r="I304">
        <f t="shared" si="30"/>
        <v>0.29999999999999716</v>
      </c>
      <c r="J304">
        <f t="shared" si="30"/>
        <v>0</v>
      </c>
      <c r="K304">
        <f t="shared" si="30"/>
        <v>9.9999999999994316E-2</v>
      </c>
      <c r="L304">
        <f t="shared" si="30"/>
        <v>0.29999999999999716</v>
      </c>
      <c r="M304">
        <f t="shared" si="32"/>
        <v>-0.59999999999999432</v>
      </c>
      <c r="N304">
        <f t="shared" si="32"/>
        <v>0.20000000000000284</v>
      </c>
      <c r="O304">
        <f t="shared" si="32"/>
        <v>0.5</v>
      </c>
      <c r="P304">
        <f t="shared" si="32"/>
        <v>-1</v>
      </c>
      <c r="R304">
        <v>-0.5</v>
      </c>
      <c r="S304">
        <v>99.8</v>
      </c>
      <c r="T304">
        <v>-1.4000000000000057</v>
      </c>
      <c r="U304">
        <v>-0.20000000000000284</v>
      </c>
      <c r="V304">
        <v>0.40000000000000568</v>
      </c>
      <c r="W304">
        <v>0.40000000000000568</v>
      </c>
      <c r="X304">
        <v>0.29999999999999716</v>
      </c>
      <c r="Y304">
        <v>0</v>
      </c>
      <c r="Z304">
        <v>9.9999999999994316E-2</v>
      </c>
      <c r="AA304">
        <v>0.29999999999999716</v>
      </c>
      <c r="AB304">
        <v>-0.59999999999999432</v>
      </c>
      <c r="AC304">
        <v>0.20000000000000284</v>
      </c>
      <c r="AD304">
        <v>0.5</v>
      </c>
      <c r="AE304">
        <v>-1</v>
      </c>
    </row>
    <row r="305" spans="1:31" x14ac:dyDescent="0.3">
      <c r="A305" s="1">
        <v>43922</v>
      </c>
      <c r="B305">
        <v>98.5</v>
      </c>
      <c r="C305">
        <f t="shared" si="27"/>
        <v>-0.79999999999999716</v>
      </c>
      <c r="D305">
        <f t="shared" si="28"/>
        <v>99.3</v>
      </c>
      <c r="E305">
        <f t="shared" si="29"/>
        <v>-0.5</v>
      </c>
      <c r="F305">
        <f t="shared" si="31"/>
        <v>-1.4000000000000057</v>
      </c>
      <c r="G305">
        <f t="shared" si="31"/>
        <v>-0.20000000000000284</v>
      </c>
      <c r="H305">
        <f t="shared" si="31"/>
        <v>0.40000000000000568</v>
      </c>
      <c r="I305">
        <f t="shared" si="30"/>
        <v>0.40000000000000568</v>
      </c>
      <c r="J305">
        <f t="shared" si="30"/>
        <v>0.29999999999999716</v>
      </c>
      <c r="K305">
        <f t="shared" si="30"/>
        <v>0</v>
      </c>
      <c r="L305">
        <f t="shared" si="30"/>
        <v>9.9999999999994316E-2</v>
      </c>
      <c r="M305">
        <f t="shared" si="32"/>
        <v>0.29999999999999716</v>
      </c>
      <c r="N305">
        <f t="shared" si="32"/>
        <v>-0.59999999999999432</v>
      </c>
      <c r="O305">
        <f t="shared" si="32"/>
        <v>0.20000000000000284</v>
      </c>
      <c r="P305">
        <f t="shared" si="32"/>
        <v>0.5</v>
      </c>
      <c r="R305">
        <v>-0.79999999999999716</v>
      </c>
      <c r="S305">
        <v>99.3</v>
      </c>
      <c r="T305">
        <v>-0.5</v>
      </c>
      <c r="U305">
        <v>-1.4000000000000057</v>
      </c>
      <c r="V305">
        <v>-0.20000000000000284</v>
      </c>
      <c r="W305">
        <v>0.40000000000000568</v>
      </c>
      <c r="X305">
        <v>0.40000000000000568</v>
      </c>
      <c r="Y305">
        <v>0.29999999999999716</v>
      </c>
      <c r="Z305">
        <v>0</v>
      </c>
      <c r="AA305">
        <v>9.9999999999994316E-2</v>
      </c>
      <c r="AB305">
        <v>0.29999999999999716</v>
      </c>
      <c r="AC305">
        <v>-0.59999999999999432</v>
      </c>
      <c r="AD305">
        <v>0.20000000000000284</v>
      </c>
      <c r="AE305">
        <v>0.5</v>
      </c>
    </row>
    <row r="306" spans="1:31" x14ac:dyDescent="0.3">
      <c r="A306" s="1">
        <v>43952</v>
      </c>
      <c r="B306">
        <v>100</v>
      </c>
      <c r="C306">
        <f t="shared" si="27"/>
        <v>1.5</v>
      </c>
      <c r="D306">
        <f t="shared" si="28"/>
        <v>98.5</v>
      </c>
      <c r="E306">
        <f t="shared" si="29"/>
        <v>-0.79999999999999716</v>
      </c>
      <c r="F306">
        <f t="shared" si="31"/>
        <v>-0.5</v>
      </c>
      <c r="G306">
        <f t="shared" si="31"/>
        <v>-1.4000000000000057</v>
      </c>
      <c r="H306">
        <f t="shared" si="31"/>
        <v>-0.20000000000000284</v>
      </c>
      <c r="I306">
        <f t="shared" si="30"/>
        <v>0.40000000000000568</v>
      </c>
      <c r="J306">
        <f t="shared" si="30"/>
        <v>0.40000000000000568</v>
      </c>
      <c r="K306">
        <f t="shared" si="30"/>
        <v>0.29999999999999716</v>
      </c>
      <c r="L306">
        <f t="shared" si="30"/>
        <v>0</v>
      </c>
      <c r="M306">
        <f t="shared" si="32"/>
        <v>9.9999999999994316E-2</v>
      </c>
      <c r="N306">
        <f t="shared" si="32"/>
        <v>0.29999999999999716</v>
      </c>
      <c r="O306">
        <f t="shared" si="32"/>
        <v>-0.59999999999999432</v>
      </c>
      <c r="P306">
        <f t="shared" si="32"/>
        <v>0.20000000000000284</v>
      </c>
      <c r="R306">
        <v>1.5</v>
      </c>
      <c r="S306">
        <v>98.5</v>
      </c>
      <c r="T306">
        <v>-0.79999999999999716</v>
      </c>
      <c r="U306">
        <v>-0.5</v>
      </c>
      <c r="V306">
        <v>-1.4000000000000057</v>
      </c>
      <c r="W306">
        <v>-0.20000000000000284</v>
      </c>
      <c r="X306">
        <v>0.40000000000000568</v>
      </c>
      <c r="Y306">
        <v>0.40000000000000568</v>
      </c>
      <c r="Z306">
        <v>0.29999999999999716</v>
      </c>
      <c r="AA306">
        <v>0</v>
      </c>
      <c r="AB306">
        <v>9.9999999999994316E-2</v>
      </c>
      <c r="AC306">
        <v>0.29999999999999716</v>
      </c>
      <c r="AD306">
        <v>-0.59999999999999432</v>
      </c>
      <c r="AE306">
        <v>0.20000000000000284</v>
      </c>
    </row>
    <row r="307" spans="1:31" x14ac:dyDescent="0.3">
      <c r="A307" s="1">
        <v>43983</v>
      </c>
      <c r="B307">
        <v>100.7</v>
      </c>
      <c r="C307">
        <f t="shared" si="27"/>
        <v>0.70000000000000284</v>
      </c>
      <c r="D307">
        <f t="shared" si="28"/>
        <v>100</v>
      </c>
      <c r="E307">
        <f t="shared" si="29"/>
        <v>1.5</v>
      </c>
      <c r="F307">
        <f t="shared" si="31"/>
        <v>-0.79999999999999716</v>
      </c>
      <c r="G307">
        <f t="shared" si="31"/>
        <v>-0.5</v>
      </c>
      <c r="H307">
        <f t="shared" si="31"/>
        <v>-1.4000000000000057</v>
      </c>
      <c r="I307">
        <f t="shared" si="30"/>
        <v>-0.20000000000000284</v>
      </c>
      <c r="J307">
        <f t="shared" si="30"/>
        <v>0.40000000000000568</v>
      </c>
      <c r="K307">
        <f t="shared" si="30"/>
        <v>0.40000000000000568</v>
      </c>
      <c r="L307">
        <f t="shared" si="30"/>
        <v>0.29999999999999716</v>
      </c>
      <c r="M307">
        <f t="shared" si="32"/>
        <v>0</v>
      </c>
      <c r="N307">
        <f t="shared" si="32"/>
        <v>9.9999999999994316E-2</v>
      </c>
      <c r="O307">
        <f t="shared" si="32"/>
        <v>0.29999999999999716</v>
      </c>
      <c r="P307">
        <f t="shared" si="32"/>
        <v>-0.59999999999999432</v>
      </c>
      <c r="R307">
        <v>0.70000000000000284</v>
      </c>
      <c r="S307">
        <v>100</v>
      </c>
      <c r="T307">
        <v>1.5</v>
      </c>
      <c r="U307">
        <v>-0.79999999999999716</v>
      </c>
      <c r="V307">
        <v>-0.5</v>
      </c>
      <c r="W307">
        <v>-1.4000000000000057</v>
      </c>
      <c r="X307">
        <v>-0.20000000000000284</v>
      </c>
      <c r="Y307">
        <v>0.40000000000000568</v>
      </c>
      <c r="Z307">
        <v>0.40000000000000568</v>
      </c>
      <c r="AA307">
        <v>0.29999999999999716</v>
      </c>
      <c r="AB307">
        <v>0</v>
      </c>
      <c r="AC307">
        <v>9.9999999999994316E-2</v>
      </c>
      <c r="AD307">
        <v>0.29999999999999716</v>
      </c>
      <c r="AE307">
        <v>-0.59999999999999432</v>
      </c>
    </row>
    <row r="308" spans="1:31" x14ac:dyDescent="0.3">
      <c r="A308" s="1">
        <v>44013</v>
      </c>
      <c r="B308">
        <v>100.4</v>
      </c>
      <c r="C308">
        <f t="shared" si="27"/>
        <v>-0.29999999999999716</v>
      </c>
      <c r="D308">
        <f t="shared" si="28"/>
        <v>100.7</v>
      </c>
      <c r="E308">
        <f t="shared" si="29"/>
        <v>0.70000000000000284</v>
      </c>
      <c r="F308">
        <f t="shared" si="31"/>
        <v>1.5</v>
      </c>
      <c r="G308">
        <f t="shared" si="31"/>
        <v>-0.79999999999999716</v>
      </c>
      <c r="H308">
        <f t="shared" si="31"/>
        <v>-0.5</v>
      </c>
      <c r="I308">
        <f t="shared" si="30"/>
        <v>-1.4000000000000057</v>
      </c>
      <c r="J308">
        <f t="shared" si="30"/>
        <v>-0.20000000000000284</v>
      </c>
      <c r="K308">
        <f t="shared" si="30"/>
        <v>0.40000000000000568</v>
      </c>
      <c r="L308">
        <f t="shared" si="30"/>
        <v>0.40000000000000568</v>
      </c>
      <c r="M308">
        <f t="shared" si="32"/>
        <v>0.29999999999999716</v>
      </c>
      <c r="N308">
        <f t="shared" si="32"/>
        <v>0</v>
      </c>
      <c r="O308">
        <f t="shared" si="32"/>
        <v>9.9999999999994316E-2</v>
      </c>
      <c r="P308">
        <f t="shared" si="32"/>
        <v>0.29999999999999716</v>
      </c>
      <c r="R308">
        <v>-0.29999999999999716</v>
      </c>
      <c r="S308">
        <v>100.7</v>
      </c>
      <c r="T308">
        <v>0.70000000000000284</v>
      </c>
      <c r="U308">
        <v>1.5</v>
      </c>
      <c r="V308">
        <v>-0.79999999999999716</v>
      </c>
      <c r="W308">
        <v>-0.5</v>
      </c>
      <c r="X308">
        <v>-1.4000000000000057</v>
      </c>
      <c r="Y308">
        <v>-0.20000000000000284</v>
      </c>
      <c r="Z308">
        <v>0.40000000000000568</v>
      </c>
      <c r="AA308">
        <v>0.40000000000000568</v>
      </c>
      <c r="AB308">
        <v>0.29999999999999716</v>
      </c>
      <c r="AC308">
        <v>0</v>
      </c>
      <c r="AD308">
        <v>9.9999999999994316E-2</v>
      </c>
      <c r="AE308">
        <v>0.29999999999999716</v>
      </c>
    </row>
    <row r="309" spans="1:31" x14ac:dyDescent="0.3">
      <c r="A309" s="1">
        <v>44044</v>
      </c>
      <c r="B309">
        <v>100.1</v>
      </c>
      <c r="C309">
        <f t="shared" si="27"/>
        <v>-0.30000000000001137</v>
      </c>
      <c r="D309">
        <f t="shared" si="28"/>
        <v>100.4</v>
      </c>
      <c r="E309">
        <f t="shared" si="29"/>
        <v>-0.29999999999999716</v>
      </c>
      <c r="F309">
        <f t="shared" si="31"/>
        <v>0.70000000000000284</v>
      </c>
      <c r="G309">
        <f t="shared" si="31"/>
        <v>1.5</v>
      </c>
      <c r="H309">
        <f t="shared" si="31"/>
        <v>-0.79999999999999716</v>
      </c>
      <c r="I309">
        <f t="shared" si="30"/>
        <v>-0.5</v>
      </c>
      <c r="J309">
        <f t="shared" si="30"/>
        <v>-1.4000000000000057</v>
      </c>
      <c r="K309">
        <f t="shared" si="30"/>
        <v>-0.20000000000000284</v>
      </c>
      <c r="L309">
        <f t="shared" si="30"/>
        <v>0.40000000000000568</v>
      </c>
      <c r="M309">
        <f t="shared" si="32"/>
        <v>0.40000000000000568</v>
      </c>
      <c r="N309">
        <f t="shared" si="32"/>
        <v>0.29999999999999716</v>
      </c>
      <c r="O309">
        <f t="shared" si="32"/>
        <v>0</v>
      </c>
      <c r="P309">
        <f t="shared" si="32"/>
        <v>9.9999999999994316E-2</v>
      </c>
      <c r="R309">
        <v>-0.30000000000001137</v>
      </c>
      <c r="S309">
        <v>100.4</v>
      </c>
      <c r="T309">
        <v>-0.29999999999999716</v>
      </c>
      <c r="U309">
        <v>0.70000000000000284</v>
      </c>
      <c r="V309">
        <v>1.5</v>
      </c>
      <c r="W309">
        <v>-0.79999999999999716</v>
      </c>
      <c r="X309">
        <v>-0.5</v>
      </c>
      <c r="Y309">
        <v>-1.4000000000000057</v>
      </c>
      <c r="Z309">
        <v>-0.20000000000000284</v>
      </c>
      <c r="AA309">
        <v>0.40000000000000568</v>
      </c>
      <c r="AB309">
        <v>0.40000000000000568</v>
      </c>
      <c r="AC309">
        <v>0.29999999999999716</v>
      </c>
      <c r="AD309">
        <v>0</v>
      </c>
      <c r="AE309">
        <v>9.9999999999994316E-2</v>
      </c>
    </row>
    <row r="310" spans="1:31" x14ac:dyDescent="0.3">
      <c r="A310" s="1">
        <v>44075</v>
      </c>
      <c r="B310">
        <v>100.1</v>
      </c>
      <c r="C310">
        <f t="shared" si="27"/>
        <v>0</v>
      </c>
      <c r="D310">
        <f t="shared" si="28"/>
        <v>100.1</v>
      </c>
      <c r="E310">
        <f t="shared" si="29"/>
        <v>-0.30000000000001137</v>
      </c>
      <c r="F310">
        <f t="shared" si="31"/>
        <v>-0.29999999999999716</v>
      </c>
      <c r="G310">
        <f t="shared" si="31"/>
        <v>0.70000000000000284</v>
      </c>
      <c r="H310">
        <f t="shared" si="31"/>
        <v>1.5</v>
      </c>
      <c r="I310">
        <f t="shared" si="30"/>
        <v>-0.79999999999999716</v>
      </c>
      <c r="J310">
        <f t="shared" si="30"/>
        <v>-0.5</v>
      </c>
      <c r="K310">
        <f t="shared" si="30"/>
        <v>-1.4000000000000057</v>
      </c>
      <c r="L310">
        <f t="shared" si="30"/>
        <v>-0.20000000000000284</v>
      </c>
      <c r="M310">
        <f t="shared" si="32"/>
        <v>0.40000000000000568</v>
      </c>
      <c r="N310">
        <f t="shared" si="32"/>
        <v>0.40000000000000568</v>
      </c>
      <c r="O310">
        <f t="shared" si="32"/>
        <v>0.29999999999999716</v>
      </c>
      <c r="P310">
        <f t="shared" si="32"/>
        <v>0</v>
      </c>
      <c r="R310">
        <v>0</v>
      </c>
      <c r="S310">
        <v>100.1</v>
      </c>
      <c r="T310">
        <v>-0.30000000000001137</v>
      </c>
      <c r="U310">
        <v>-0.29999999999999716</v>
      </c>
      <c r="V310">
        <v>0.70000000000000284</v>
      </c>
      <c r="W310">
        <v>1.5</v>
      </c>
      <c r="X310">
        <v>-0.79999999999999716</v>
      </c>
      <c r="Y310">
        <v>-0.5</v>
      </c>
      <c r="Z310">
        <v>-1.4000000000000057</v>
      </c>
      <c r="AA310">
        <v>-0.20000000000000284</v>
      </c>
      <c r="AB310">
        <v>0.40000000000000568</v>
      </c>
      <c r="AC310">
        <v>0.40000000000000568</v>
      </c>
      <c r="AD310">
        <v>0.29999999999999716</v>
      </c>
      <c r="AE310">
        <v>0</v>
      </c>
    </row>
    <row r="311" spans="1:31" x14ac:dyDescent="0.3">
      <c r="A311" s="1">
        <v>44105</v>
      </c>
      <c r="B311">
        <v>100.1</v>
      </c>
      <c r="C311">
        <f t="shared" si="27"/>
        <v>0</v>
      </c>
      <c r="D311">
        <f t="shared" si="28"/>
        <v>100.1</v>
      </c>
      <c r="E311">
        <f t="shared" si="29"/>
        <v>0</v>
      </c>
      <c r="F311">
        <f t="shared" si="31"/>
        <v>-0.30000000000001137</v>
      </c>
      <c r="G311">
        <f t="shared" si="31"/>
        <v>-0.29999999999999716</v>
      </c>
      <c r="H311">
        <f t="shared" si="31"/>
        <v>0.70000000000000284</v>
      </c>
      <c r="I311">
        <f t="shared" si="30"/>
        <v>1.5</v>
      </c>
      <c r="J311">
        <f t="shared" si="30"/>
        <v>-0.79999999999999716</v>
      </c>
      <c r="K311">
        <f t="shared" si="30"/>
        <v>-0.5</v>
      </c>
      <c r="L311">
        <f t="shared" si="30"/>
        <v>-1.4000000000000057</v>
      </c>
      <c r="M311">
        <f t="shared" si="32"/>
        <v>-0.20000000000000284</v>
      </c>
      <c r="N311">
        <f t="shared" si="32"/>
        <v>0.40000000000000568</v>
      </c>
      <c r="O311">
        <f t="shared" si="32"/>
        <v>0.40000000000000568</v>
      </c>
      <c r="P311">
        <f t="shared" si="32"/>
        <v>0.29999999999999716</v>
      </c>
      <c r="R311">
        <v>0</v>
      </c>
      <c r="S311">
        <v>100.1</v>
      </c>
      <c r="T311">
        <v>0</v>
      </c>
      <c r="U311">
        <v>-0.30000000000001137</v>
      </c>
      <c r="V311">
        <v>-0.29999999999999716</v>
      </c>
      <c r="W311">
        <v>0.70000000000000284</v>
      </c>
      <c r="X311">
        <v>1.5</v>
      </c>
      <c r="Y311">
        <v>-0.79999999999999716</v>
      </c>
      <c r="Z311">
        <v>-0.5</v>
      </c>
      <c r="AA311">
        <v>-1.4000000000000057</v>
      </c>
      <c r="AB311">
        <v>-0.20000000000000284</v>
      </c>
      <c r="AC311">
        <v>0.40000000000000568</v>
      </c>
      <c r="AD311">
        <v>0.40000000000000568</v>
      </c>
      <c r="AE311">
        <v>0.29999999999999716</v>
      </c>
    </row>
    <row r="312" spans="1:31" x14ac:dyDescent="0.3">
      <c r="A312" s="1">
        <v>44136</v>
      </c>
      <c r="B312">
        <v>100</v>
      </c>
      <c r="C312">
        <f t="shared" si="27"/>
        <v>-9.9999999999994316E-2</v>
      </c>
      <c r="D312">
        <f t="shared" si="28"/>
        <v>100.1</v>
      </c>
      <c r="E312">
        <f t="shared" si="29"/>
        <v>0</v>
      </c>
      <c r="F312">
        <f t="shared" si="31"/>
        <v>0</v>
      </c>
      <c r="G312">
        <f t="shared" si="31"/>
        <v>-0.30000000000001137</v>
      </c>
      <c r="H312">
        <f t="shared" si="31"/>
        <v>-0.29999999999999716</v>
      </c>
      <c r="I312">
        <f t="shared" si="30"/>
        <v>0.70000000000000284</v>
      </c>
      <c r="J312">
        <f t="shared" si="30"/>
        <v>1.5</v>
      </c>
      <c r="K312">
        <f t="shared" si="30"/>
        <v>-0.79999999999999716</v>
      </c>
      <c r="L312">
        <f t="shared" si="30"/>
        <v>-0.5</v>
      </c>
      <c r="M312">
        <f t="shared" si="32"/>
        <v>-1.4000000000000057</v>
      </c>
      <c r="N312">
        <f t="shared" si="32"/>
        <v>-0.20000000000000284</v>
      </c>
      <c r="O312">
        <f t="shared" si="32"/>
        <v>0.40000000000000568</v>
      </c>
      <c r="P312">
        <f t="shared" si="32"/>
        <v>0.40000000000000568</v>
      </c>
      <c r="R312">
        <v>-9.9999999999994316E-2</v>
      </c>
      <c r="S312">
        <v>100.1</v>
      </c>
      <c r="T312">
        <v>0</v>
      </c>
      <c r="U312">
        <v>0</v>
      </c>
      <c r="V312">
        <v>-0.30000000000001137</v>
      </c>
      <c r="W312">
        <v>-0.29999999999999716</v>
      </c>
      <c r="X312">
        <v>0.70000000000000284</v>
      </c>
      <c r="Y312">
        <v>1.5</v>
      </c>
      <c r="Z312">
        <v>-0.79999999999999716</v>
      </c>
      <c r="AA312">
        <v>-0.5</v>
      </c>
      <c r="AB312">
        <v>-1.4000000000000057</v>
      </c>
      <c r="AC312">
        <v>-0.20000000000000284</v>
      </c>
      <c r="AD312">
        <v>0.40000000000000568</v>
      </c>
      <c r="AE312">
        <v>0.40000000000000568</v>
      </c>
    </row>
    <row r="313" spans="1:31" x14ac:dyDescent="0.3">
      <c r="A313" s="1">
        <v>44166</v>
      </c>
      <c r="B313">
        <v>100.1</v>
      </c>
      <c r="C313">
        <f t="shared" si="27"/>
        <v>9.9999999999994316E-2</v>
      </c>
      <c r="D313">
        <f t="shared" si="28"/>
        <v>100</v>
      </c>
      <c r="E313">
        <f t="shared" si="29"/>
        <v>-9.9999999999994316E-2</v>
      </c>
      <c r="F313">
        <f t="shared" si="31"/>
        <v>0</v>
      </c>
      <c r="G313">
        <f t="shared" si="31"/>
        <v>0</v>
      </c>
      <c r="H313">
        <f t="shared" si="31"/>
        <v>-0.30000000000001137</v>
      </c>
      <c r="I313">
        <f t="shared" si="30"/>
        <v>-0.29999999999999716</v>
      </c>
      <c r="J313">
        <f t="shared" si="30"/>
        <v>0.70000000000000284</v>
      </c>
      <c r="K313">
        <f t="shared" si="30"/>
        <v>1.5</v>
      </c>
      <c r="L313">
        <f t="shared" si="30"/>
        <v>-0.79999999999999716</v>
      </c>
      <c r="M313">
        <f t="shared" si="32"/>
        <v>-0.5</v>
      </c>
      <c r="N313">
        <f t="shared" si="32"/>
        <v>-1.4000000000000057</v>
      </c>
      <c r="O313">
        <f t="shared" si="32"/>
        <v>-0.20000000000000284</v>
      </c>
      <c r="P313">
        <f t="shared" si="32"/>
        <v>0.40000000000000568</v>
      </c>
      <c r="R313">
        <v>9.9999999999994316E-2</v>
      </c>
      <c r="S313">
        <v>100</v>
      </c>
      <c r="T313">
        <v>-9.9999999999994316E-2</v>
      </c>
      <c r="U313">
        <v>0</v>
      </c>
      <c r="V313">
        <v>0</v>
      </c>
      <c r="W313">
        <v>-0.30000000000001137</v>
      </c>
      <c r="X313">
        <v>-0.29999999999999716</v>
      </c>
      <c r="Y313">
        <v>0.70000000000000284</v>
      </c>
      <c r="Z313">
        <v>1.5</v>
      </c>
      <c r="AA313">
        <v>-0.79999999999999716</v>
      </c>
      <c r="AB313">
        <v>-0.5</v>
      </c>
      <c r="AC313">
        <v>-1.4000000000000057</v>
      </c>
      <c r="AD313">
        <v>-0.20000000000000284</v>
      </c>
      <c r="AE313">
        <v>0.40000000000000568</v>
      </c>
    </row>
    <row r="314" spans="1:31" x14ac:dyDescent="0.3">
      <c r="A314" s="1">
        <v>44197</v>
      </c>
      <c r="B314">
        <v>100.1</v>
      </c>
      <c r="C314">
        <f t="shared" si="27"/>
        <v>0</v>
      </c>
      <c r="D314">
        <f t="shared" si="28"/>
        <v>100.1</v>
      </c>
      <c r="E314">
        <f t="shared" si="29"/>
        <v>9.9999999999994316E-2</v>
      </c>
      <c r="F314">
        <f t="shared" si="31"/>
        <v>-9.9999999999994316E-2</v>
      </c>
      <c r="G314">
        <f t="shared" si="31"/>
        <v>0</v>
      </c>
      <c r="H314">
        <f t="shared" si="31"/>
        <v>0</v>
      </c>
      <c r="I314">
        <f t="shared" si="30"/>
        <v>-0.30000000000001137</v>
      </c>
      <c r="J314">
        <f t="shared" si="30"/>
        <v>-0.29999999999999716</v>
      </c>
      <c r="K314">
        <f t="shared" si="30"/>
        <v>0.70000000000000284</v>
      </c>
      <c r="L314">
        <f t="shared" si="30"/>
        <v>1.5</v>
      </c>
      <c r="M314">
        <f t="shared" si="32"/>
        <v>-0.79999999999999716</v>
      </c>
      <c r="N314">
        <f t="shared" si="32"/>
        <v>-0.5</v>
      </c>
      <c r="O314">
        <f t="shared" si="32"/>
        <v>-1.4000000000000057</v>
      </c>
      <c r="P314">
        <f t="shared" si="32"/>
        <v>-0.20000000000000284</v>
      </c>
      <c r="R314">
        <v>0</v>
      </c>
      <c r="S314">
        <v>100.1</v>
      </c>
      <c r="T314">
        <v>9.9999999999994316E-2</v>
      </c>
      <c r="U314">
        <v>-9.9999999999994316E-2</v>
      </c>
      <c r="V314">
        <v>0</v>
      </c>
      <c r="W314">
        <v>0</v>
      </c>
      <c r="X314">
        <v>-0.30000000000001137</v>
      </c>
      <c r="Y314">
        <v>-0.29999999999999716</v>
      </c>
      <c r="Z314">
        <v>0.70000000000000284</v>
      </c>
      <c r="AA314">
        <v>1.5</v>
      </c>
      <c r="AB314">
        <v>-0.79999999999999716</v>
      </c>
      <c r="AC314">
        <v>-0.5</v>
      </c>
      <c r="AD314">
        <v>-1.4000000000000057</v>
      </c>
      <c r="AE314">
        <v>-0.20000000000000284</v>
      </c>
    </row>
    <row r="315" spans="1:31" x14ac:dyDescent="0.3">
      <c r="A315" s="1">
        <v>44228</v>
      </c>
      <c r="B315">
        <v>101.5</v>
      </c>
      <c r="C315">
        <f t="shared" si="27"/>
        <v>1.4000000000000057</v>
      </c>
      <c r="D315">
        <f t="shared" si="28"/>
        <v>100.1</v>
      </c>
      <c r="E315">
        <f t="shared" si="29"/>
        <v>0</v>
      </c>
      <c r="F315">
        <f t="shared" si="31"/>
        <v>9.9999999999994316E-2</v>
      </c>
      <c r="G315">
        <f t="shared" si="31"/>
        <v>-9.9999999999994316E-2</v>
      </c>
      <c r="H315">
        <f t="shared" si="31"/>
        <v>0</v>
      </c>
      <c r="I315">
        <f t="shared" si="30"/>
        <v>0</v>
      </c>
      <c r="J315">
        <f t="shared" si="30"/>
        <v>-0.30000000000001137</v>
      </c>
      <c r="K315">
        <f t="shared" si="30"/>
        <v>-0.29999999999999716</v>
      </c>
      <c r="L315">
        <f t="shared" si="30"/>
        <v>0.70000000000000284</v>
      </c>
      <c r="M315">
        <f t="shared" si="32"/>
        <v>1.5</v>
      </c>
      <c r="N315">
        <f t="shared" si="32"/>
        <v>-0.79999999999999716</v>
      </c>
      <c r="O315">
        <f t="shared" si="32"/>
        <v>-0.5</v>
      </c>
      <c r="P315">
        <f t="shared" si="32"/>
        <v>-1.4000000000000057</v>
      </c>
      <c r="R315">
        <v>1.4000000000000057</v>
      </c>
      <c r="S315">
        <v>100.1</v>
      </c>
      <c r="T315">
        <v>0</v>
      </c>
      <c r="U315">
        <v>9.9999999999994316E-2</v>
      </c>
      <c r="V315">
        <v>-9.9999999999994316E-2</v>
      </c>
      <c r="W315">
        <v>0</v>
      </c>
      <c r="X315">
        <v>0</v>
      </c>
      <c r="Y315">
        <v>-0.30000000000001137</v>
      </c>
      <c r="Z315">
        <v>-0.29999999999999716</v>
      </c>
      <c r="AA315">
        <v>0.70000000000000284</v>
      </c>
      <c r="AB315">
        <v>1.5</v>
      </c>
      <c r="AC315">
        <v>-0.79999999999999716</v>
      </c>
      <c r="AD315">
        <v>-0.5</v>
      </c>
      <c r="AE315">
        <v>-1.4000000000000057</v>
      </c>
    </row>
    <row r="316" spans="1:31" x14ac:dyDescent="0.3">
      <c r="A316" s="1">
        <v>44256</v>
      </c>
      <c r="B316">
        <v>99.7</v>
      </c>
      <c r="C316">
        <f t="shared" si="27"/>
        <v>-1.7999999999999972</v>
      </c>
      <c r="D316">
        <f t="shared" si="28"/>
        <v>101.5</v>
      </c>
      <c r="E316">
        <f t="shared" si="29"/>
        <v>1.4000000000000057</v>
      </c>
      <c r="F316">
        <f t="shared" si="31"/>
        <v>0</v>
      </c>
      <c r="G316">
        <f t="shared" si="31"/>
        <v>9.9999999999994316E-2</v>
      </c>
      <c r="H316">
        <f t="shared" si="31"/>
        <v>-9.9999999999994316E-2</v>
      </c>
      <c r="I316">
        <f t="shared" si="30"/>
        <v>0</v>
      </c>
      <c r="J316">
        <f t="shared" si="30"/>
        <v>0</v>
      </c>
      <c r="K316">
        <f t="shared" si="30"/>
        <v>-0.30000000000001137</v>
      </c>
      <c r="L316">
        <f t="shared" si="30"/>
        <v>-0.29999999999999716</v>
      </c>
      <c r="M316">
        <f t="shared" si="32"/>
        <v>0.70000000000000284</v>
      </c>
      <c r="N316">
        <f t="shared" si="32"/>
        <v>1.5</v>
      </c>
      <c r="O316">
        <f t="shared" si="32"/>
        <v>-0.79999999999999716</v>
      </c>
      <c r="P316">
        <f t="shared" si="32"/>
        <v>-0.5</v>
      </c>
      <c r="R316">
        <v>-1.7999999999999972</v>
      </c>
      <c r="S316">
        <v>101.5</v>
      </c>
      <c r="T316">
        <v>1.4000000000000057</v>
      </c>
      <c r="U316">
        <v>0</v>
      </c>
      <c r="V316">
        <v>9.9999999999994316E-2</v>
      </c>
      <c r="W316">
        <v>-9.9999999999994316E-2</v>
      </c>
      <c r="X316">
        <v>0</v>
      </c>
      <c r="Y316">
        <v>0</v>
      </c>
      <c r="Z316">
        <v>-0.30000000000001137</v>
      </c>
      <c r="AA316">
        <v>-0.29999999999999716</v>
      </c>
      <c r="AB316">
        <v>0.70000000000000284</v>
      </c>
      <c r="AC316">
        <v>1.5</v>
      </c>
      <c r="AD316">
        <v>-0.79999999999999716</v>
      </c>
      <c r="AE316">
        <v>-0.5</v>
      </c>
    </row>
    <row r="317" spans="1:31" x14ac:dyDescent="0.3">
      <c r="A317" s="1">
        <v>44287</v>
      </c>
      <c r="B317">
        <v>100</v>
      </c>
      <c r="C317">
        <f t="shared" si="27"/>
        <v>0.29999999999999716</v>
      </c>
      <c r="D317">
        <f t="shared" si="28"/>
        <v>99.7</v>
      </c>
      <c r="E317">
        <f t="shared" si="29"/>
        <v>-1.7999999999999972</v>
      </c>
      <c r="F317">
        <f t="shared" si="31"/>
        <v>1.4000000000000057</v>
      </c>
      <c r="G317">
        <f t="shared" si="31"/>
        <v>0</v>
      </c>
      <c r="H317">
        <f t="shared" si="31"/>
        <v>9.9999999999994316E-2</v>
      </c>
      <c r="I317">
        <f t="shared" si="30"/>
        <v>-9.9999999999994316E-2</v>
      </c>
      <c r="J317">
        <f t="shared" si="30"/>
        <v>0</v>
      </c>
      <c r="K317">
        <f t="shared" si="30"/>
        <v>0</v>
      </c>
      <c r="L317">
        <f t="shared" si="30"/>
        <v>-0.30000000000001137</v>
      </c>
      <c r="M317">
        <f t="shared" si="32"/>
        <v>-0.29999999999999716</v>
      </c>
      <c r="N317">
        <f t="shared" si="32"/>
        <v>0.70000000000000284</v>
      </c>
      <c r="O317">
        <f t="shared" si="32"/>
        <v>1.5</v>
      </c>
      <c r="P317">
        <f t="shared" si="32"/>
        <v>-0.79999999999999716</v>
      </c>
      <c r="R317">
        <v>0.29999999999999716</v>
      </c>
      <c r="S317">
        <v>99.7</v>
      </c>
      <c r="T317">
        <v>-1.7999999999999972</v>
      </c>
      <c r="U317">
        <v>1.4000000000000057</v>
      </c>
      <c r="V317">
        <v>0</v>
      </c>
      <c r="W317">
        <v>9.9999999999994316E-2</v>
      </c>
      <c r="X317">
        <v>-9.9999999999994316E-2</v>
      </c>
      <c r="Y317">
        <v>0</v>
      </c>
      <c r="Z317">
        <v>0</v>
      </c>
      <c r="AA317">
        <v>-0.30000000000001137</v>
      </c>
      <c r="AB317">
        <v>-0.29999999999999716</v>
      </c>
      <c r="AC317">
        <v>0.70000000000000284</v>
      </c>
      <c r="AD317">
        <v>1.5</v>
      </c>
      <c r="AE317">
        <v>-0.79999999999999716</v>
      </c>
    </row>
    <row r="318" spans="1:31" x14ac:dyDescent="0.3">
      <c r="A318" s="1">
        <v>44317</v>
      </c>
      <c r="B318">
        <v>100.2</v>
      </c>
      <c r="C318">
        <f t="shared" si="27"/>
        <v>0.20000000000000284</v>
      </c>
      <c r="D318">
        <f t="shared" si="28"/>
        <v>100</v>
      </c>
      <c r="E318">
        <f t="shared" si="29"/>
        <v>0.29999999999999716</v>
      </c>
      <c r="F318">
        <f t="shared" si="31"/>
        <v>-1.7999999999999972</v>
      </c>
      <c r="G318">
        <f t="shared" si="31"/>
        <v>1.4000000000000057</v>
      </c>
      <c r="H318">
        <f t="shared" si="31"/>
        <v>0</v>
      </c>
      <c r="I318">
        <f t="shared" si="30"/>
        <v>9.9999999999994316E-2</v>
      </c>
      <c r="J318">
        <f t="shared" si="30"/>
        <v>-9.9999999999994316E-2</v>
      </c>
      <c r="K318">
        <f t="shared" si="30"/>
        <v>0</v>
      </c>
      <c r="L318">
        <f t="shared" si="30"/>
        <v>0</v>
      </c>
      <c r="M318">
        <f t="shared" si="32"/>
        <v>-0.30000000000001137</v>
      </c>
      <c r="N318">
        <f t="shared" si="32"/>
        <v>-0.29999999999999716</v>
      </c>
      <c r="O318">
        <f t="shared" si="32"/>
        <v>0.70000000000000284</v>
      </c>
      <c r="P318">
        <f t="shared" si="32"/>
        <v>1.5</v>
      </c>
      <c r="R318">
        <v>0.20000000000000284</v>
      </c>
      <c r="S318">
        <v>100</v>
      </c>
      <c r="T318">
        <v>0.29999999999999716</v>
      </c>
      <c r="U318">
        <v>-1.7999999999999972</v>
      </c>
      <c r="V318">
        <v>1.4000000000000057</v>
      </c>
      <c r="W318">
        <v>0</v>
      </c>
      <c r="X318">
        <v>9.9999999999994316E-2</v>
      </c>
      <c r="Y318">
        <v>-9.9999999999994316E-2</v>
      </c>
      <c r="Z318">
        <v>0</v>
      </c>
      <c r="AA318">
        <v>0</v>
      </c>
      <c r="AB318">
        <v>-0.30000000000001137</v>
      </c>
      <c r="AC318">
        <v>-0.29999999999999716</v>
      </c>
      <c r="AD318">
        <v>0.70000000000000284</v>
      </c>
      <c r="AE318">
        <v>1.5</v>
      </c>
    </row>
    <row r="319" spans="1:31" x14ac:dyDescent="0.3">
      <c r="A319" s="1">
        <v>44348</v>
      </c>
      <c r="B319">
        <v>100.2</v>
      </c>
      <c r="C319">
        <f t="shared" si="27"/>
        <v>0</v>
      </c>
      <c r="D319">
        <f t="shared" si="28"/>
        <v>100.2</v>
      </c>
      <c r="E319">
        <f t="shared" si="29"/>
        <v>0.20000000000000284</v>
      </c>
      <c r="F319">
        <f t="shared" si="31"/>
        <v>0.29999999999999716</v>
      </c>
      <c r="G319">
        <f t="shared" si="31"/>
        <v>-1.7999999999999972</v>
      </c>
      <c r="H319">
        <f t="shared" si="31"/>
        <v>1.4000000000000057</v>
      </c>
      <c r="I319">
        <f t="shared" si="30"/>
        <v>0</v>
      </c>
      <c r="J319">
        <f t="shared" si="30"/>
        <v>9.9999999999994316E-2</v>
      </c>
      <c r="K319">
        <f t="shared" si="30"/>
        <v>-9.9999999999994316E-2</v>
      </c>
      <c r="L319">
        <f t="shared" si="30"/>
        <v>0</v>
      </c>
      <c r="M319">
        <f t="shared" si="32"/>
        <v>0</v>
      </c>
      <c r="N319">
        <f t="shared" si="32"/>
        <v>-0.30000000000001137</v>
      </c>
      <c r="O319">
        <f t="shared" si="32"/>
        <v>-0.29999999999999716</v>
      </c>
      <c r="P319">
        <f t="shared" si="32"/>
        <v>0.70000000000000284</v>
      </c>
      <c r="R319">
        <v>0</v>
      </c>
      <c r="S319">
        <v>100.2</v>
      </c>
      <c r="T319">
        <v>0.20000000000000284</v>
      </c>
      <c r="U319">
        <v>0.29999999999999716</v>
      </c>
      <c r="V319">
        <v>-1.7999999999999972</v>
      </c>
      <c r="W319">
        <v>1.4000000000000057</v>
      </c>
      <c r="X319">
        <v>0</v>
      </c>
      <c r="Y319">
        <v>9.9999999999994316E-2</v>
      </c>
      <c r="Z319">
        <v>-9.9999999999994316E-2</v>
      </c>
      <c r="AA319">
        <v>0</v>
      </c>
      <c r="AB319">
        <v>0</v>
      </c>
      <c r="AC319">
        <v>-0.30000000000001137</v>
      </c>
      <c r="AD319">
        <v>-0.29999999999999716</v>
      </c>
      <c r="AE319">
        <v>0.70000000000000284</v>
      </c>
    </row>
    <row r="320" spans="1:31" x14ac:dyDescent="0.3">
      <c r="A320" s="1">
        <v>44378</v>
      </c>
      <c r="B320">
        <v>100.6</v>
      </c>
      <c r="C320">
        <f t="shared" si="27"/>
        <v>0.39999999999999147</v>
      </c>
      <c r="D320">
        <f t="shared" si="28"/>
        <v>100.2</v>
      </c>
      <c r="E320">
        <f t="shared" si="29"/>
        <v>0</v>
      </c>
      <c r="F320">
        <f t="shared" si="31"/>
        <v>0.20000000000000284</v>
      </c>
      <c r="G320">
        <f t="shared" si="31"/>
        <v>0.29999999999999716</v>
      </c>
      <c r="H320">
        <f t="shared" si="31"/>
        <v>-1.7999999999999972</v>
      </c>
      <c r="I320">
        <f t="shared" si="30"/>
        <v>1.4000000000000057</v>
      </c>
      <c r="J320">
        <f t="shared" si="30"/>
        <v>0</v>
      </c>
      <c r="K320">
        <f t="shared" si="30"/>
        <v>9.9999999999994316E-2</v>
      </c>
      <c r="L320">
        <f t="shared" si="30"/>
        <v>-9.9999999999994316E-2</v>
      </c>
      <c r="M320">
        <f t="shared" si="32"/>
        <v>0</v>
      </c>
      <c r="N320">
        <f t="shared" si="32"/>
        <v>0</v>
      </c>
      <c r="O320">
        <f t="shared" si="32"/>
        <v>-0.30000000000001137</v>
      </c>
      <c r="P320">
        <f t="shared" si="32"/>
        <v>-0.29999999999999716</v>
      </c>
      <c r="R320">
        <v>0.39999999999999147</v>
      </c>
      <c r="S320">
        <v>100.2</v>
      </c>
      <c r="T320">
        <v>0</v>
      </c>
      <c r="U320">
        <v>0.20000000000000284</v>
      </c>
      <c r="V320">
        <v>0.29999999999999716</v>
      </c>
      <c r="W320">
        <v>-1.7999999999999972</v>
      </c>
      <c r="X320">
        <v>1.4000000000000057</v>
      </c>
      <c r="Y320">
        <v>0</v>
      </c>
      <c r="Z320">
        <v>9.9999999999994316E-2</v>
      </c>
      <c r="AA320">
        <v>-9.9999999999994316E-2</v>
      </c>
      <c r="AB320">
        <v>0</v>
      </c>
      <c r="AC320">
        <v>0</v>
      </c>
      <c r="AD320">
        <v>-0.30000000000001137</v>
      </c>
      <c r="AE320">
        <v>-0.29999999999999716</v>
      </c>
    </row>
    <row r="321" spans="1:31" x14ac:dyDescent="0.3">
      <c r="A321" s="1">
        <v>44409</v>
      </c>
      <c r="B321">
        <v>100.3</v>
      </c>
      <c r="C321">
        <f t="shared" si="27"/>
        <v>-0.29999999999999716</v>
      </c>
      <c r="D321">
        <f t="shared" si="28"/>
        <v>100.6</v>
      </c>
      <c r="E321">
        <f t="shared" si="29"/>
        <v>0.39999999999999147</v>
      </c>
      <c r="F321">
        <f t="shared" si="31"/>
        <v>0</v>
      </c>
      <c r="G321">
        <f t="shared" si="31"/>
        <v>0.20000000000000284</v>
      </c>
      <c r="H321">
        <f t="shared" si="31"/>
        <v>0.29999999999999716</v>
      </c>
      <c r="I321">
        <f t="shared" si="30"/>
        <v>-1.7999999999999972</v>
      </c>
      <c r="J321">
        <f t="shared" si="30"/>
        <v>1.4000000000000057</v>
      </c>
      <c r="K321">
        <f t="shared" si="30"/>
        <v>0</v>
      </c>
      <c r="L321">
        <f t="shared" si="30"/>
        <v>9.9999999999994316E-2</v>
      </c>
      <c r="M321">
        <f t="shared" si="32"/>
        <v>-9.9999999999994316E-2</v>
      </c>
      <c r="N321">
        <f t="shared" si="32"/>
        <v>0</v>
      </c>
      <c r="O321">
        <f t="shared" si="32"/>
        <v>0</v>
      </c>
      <c r="P321">
        <f t="shared" si="32"/>
        <v>-0.30000000000001137</v>
      </c>
      <c r="R321">
        <v>-0.29999999999999716</v>
      </c>
      <c r="S321">
        <v>100.6</v>
      </c>
      <c r="T321">
        <v>0.39999999999999147</v>
      </c>
      <c r="U321">
        <v>0</v>
      </c>
      <c r="V321">
        <v>0.20000000000000284</v>
      </c>
      <c r="W321">
        <v>0.29999999999999716</v>
      </c>
      <c r="X321">
        <v>-1.7999999999999972</v>
      </c>
      <c r="Y321">
        <v>1.4000000000000057</v>
      </c>
      <c r="Z321">
        <v>0</v>
      </c>
      <c r="AA321">
        <v>9.9999999999994316E-2</v>
      </c>
      <c r="AB321">
        <v>-9.9999999999994316E-2</v>
      </c>
      <c r="AC321">
        <v>0</v>
      </c>
      <c r="AD321">
        <v>0</v>
      </c>
      <c r="AE321">
        <v>-0.30000000000001137</v>
      </c>
    </row>
    <row r="322" spans="1:31" x14ac:dyDescent="0.3">
      <c r="A322" s="1">
        <v>44440</v>
      </c>
      <c r="B322">
        <v>99.4</v>
      </c>
      <c r="C322">
        <f t="shared" si="27"/>
        <v>-0.89999999999999147</v>
      </c>
      <c r="D322">
        <f t="shared" si="28"/>
        <v>100.3</v>
      </c>
      <c r="E322">
        <f t="shared" si="29"/>
        <v>-0.29999999999999716</v>
      </c>
      <c r="F322">
        <f t="shared" si="31"/>
        <v>0.39999999999999147</v>
      </c>
      <c r="G322">
        <f t="shared" si="31"/>
        <v>0</v>
      </c>
      <c r="H322">
        <f t="shared" si="31"/>
        <v>0.20000000000000284</v>
      </c>
      <c r="I322">
        <f t="shared" si="30"/>
        <v>0.29999999999999716</v>
      </c>
      <c r="J322">
        <f t="shared" si="30"/>
        <v>-1.7999999999999972</v>
      </c>
      <c r="K322">
        <f t="shared" si="30"/>
        <v>1.4000000000000057</v>
      </c>
      <c r="L322">
        <f t="shared" si="30"/>
        <v>0</v>
      </c>
      <c r="M322">
        <f t="shared" si="32"/>
        <v>9.9999999999994316E-2</v>
      </c>
      <c r="N322">
        <f t="shared" si="32"/>
        <v>-9.9999999999994316E-2</v>
      </c>
      <c r="O322">
        <f t="shared" si="32"/>
        <v>0</v>
      </c>
      <c r="P322">
        <f t="shared" si="32"/>
        <v>0</v>
      </c>
      <c r="R322">
        <v>-0.89999999999999147</v>
      </c>
      <c r="S322">
        <v>100.3</v>
      </c>
      <c r="T322">
        <v>-0.29999999999999716</v>
      </c>
      <c r="U322">
        <v>0.39999999999999147</v>
      </c>
      <c r="V322">
        <v>0</v>
      </c>
      <c r="W322">
        <v>0.20000000000000284</v>
      </c>
      <c r="X322">
        <v>0.29999999999999716</v>
      </c>
      <c r="Y322">
        <v>-1.7999999999999972</v>
      </c>
      <c r="Z322">
        <v>1.4000000000000057</v>
      </c>
      <c r="AA322">
        <v>0</v>
      </c>
      <c r="AB322">
        <v>9.9999999999994316E-2</v>
      </c>
      <c r="AC322">
        <v>-9.9999999999994316E-2</v>
      </c>
      <c r="AD322">
        <v>0</v>
      </c>
      <c r="AE322">
        <v>0</v>
      </c>
    </row>
    <row r="323" spans="1:31" x14ac:dyDescent="0.3">
      <c r="A323" s="1">
        <v>44470</v>
      </c>
      <c r="B323">
        <v>99.8</v>
      </c>
      <c r="C323">
        <f t="shared" si="27"/>
        <v>0.39999999999999147</v>
      </c>
      <c r="D323">
        <f t="shared" si="28"/>
        <v>99.4</v>
      </c>
      <c r="E323">
        <f t="shared" si="29"/>
        <v>-0.89999999999999147</v>
      </c>
      <c r="F323">
        <f t="shared" si="31"/>
        <v>-0.29999999999999716</v>
      </c>
      <c r="G323">
        <f t="shared" si="31"/>
        <v>0.39999999999999147</v>
      </c>
      <c r="H323">
        <f t="shared" si="31"/>
        <v>0</v>
      </c>
      <c r="I323">
        <f t="shared" si="30"/>
        <v>0.20000000000000284</v>
      </c>
      <c r="J323">
        <f t="shared" si="30"/>
        <v>0.29999999999999716</v>
      </c>
      <c r="K323">
        <f t="shared" si="30"/>
        <v>-1.7999999999999972</v>
      </c>
      <c r="L323">
        <f t="shared" si="30"/>
        <v>1.4000000000000057</v>
      </c>
      <c r="M323">
        <f t="shared" si="32"/>
        <v>0</v>
      </c>
      <c r="N323">
        <f t="shared" si="32"/>
        <v>9.9999999999994316E-2</v>
      </c>
      <c r="O323">
        <f t="shared" si="32"/>
        <v>-9.9999999999994316E-2</v>
      </c>
      <c r="P323">
        <f t="shared" si="32"/>
        <v>0</v>
      </c>
      <c r="R323">
        <v>0.39999999999999147</v>
      </c>
      <c r="S323">
        <v>99.4</v>
      </c>
      <c r="T323">
        <v>-0.89999999999999147</v>
      </c>
      <c r="U323">
        <v>-0.29999999999999716</v>
      </c>
      <c r="V323">
        <v>0.39999999999999147</v>
      </c>
      <c r="W323">
        <v>0</v>
      </c>
      <c r="X323">
        <v>0.20000000000000284</v>
      </c>
      <c r="Y323">
        <v>0.29999999999999716</v>
      </c>
      <c r="Z323">
        <v>-1.7999999999999972</v>
      </c>
      <c r="AA323">
        <v>1.4000000000000057</v>
      </c>
      <c r="AB323">
        <v>0</v>
      </c>
      <c r="AC323">
        <v>9.9999999999994316E-2</v>
      </c>
      <c r="AD323">
        <v>-9.9999999999994316E-2</v>
      </c>
      <c r="AE323">
        <v>0</v>
      </c>
    </row>
    <row r="324" spans="1:31" x14ac:dyDescent="0.3">
      <c r="A324" s="1">
        <v>44501</v>
      </c>
      <c r="B324">
        <v>100.3</v>
      </c>
      <c r="C324">
        <f t="shared" ref="C324:C349" si="33">B324-B323</f>
        <v>0.5</v>
      </c>
      <c r="D324">
        <f t="shared" ref="D324:D349" si="34">B323</f>
        <v>99.8</v>
      </c>
      <c r="E324">
        <f t="shared" si="29"/>
        <v>0.39999999999999147</v>
      </c>
      <c r="F324">
        <f t="shared" si="31"/>
        <v>-0.89999999999999147</v>
      </c>
      <c r="G324">
        <f t="shared" si="31"/>
        <v>-0.29999999999999716</v>
      </c>
      <c r="H324">
        <f t="shared" si="31"/>
        <v>0.39999999999999147</v>
      </c>
      <c r="I324">
        <f t="shared" si="30"/>
        <v>0</v>
      </c>
      <c r="J324">
        <f t="shared" si="30"/>
        <v>0.20000000000000284</v>
      </c>
      <c r="K324">
        <f t="shared" si="30"/>
        <v>0.29999999999999716</v>
      </c>
      <c r="L324">
        <f t="shared" si="30"/>
        <v>-1.7999999999999972</v>
      </c>
      <c r="M324">
        <f t="shared" si="32"/>
        <v>1.4000000000000057</v>
      </c>
      <c r="N324">
        <f t="shared" si="32"/>
        <v>0</v>
      </c>
      <c r="O324">
        <f t="shared" si="32"/>
        <v>9.9999999999994316E-2</v>
      </c>
      <c r="P324">
        <f t="shared" si="32"/>
        <v>-9.9999999999994316E-2</v>
      </c>
      <c r="R324">
        <v>0.5</v>
      </c>
      <c r="S324">
        <v>99.8</v>
      </c>
      <c r="T324">
        <v>0.39999999999999147</v>
      </c>
      <c r="U324">
        <v>-0.89999999999999147</v>
      </c>
      <c r="V324">
        <v>-0.29999999999999716</v>
      </c>
      <c r="W324">
        <v>0.39999999999999147</v>
      </c>
      <c r="X324">
        <v>0</v>
      </c>
      <c r="Y324">
        <v>0.20000000000000284</v>
      </c>
      <c r="Z324">
        <v>0.29999999999999716</v>
      </c>
      <c r="AA324">
        <v>-1.7999999999999972</v>
      </c>
      <c r="AB324">
        <v>1.4000000000000057</v>
      </c>
      <c r="AC324">
        <v>0</v>
      </c>
      <c r="AD324">
        <v>9.9999999999994316E-2</v>
      </c>
      <c r="AE324">
        <v>-9.9999999999994316E-2</v>
      </c>
    </row>
    <row r="325" spans="1:31" x14ac:dyDescent="0.3">
      <c r="A325" s="1">
        <v>44531</v>
      </c>
      <c r="B325">
        <v>99.8</v>
      </c>
      <c r="C325">
        <f t="shared" si="33"/>
        <v>-0.5</v>
      </c>
      <c r="D325">
        <f t="shared" si="34"/>
        <v>100.3</v>
      </c>
      <c r="E325">
        <f t="shared" ref="E325:E349" si="35">C324</f>
        <v>0.5</v>
      </c>
      <c r="F325">
        <f t="shared" si="31"/>
        <v>0.39999999999999147</v>
      </c>
      <c r="G325">
        <f t="shared" si="31"/>
        <v>-0.89999999999999147</v>
      </c>
      <c r="H325">
        <f t="shared" si="31"/>
        <v>-0.29999999999999716</v>
      </c>
      <c r="I325">
        <f t="shared" si="31"/>
        <v>0.39999999999999147</v>
      </c>
      <c r="J325">
        <f t="shared" si="31"/>
        <v>0</v>
      </c>
      <c r="K325">
        <f t="shared" si="31"/>
        <v>0.20000000000000284</v>
      </c>
      <c r="L325">
        <f t="shared" si="31"/>
        <v>0.29999999999999716</v>
      </c>
      <c r="M325">
        <f t="shared" si="32"/>
        <v>-1.7999999999999972</v>
      </c>
      <c r="N325">
        <f t="shared" si="32"/>
        <v>1.4000000000000057</v>
      </c>
      <c r="O325">
        <f t="shared" si="32"/>
        <v>0</v>
      </c>
      <c r="P325">
        <f t="shared" si="32"/>
        <v>9.9999999999994316E-2</v>
      </c>
      <c r="R325">
        <v>-0.5</v>
      </c>
      <c r="S325">
        <v>100.3</v>
      </c>
      <c r="T325">
        <v>0.5</v>
      </c>
      <c r="U325">
        <v>0.39999999999999147</v>
      </c>
      <c r="V325">
        <v>-0.89999999999999147</v>
      </c>
      <c r="W325">
        <v>-0.29999999999999716</v>
      </c>
      <c r="X325">
        <v>0.39999999999999147</v>
      </c>
      <c r="Y325">
        <v>0</v>
      </c>
      <c r="Z325">
        <v>0.20000000000000284</v>
      </c>
      <c r="AA325">
        <v>0.29999999999999716</v>
      </c>
      <c r="AB325">
        <v>-1.7999999999999972</v>
      </c>
      <c r="AC325">
        <v>1.4000000000000057</v>
      </c>
      <c r="AD325">
        <v>0</v>
      </c>
      <c r="AE325">
        <v>9.9999999999994316E-2</v>
      </c>
    </row>
    <row r="326" spans="1:31" x14ac:dyDescent="0.3">
      <c r="A326" s="1">
        <v>44562</v>
      </c>
      <c r="B326">
        <v>100.2</v>
      </c>
      <c r="C326">
        <f t="shared" si="33"/>
        <v>0.40000000000000568</v>
      </c>
      <c r="D326">
        <f t="shared" si="34"/>
        <v>99.8</v>
      </c>
      <c r="E326">
        <f t="shared" si="35"/>
        <v>-0.5</v>
      </c>
      <c r="F326">
        <f t="shared" ref="F326:P349" si="36">E325</f>
        <v>0.5</v>
      </c>
      <c r="G326">
        <f t="shared" si="36"/>
        <v>0.39999999999999147</v>
      </c>
      <c r="H326">
        <f t="shared" si="36"/>
        <v>-0.89999999999999147</v>
      </c>
      <c r="I326">
        <f t="shared" si="36"/>
        <v>-0.29999999999999716</v>
      </c>
      <c r="J326">
        <f t="shared" si="36"/>
        <v>0.39999999999999147</v>
      </c>
      <c r="K326">
        <f t="shared" si="36"/>
        <v>0</v>
      </c>
      <c r="L326">
        <f t="shared" si="36"/>
        <v>0.20000000000000284</v>
      </c>
      <c r="M326">
        <f t="shared" si="32"/>
        <v>0.29999999999999716</v>
      </c>
      <c r="N326">
        <f t="shared" si="32"/>
        <v>-1.7999999999999972</v>
      </c>
      <c r="O326">
        <f t="shared" si="32"/>
        <v>1.4000000000000057</v>
      </c>
      <c r="P326">
        <f t="shared" si="32"/>
        <v>0</v>
      </c>
      <c r="R326">
        <v>0.40000000000000568</v>
      </c>
      <c r="S326">
        <v>99.8</v>
      </c>
      <c r="T326">
        <v>-0.5</v>
      </c>
      <c r="U326">
        <v>0.5</v>
      </c>
      <c r="V326">
        <v>0.39999999999999147</v>
      </c>
      <c r="W326">
        <v>-0.89999999999999147</v>
      </c>
      <c r="X326">
        <v>-0.29999999999999716</v>
      </c>
      <c r="Y326">
        <v>0.39999999999999147</v>
      </c>
      <c r="Z326">
        <v>0</v>
      </c>
      <c r="AA326">
        <v>0.20000000000000284</v>
      </c>
      <c r="AB326">
        <v>0.29999999999999716</v>
      </c>
      <c r="AC326">
        <v>-1.7999999999999972</v>
      </c>
      <c r="AD326">
        <v>1.4000000000000057</v>
      </c>
      <c r="AE326">
        <v>0</v>
      </c>
    </row>
    <row r="327" spans="1:31" x14ac:dyDescent="0.3">
      <c r="A327" s="1">
        <v>44593</v>
      </c>
      <c r="B327">
        <v>101</v>
      </c>
      <c r="C327">
        <f t="shared" si="33"/>
        <v>0.79999999999999716</v>
      </c>
      <c r="D327">
        <f t="shared" si="34"/>
        <v>100.2</v>
      </c>
      <c r="E327">
        <f t="shared" si="35"/>
        <v>0.40000000000000568</v>
      </c>
      <c r="F327">
        <f t="shared" si="36"/>
        <v>-0.5</v>
      </c>
      <c r="G327">
        <f t="shared" si="36"/>
        <v>0.5</v>
      </c>
      <c r="H327">
        <f t="shared" si="36"/>
        <v>0.39999999999999147</v>
      </c>
      <c r="I327">
        <f t="shared" si="36"/>
        <v>-0.89999999999999147</v>
      </c>
      <c r="J327">
        <f t="shared" si="36"/>
        <v>-0.29999999999999716</v>
      </c>
      <c r="K327">
        <f t="shared" si="36"/>
        <v>0.39999999999999147</v>
      </c>
      <c r="L327">
        <f t="shared" si="36"/>
        <v>0</v>
      </c>
      <c r="M327">
        <f t="shared" si="32"/>
        <v>0.20000000000000284</v>
      </c>
      <c r="N327">
        <f t="shared" si="32"/>
        <v>0.29999999999999716</v>
      </c>
      <c r="O327">
        <f t="shared" si="32"/>
        <v>-1.7999999999999972</v>
      </c>
      <c r="P327">
        <f t="shared" si="32"/>
        <v>1.4000000000000057</v>
      </c>
      <c r="R327">
        <v>0.79999999999999716</v>
      </c>
      <c r="S327">
        <v>100.2</v>
      </c>
      <c r="T327">
        <v>0.40000000000000568</v>
      </c>
      <c r="U327">
        <v>-0.5</v>
      </c>
      <c r="V327">
        <v>0.5</v>
      </c>
      <c r="W327">
        <v>0.39999999999999147</v>
      </c>
      <c r="X327">
        <v>-0.89999999999999147</v>
      </c>
      <c r="Y327">
        <v>-0.29999999999999716</v>
      </c>
      <c r="Z327">
        <v>0.39999999999999147</v>
      </c>
      <c r="AA327">
        <v>0</v>
      </c>
      <c r="AB327">
        <v>0.20000000000000284</v>
      </c>
      <c r="AC327">
        <v>0.29999999999999716</v>
      </c>
      <c r="AD327">
        <v>-1.7999999999999972</v>
      </c>
      <c r="AE327">
        <v>1.4000000000000057</v>
      </c>
    </row>
    <row r="328" spans="1:31" x14ac:dyDescent="0.3">
      <c r="A328" s="1">
        <v>44621</v>
      </c>
      <c r="B328">
        <v>100.7</v>
      </c>
      <c r="C328">
        <f t="shared" si="33"/>
        <v>-0.29999999999999716</v>
      </c>
      <c r="D328">
        <f t="shared" si="34"/>
        <v>101</v>
      </c>
      <c r="E328">
        <f t="shared" si="35"/>
        <v>0.79999999999999716</v>
      </c>
      <c r="F328">
        <f t="shared" si="36"/>
        <v>0.40000000000000568</v>
      </c>
      <c r="G328">
        <f t="shared" si="36"/>
        <v>-0.5</v>
      </c>
      <c r="H328">
        <f t="shared" si="36"/>
        <v>0.5</v>
      </c>
      <c r="I328">
        <f t="shared" si="36"/>
        <v>0.39999999999999147</v>
      </c>
      <c r="J328">
        <f t="shared" si="36"/>
        <v>-0.89999999999999147</v>
      </c>
      <c r="K328">
        <f t="shared" si="36"/>
        <v>-0.29999999999999716</v>
      </c>
      <c r="L328">
        <f t="shared" si="36"/>
        <v>0.39999999999999147</v>
      </c>
      <c r="M328">
        <f t="shared" si="36"/>
        <v>0</v>
      </c>
      <c r="N328">
        <f t="shared" si="36"/>
        <v>0.20000000000000284</v>
      </c>
      <c r="O328">
        <f t="shared" si="36"/>
        <v>0.29999999999999716</v>
      </c>
      <c r="P328">
        <f t="shared" si="36"/>
        <v>-1.7999999999999972</v>
      </c>
      <c r="R328">
        <v>-0.29999999999999716</v>
      </c>
      <c r="S328">
        <v>101</v>
      </c>
      <c r="T328">
        <v>0.79999999999999716</v>
      </c>
      <c r="U328">
        <v>0.40000000000000568</v>
      </c>
      <c r="V328">
        <v>-0.5</v>
      </c>
      <c r="W328">
        <v>0.5</v>
      </c>
      <c r="X328">
        <v>0.39999999999999147</v>
      </c>
      <c r="Y328">
        <v>-0.89999999999999147</v>
      </c>
      <c r="Z328">
        <v>-0.29999999999999716</v>
      </c>
      <c r="AA328">
        <v>0.39999999999999147</v>
      </c>
      <c r="AB328">
        <v>0</v>
      </c>
      <c r="AC328">
        <v>0.20000000000000284</v>
      </c>
      <c r="AD328">
        <v>0.29999999999999716</v>
      </c>
      <c r="AE328">
        <v>-1.7999999999999972</v>
      </c>
    </row>
    <row r="329" spans="1:31" x14ac:dyDescent="0.3">
      <c r="A329" s="1">
        <v>44652</v>
      </c>
      <c r="B329">
        <v>100.2</v>
      </c>
      <c r="C329">
        <f t="shared" si="33"/>
        <v>-0.5</v>
      </c>
      <c r="D329">
        <f t="shared" si="34"/>
        <v>100.7</v>
      </c>
      <c r="E329">
        <f t="shared" si="35"/>
        <v>-0.29999999999999716</v>
      </c>
      <c r="F329">
        <f t="shared" si="36"/>
        <v>0.79999999999999716</v>
      </c>
      <c r="G329">
        <f t="shared" si="36"/>
        <v>0.40000000000000568</v>
      </c>
      <c r="H329">
        <f t="shared" si="36"/>
        <v>-0.5</v>
      </c>
      <c r="I329">
        <f t="shared" si="36"/>
        <v>0.5</v>
      </c>
      <c r="J329">
        <f t="shared" si="36"/>
        <v>0.39999999999999147</v>
      </c>
      <c r="K329">
        <f t="shared" si="36"/>
        <v>-0.89999999999999147</v>
      </c>
      <c r="L329">
        <f t="shared" si="36"/>
        <v>-0.29999999999999716</v>
      </c>
      <c r="M329">
        <f t="shared" si="36"/>
        <v>0.39999999999999147</v>
      </c>
      <c r="N329">
        <f t="shared" si="36"/>
        <v>0</v>
      </c>
      <c r="O329">
        <f t="shared" si="36"/>
        <v>0.20000000000000284</v>
      </c>
      <c r="P329">
        <f t="shared" si="36"/>
        <v>0.29999999999999716</v>
      </c>
      <c r="R329">
        <v>-0.5</v>
      </c>
      <c r="S329">
        <v>100.7</v>
      </c>
      <c r="T329">
        <v>-0.29999999999999716</v>
      </c>
      <c r="U329">
        <v>0.79999999999999716</v>
      </c>
      <c r="V329">
        <v>0.40000000000000568</v>
      </c>
      <c r="W329">
        <v>-0.5</v>
      </c>
      <c r="X329">
        <v>0.5</v>
      </c>
      <c r="Y329">
        <v>0.39999999999999147</v>
      </c>
      <c r="Z329">
        <v>-0.89999999999999147</v>
      </c>
      <c r="AA329">
        <v>-0.29999999999999716</v>
      </c>
      <c r="AB329">
        <v>0.39999999999999147</v>
      </c>
      <c r="AC329">
        <v>0</v>
      </c>
      <c r="AD329">
        <v>0.20000000000000284</v>
      </c>
      <c r="AE329">
        <v>0.29999999999999716</v>
      </c>
    </row>
    <row r="330" spans="1:31" x14ac:dyDescent="0.3">
      <c r="A330" s="1">
        <v>44682</v>
      </c>
      <c r="B330">
        <v>100.4</v>
      </c>
      <c r="C330">
        <f t="shared" si="33"/>
        <v>0.20000000000000284</v>
      </c>
      <c r="D330">
        <f t="shared" si="34"/>
        <v>100.2</v>
      </c>
      <c r="E330">
        <f t="shared" si="35"/>
        <v>-0.5</v>
      </c>
      <c r="F330">
        <f t="shared" si="36"/>
        <v>-0.29999999999999716</v>
      </c>
      <c r="G330">
        <f t="shared" si="36"/>
        <v>0.79999999999999716</v>
      </c>
      <c r="H330">
        <f t="shared" si="36"/>
        <v>0.40000000000000568</v>
      </c>
      <c r="I330">
        <f t="shared" si="36"/>
        <v>-0.5</v>
      </c>
      <c r="J330">
        <f t="shared" si="36"/>
        <v>0.5</v>
      </c>
      <c r="K330">
        <f t="shared" si="36"/>
        <v>0.39999999999999147</v>
      </c>
      <c r="L330">
        <f t="shared" si="36"/>
        <v>-0.89999999999999147</v>
      </c>
      <c r="M330">
        <f t="shared" si="36"/>
        <v>-0.29999999999999716</v>
      </c>
      <c r="N330">
        <f t="shared" si="36"/>
        <v>0.39999999999999147</v>
      </c>
      <c r="O330">
        <f t="shared" si="36"/>
        <v>0</v>
      </c>
      <c r="P330">
        <f t="shared" si="36"/>
        <v>0.20000000000000284</v>
      </c>
      <c r="R330">
        <v>0.20000000000000284</v>
      </c>
      <c r="S330">
        <v>100.2</v>
      </c>
      <c r="T330">
        <v>-0.5</v>
      </c>
      <c r="U330">
        <v>-0.29999999999999716</v>
      </c>
      <c r="V330">
        <v>0.79999999999999716</v>
      </c>
      <c r="W330">
        <v>0.40000000000000568</v>
      </c>
      <c r="X330">
        <v>-0.5</v>
      </c>
      <c r="Y330">
        <v>0.5</v>
      </c>
      <c r="Z330">
        <v>0.39999999999999147</v>
      </c>
      <c r="AA330">
        <v>-0.89999999999999147</v>
      </c>
      <c r="AB330">
        <v>-0.29999999999999716</v>
      </c>
      <c r="AC330">
        <v>0.39999999999999147</v>
      </c>
      <c r="AD330">
        <v>0</v>
      </c>
      <c r="AE330">
        <v>0.20000000000000284</v>
      </c>
    </row>
    <row r="331" spans="1:31" x14ac:dyDescent="0.3">
      <c r="A331" s="1">
        <v>44713</v>
      </c>
      <c r="B331">
        <v>100.7</v>
      </c>
      <c r="C331">
        <f t="shared" si="33"/>
        <v>0.29999999999999716</v>
      </c>
      <c r="D331">
        <f t="shared" si="34"/>
        <v>100.4</v>
      </c>
      <c r="E331">
        <f t="shared" si="35"/>
        <v>0.20000000000000284</v>
      </c>
      <c r="F331">
        <f t="shared" si="36"/>
        <v>-0.5</v>
      </c>
      <c r="G331">
        <f t="shared" si="36"/>
        <v>-0.29999999999999716</v>
      </c>
      <c r="H331">
        <f t="shared" si="36"/>
        <v>0.79999999999999716</v>
      </c>
      <c r="I331">
        <f t="shared" si="36"/>
        <v>0.40000000000000568</v>
      </c>
      <c r="J331">
        <f t="shared" si="36"/>
        <v>-0.5</v>
      </c>
      <c r="K331">
        <f t="shared" si="36"/>
        <v>0.5</v>
      </c>
      <c r="L331">
        <f t="shared" si="36"/>
        <v>0.39999999999999147</v>
      </c>
      <c r="M331">
        <f t="shared" si="36"/>
        <v>-0.89999999999999147</v>
      </c>
      <c r="N331">
        <f t="shared" si="36"/>
        <v>-0.29999999999999716</v>
      </c>
      <c r="O331">
        <f t="shared" si="36"/>
        <v>0.39999999999999147</v>
      </c>
      <c r="P331">
        <f t="shared" si="36"/>
        <v>0</v>
      </c>
      <c r="R331">
        <v>0.29999999999999716</v>
      </c>
      <c r="S331">
        <v>100.4</v>
      </c>
      <c r="T331">
        <v>0.20000000000000284</v>
      </c>
      <c r="U331">
        <v>-0.5</v>
      </c>
      <c r="V331">
        <v>-0.29999999999999716</v>
      </c>
      <c r="W331">
        <v>0.79999999999999716</v>
      </c>
      <c r="X331">
        <v>0.40000000000000568</v>
      </c>
      <c r="Y331">
        <v>-0.5</v>
      </c>
      <c r="Z331">
        <v>0.5</v>
      </c>
      <c r="AA331">
        <v>0.39999999999999147</v>
      </c>
      <c r="AB331">
        <v>-0.89999999999999147</v>
      </c>
      <c r="AC331">
        <v>-0.29999999999999716</v>
      </c>
      <c r="AD331">
        <v>0.39999999999999147</v>
      </c>
      <c r="AE331">
        <v>0</v>
      </c>
    </row>
    <row r="332" spans="1:31" x14ac:dyDescent="0.3">
      <c r="A332" s="1">
        <v>44743</v>
      </c>
      <c r="B332">
        <v>100.4</v>
      </c>
      <c r="C332">
        <f t="shared" si="33"/>
        <v>-0.29999999999999716</v>
      </c>
      <c r="D332">
        <f t="shared" si="34"/>
        <v>100.7</v>
      </c>
      <c r="E332">
        <f t="shared" si="35"/>
        <v>0.29999999999999716</v>
      </c>
      <c r="F332">
        <f t="shared" si="36"/>
        <v>0.20000000000000284</v>
      </c>
      <c r="G332">
        <f t="shared" si="36"/>
        <v>-0.5</v>
      </c>
      <c r="H332">
        <f t="shared" si="36"/>
        <v>-0.29999999999999716</v>
      </c>
      <c r="I332">
        <f t="shared" si="36"/>
        <v>0.79999999999999716</v>
      </c>
      <c r="J332">
        <f t="shared" si="36"/>
        <v>0.40000000000000568</v>
      </c>
      <c r="K332">
        <f t="shared" si="36"/>
        <v>-0.5</v>
      </c>
      <c r="L332">
        <f t="shared" si="36"/>
        <v>0.5</v>
      </c>
      <c r="M332">
        <f t="shared" si="36"/>
        <v>0.39999999999999147</v>
      </c>
      <c r="N332">
        <f t="shared" si="36"/>
        <v>-0.89999999999999147</v>
      </c>
      <c r="O332">
        <f t="shared" si="36"/>
        <v>-0.29999999999999716</v>
      </c>
      <c r="P332">
        <f t="shared" si="36"/>
        <v>0.39999999999999147</v>
      </c>
      <c r="R332">
        <v>-0.29999999999999716</v>
      </c>
      <c r="S332">
        <v>100.7</v>
      </c>
      <c r="T332">
        <v>0.29999999999999716</v>
      </c>
      <c r="U332">
        <v>0.20000000000000284</v>
      </c>
      <c r="V332">
        <v>-0.5</v>
      </c>
      <c r="W332">
        <v>-0.29999999999999716</v>
      </c>
      <c r="X332">
        <v>0.79999999999999716</v>
      </c>
      <c r="Y332">
        <v>0.40000000000000568</v>
      </c>
      <c r="Z332">
        <v>-0.5</v>
      </c>
      <c r="AA332">
        <v>0.5</v>
      </c>
      <c r="AB332">
        <v>0.39999999999999147</v>
      </c>
      <c r="AC332">
        <v>-0.89999999999999147</v>
      </c>
      <c r="AD332">
        <v>-0.29999999999999716</v>
      </c>
      <c r="AE332">
        <v>0.39999999999999147</v>
      </c>
    </row>
    <row r="333" spans="1:31" x14ac:dyDescent="0.3">
      <c r="A333" s="1">
        <v>44774</v>
      </c>
      <c r="B333">
        <v>100</v>
      </c>
      <c r="C333">
        <f t="shared" si="33"/>
        <v>-0.40000000000000568</v>
      </c>
      <c r="D333">
        <f t="shared" si="34"/>
        <v>100.4</v>
      </c>
      <c r="E333">
        <f t="shared" si="35"/>
        <v>-0.29999999999999716</v>
      </c>
      <c r="F333">
        <f t="shared" si="36"/>
        <v>0.29999999999999716</v>
      </c>
      <c r="G333">
        <f t="shared" si="36"/>
        <v>0.20000000000000284</v>
      </c>
      <c r="H333">
        <f t="shared" si="36"/>
        <v>-0.5</v>
      </c>
      <c r="I333">
        <f t="shared" si="36"/>
        <v>-0.29999999999999716</v>
      </c>
      <c r="J333">
        <f t="shared" si="36"/>
        <v>0.79999999999999716</v>
      </c>
      <c r="K333">
        <f t="shared" si="36"/>
        <v>0.40000000000000568</v>
      </c>
      <c r="L333">
        <f t="shared" si="36"/>
        <v>-0.5</v>
      </c>
      <c r="M333">
        <f t="shared" si="36"/>
        <v>0.5</v>
      </c>
      <c r="N333">
        <f t="shared" si="36"/>
        <v>0.39999999999999147</v>
      </c>
      <c r="O333">
        <f t="shared" si="36"/>
        <v>-0.89999999999999147</v>
      </c>
      <c r="P333">
        <f t="shared" si="36"/>
        <v>-0.29999999999999716</v>
      </c>
      <c r="R333">
        <v>-0.40000000000000568</v>
      </c>
      <c r="S333">
        <v>100.4</v>
      </c>
      <c r="T333">
        <v>-0.29999999999999716</v>
      </c>
      <c r="U333">
        <v>0.29999999999999716</v>
      </c>
      <c r="V333">
        <v>0.20000000000000284</v>
      </c>
      <c r="W333">
        <v>-0.5</v>
      </c>
      <c r="X333">
        <v>-0.29999999999999716</v>
      </c>
      <c r="Y333">
        <v>0.79999999999999716</v>
      </c>
      <c r="Z333">
        <v>0.40000000000000568</v>
      </c>
      <c r="AA333">
        <v>-0.5</v>
      </c>
      <c r="AB333">
        <v>0.5</v>
      </c>
      <c r="AC333">
        <v>0.39999999999999147</v>
      </c>
      <c r="AD333">
        <v>-0.89999999999999147</v>
      </c>
      <c r="AE333">
        <v>-0.29999999999999716</v>
      </c>
    </row>
    <row r="334" spans="1:31" x14ac:dyDescent="0.3">
      <c r="A334" s="1">
        <v>44805</v>
      </c>
      <c r="B334">
        <v>100.4</v>
      </c>
      <c r="C334">
        <f t="shared" si="33"/>
        <v>0.40000000000000568</v>
      </c>
      <c r="D334">
        <f t="shared" si="34"/>
        <v>100</v>
      </c>
      <c r="E334">
        <f t="shared" si="35"/>
        <v>-0.40000000000000568</v>
      </c>
      <c r="F334">
        <f t="shared" si="36"/>
        <v>-0.29999999999999716</v>
      </c>
      <c r="G334">
        <f t="shared" si="36"/>
        <v>0.29999999999999716</v>
      </c>
      <c r="H334">
        <f t="shared" si="36"/>
        <v>0.20000000000000284</v>
      </c>
      <c r="I334">
        <f t="shared" si="36"/>
        <v>-0.5</v>
      </c>
      <c r="J334">
        <f t="shared" si="36"/>
        <v>-0.29999999999999716</v>
      </c>
      <c r="K334">
        <f t="shared" si="36"/>
        <v>0.79999999999999716</v>
      </c>
      <c r="L334">
        <f t="shared" si="36"/>
        <v>0.40000000000000568</v>
      </c>
      <c r="M334">
        <f t="shared" si="36"/>
        <v>-0.5</v>
      </c>
      <c r="N334">
        <f t="shared" si="36"/>
        <v>0.5</v>
      </c>
      <c r="O334">
        <f t="shared" si="36"/>
        <v>0.39999999999999147</v>
      </c>
      <c r="P334">
        <f t="shared" si="36"/>
        <v>-0.89999999999999147</v>
      </c>
      <c r="R334">
        <v>0.40000000000000568</v>
      </c>
      <c r="S334">
        <v>100</v>
      </c>
      <c r="T334">
        <v>-0.40000000000000568</v>
      </c>
      <c r="U334">
        <v>-0.29999999999999716</v>
      </c>
      <c r="V334">
        <v>0.29999999999999716</v>
      </c>
      <c r="W334">
        <v>0.20000000000000284</v>
      </c>
      <c r="X334">
        <v>-0.5</v>
      </c>
      <c r="Y334">
        <v>-0.29999999999999716</v>
      </c>
      <c r="Z334">
        <v>0.79999999999999716</v>
      </c>
      <c r="AA334">
        <v>0.40000000000000568</v>
      </c>
      <c r="AB334">
        <v>-0.5</v>
      </c>
      <c r="AC334">
        <v>0.5</v>
      </c>
      <c r="AD334">
        <v>0.39999999999999147</v>
      </c>
      <c r="AE334">
        <v>-0.89999999999999147</v>
      </c>
    </row>
    <row r="335" spans="1:31" x14ac:dyDescent="0.3">
      <c r="A335" s="1">
        <v>44835</v>
      </c>
      <c r="B335">
        <v>100.2</v>
      </c>
      <c r="C335">
        <f t="shared" si="33"/>
        <v>-0.20000000000000284</v>
      </c>
      <c r="D335">
        <f t="shared" si="34"/>
        <v>100.4</v>
      </c>
      <c r="E335">
        <f t="shared" si="35"/>
        <v>0.40000000000000568</v>
      </c>
      <c r="F335">
        <f t="shared" si="36"/>
        <v>-0.40000000000000568</v>
      </c>
      <c r="G335">
        <f t="shared" si="36"/>
        <v>-0.29999999999999716</v>
      </c>
      <c r="H335">
        <f t="shared" si="36"/>
        <v>0.29999999999999716</v>
      </c>
      <c r="I335">
        <f t="shared" si="36"/>
        <v>0.20000000000000284</v>
      </c>
      <c r="J335">
        <f t="shared" si="36"/>
        <v>-0.5</v>
      </c>
      <c r="K335">
        <f t="shared" si="36"/>
        <v>-0.29999999999999716</v>
      </c>
      <c r="L335">
        <f t="shared" si="36"/>
        <v>0.79999999999999716</v>
      </c>
      <c r="M335">
        <f t="shared" si="36"/>
        <v>0.40000000000000568</v>
      </c>
      <c r="N335">
        <f t="shared" si="36"/>
        <v>-0.5</v>
      </c>
      <c r="O335">
        <f t="shared" si="36"/>
        <v>0.5</v>
      </c>
      <c r="P335">
        <f t="shared" si="36"/>
        <v>0.39999999999999147</v>
      </c>
      <c r="R335">
        <v>-0.20000000000000284</v>
      </c>
      <c r="S335">
        <v>100.4</v>
      </c>
      <c r="T335">
        <v>0.40000000000000568</v>
      </c>
      <c r="U335">
        <v>-0.40000000000000568</v>
      </c>
      <c r="V335">
        <v>-0.29999999999999716</v>
      </c>
      <c r="W335">
        <v>0.29999999999999716</v>
      </c>
      <c r="X335">
        <v>0.20000000000000284</v>
      </c>
      <c r="Y335">
        <v>-0.5</v>
      </c>
      <c r="Z335">
        <v>-0.29999999999999716</v>
      </c>
      <c r="AA335">
        <v>0.79999999999999716</v>
      </c>
      <c r="AB335">
        <v>0.40000000000000568</v>
      </c>
      <c r="AC335">
        <v>-0.5</v>
      </c>
      <c r="AD335">
        <v>0.5</v>
      </c>
      <c r="AE335">
        <v>0.39999999999999147</v>
      </c>
    </row>
    <row r="336" spans="1:31" x14ac:dyDescent="0.3">
      <c r="A336" s="1">
        <v>44866</v>
      </c>
      <c r="B336">
        <v>100.4</v>
      </c>
      <c r="C336">
        <f t="shared" si="33"/>
        <v>0.20000000000000284</v>
      </c>
      <c r="D336">
        <f t="shared" si="34"/>
        <v>100.2</v>
      </c>
      <c r="E336">
        <f t="shared" si="35"/>
        <v>-0.20000000000000284</v>
      </c>
      <c r="F336">
        <f t="shared" si="36"/>
        <v>0.40000000000000568</v>
      </c>
      <c r="G336">
        <f t="shared" si="36"/>
        <v>-0.40000000000000568</v>
      </c>
      <c r="H336">
        <f t="shared" si="36"/>
        <v>-0.29999999999999716</v>
      </c>
      <c r="I336">
        <f t="shared" si="36"/>
        <v>0.29999999999999716</v>
      </c>
      <c r="J336">
        <f t="shared" si="36"/>
        <v>0.20000000000000284</v>
      </c>
      <c r="K336">
        <f t="shared" si="36"/>
        <v>-0.5</v>
      </c>
      <c r="L336">
        <f t="shared" si="36"/>
        <v>-0.29999999999999716</v>
      </c>
      <c r="M336">
        <f t="shared" si="36"/>
        <v>0.79999999999999716</v>
      </c>
      <c r="N336">
        <f t="shared" si="36"/>
        <v>0.40000000000000568</v>
      </c>
      <c r="O336">
        <f t="shared" si="36"/>
        <v>-0.5</v>
      </c>
      <c r="P336">
        <f t="shared" si="36"/>
        <v>0.5</v>
      </c>
      <c r="R336">
        <v>0.20000000000000284</v>
      </c>
      <c r="S336">
        <v>100.2</v>
      </c>
      <c r="T336">
        <v>-0.20000000000000284</v>
      </c>
      <c r="U336">
        <v>0.40000000000000568</v>
      </c>
      <c r="V336">
        <v>-0.40000000000000568</v>
      </c>
      <c r="W336">
        <v>-0.29999999999999716</v>
      </c>
      <c r="X336">
        <v>0.29999999999999716</v>
      </c>
      <c r="Y336">
        <v>0.20000000000000284</v>
      </c>
      <c r="Z336">
        <v>-0.5</v>
      </c>
      <c r="AA336">
        <v>-0.29999999999999716</v>
      </c>
      <c r="AB336">
        <v>0.79999999999999716</v>
      </c>
      <c r="AC336">
        <v>0.40000000000000568</v>
      </c>
      <c r="AD336">
        <v>-0.5</v>
      </c>
      <c r="AE336">
        <v>0.5</v>
      </c>
    </row>
    <row r="337" spans="1:31" x14ac:dyDescent="0.3">
      <c r="A337" s="1">
        <v>44896</v>
      </c>
      <c r="B337">
        <v>100</v>
      </c>
      <c r="C337">
        <f t="shared" si="33"/>
        <v>-0.40000000000000568</v>
      </c>
      <c r="D337">
        <f t="shared" si="34"/>
        <v>100.4</v>
      </c>
      <c r="E337">
        <f t="shared" si="35"/>
        <v>0.20000000000000284</v>
      </c>
      <c r="F337">
        <f t="shared" si="36"/>
        <v>-0.20000000000000284</v>
      </c>
      <c r="G337">
        <f t="shared" si="36"/>
        <v>0.40000000000000568</v>
      </c>
      <c r="H337">
        <f t="shared" si="36"/>
        <v>-0.40000000000000568</v>
      </c>
      <c r="I337">
        <f t="shared" si="36"/>
        <v>-0.29999999999999716</v>
      </c>
      <c r="J337">
        <f t="shared" si="36"/>
        <v>0.29999999999999716</v>
      </c>
      <c r="K337">
        <f t="shared" si="36"/>
        <v>0.20000000000000284</v>
      </c>
      <c r="L337">
        <f t="shared" si="36"/>
        <v>-0.5</v>
      </c>
      <c r="M337">
        <f t="shared" si="36"/>
        <v>-0.29999999999999716</v>
      </c>
      <c r="N337">
        <f t="shared" si="36"/>
        <v>0.79999999999999716</v>
      </c>
      <c r="O337">
        <f t="shared" si="36"/>
        <v>0.40000000000000568</v>
      </c>
      <c r="P337">
        <f t="shared" si="36"/>
        <v>-0.5</v>
      </c>
      <c r="R337">
        <v>-0.40000000000000568</v>
      </c>
      <c r="S337">
        <v>100.4</v>
      </c>
      <c r="T337">
        <v>0.20000000000000284</v>
      </c>
      <c r="U337">
        <v>-0.20000000000000284</v>
      </c>
      <c r="V337">
        <v>0.40000000000000568</v>
      </c>
      <c r="W337">
        <v>-0.40000000000000568</v>
      </c>
      <c r="X337">
        <v>-0.29999999999999716</v>
      </c>
      <c r="Y337">
        <v>0.29999999999999716</v>
      </c>
      <c r="Z337">
        <v>0.20000000000000284</v>
      </c>
      <c r="AA337">
        <v>-0.5</v>
      </c>
      <c r="AB337">
        <v>-0.29999999999999716</v>
      </c>
      <c r="AC337">
        <v>0.79999999999999716</v>
      </c>
      <c r="AD337">
        <v>0.40000000000000568</v>
      </c>
      <c r="AE337">
        <v>-0.5</v>
      </c>
    </row>
    <row r="338" spans="1:31" x14ac:dyDescent="0.3">
      <c r="A338" s="1">
        <v>44927</v>
      </c>
      <c r="B338">
        <v>100.5</v>
      </c>
      <c r="C338">
        <f t="shared" si="33"/>
        <v>0.5</v>
      </c>
      <c r="D338">
        <f t="shared" si="34"/>
        <v>100</v>
      </c>
      <c r="E338">
        <f t="shared" si="35"/>
        <v>-0.40000000000000568</v>
      </c>
      <c r="F338">
        <f t="shared" si="36"/>
        <v>0.20000000000000284</v>
      </c>
      <c r="G338">
        <f t="shared" si="36"/>
        <v>-0.20000000000000284</v>
      </c>
      <c r="H338">
        <f t="shared" si="36"/>
        <v>0.40000000000000568</v>
      </c>
      <c r="I338">
        <f t="shared" si="36"/>
        <v>-0.40000000000000568</v>
      </c>
      <c r="J338">
        <f t="shared" si="36"/>
        <v>-0.29999999999999716</v>
      </c>
      <c r="K338">
        <f t="shared" si="36"/>
        <v>0.29999999999999716</v>
      </c>
      <c r="L338">
        <f t="shared" si="36"/>
        <v>0.20000000000000284</v>
      </c>
      <c r="M338">
        <f t="shared" si="36"/>
        <v>-0.5</v>
      </c>
      <c r="N338">
        <f t="shared" si="36"/>
        <v>-0.29999999999999716</v>
      </c>
      <c r="O338">
        <f t="shared" si="36"/>
        <v>0.79999999999999716</v>
      </c>
      <c r="P338">
        <f t="shared" si="36"/>
        <v>0.40000000000000568</v>
      </c>
      <c r="R338">
        <v>0.5</v>
      </c>
      <c r="S338">
        <v>100</v>
      </c>
      <c r="T338">
        <v>-0.40000000000000568</v>
      </c>
      <c r="U338">
        <v>0.20000000000000284</v>
      </c>
      <c r="V338">
        <v>-0.20000000000000284</v>
      </c>
      <c r="W338">
        <v>0.40000000000000568</v>
      </c>
      <c r="X338">
        <v>-0.40000000000000568</v>
      </c>
      <c r="Y338">
        <v>-0.29999999999999716</v>
      </c>
      <c r="Z338">
        <v>0.29999999999999716</v>
      </c>
      <c r="AA338">
        <v>0.20000000000000284</v>
      </c>
      <c r="AB338">
        <v>-0.5</v>
      </c>
      <c r="AC338">
        <v>-0.29999999999999716</v>
      </c>
      <c r="AD338">
        <v>0.79999999999999716</v>
      </c>
      <c r="AE338">
        <v>0.40000000000000568</v>
      </c>
    </row>
    <row r="339" spans="1:31" x14ac:dyDescent="0.3">
      <c r="A339" s="1">
        <v>44958</v>
      </c>
      <c r="B339">
        <v>100.5</v>
      </c>
      <c r="C339">
        <f t="shared" si="33"/>
        <v>0</v>
      </c>
      <c r="D339">
        <f t="shared" si="34"/>
        <v>100.5</v>
      </c>
      <c r="E339">
        <f t="shared" si="35"/>
        <v>0.5</v>
      </c>
      <c r="F339">
        <f t="shared" si="36"/>
        <v>-0.40000000000000568</v>
      </c>
      <c r="G339">
        <f t="shared" si="36"/>
        <v>0.20000000000000284</v>
      </c>
      <c r="H339">
        <f t="shared" si="36"/>
        <v>-0.20000000000000284</v>
      </c>
      <c r="I339">
        <f t="shared" si="36"/>
        <v>0.40000000000000568</v>
      </c>
      <c r="J339">
        <f t="shared" si="36"/>
        <v>-0.40000000000000568</v>
      </c>
      <c r="K339">
        <f t="shared" si="36"/>
        <v>-0.29999999999999716</v>
      </c>
      <c r="L339">
        <f t="shared" si="36"/>
        <v>0.29999999999999716</v>
      </c>
      <c r="M339">
        <f t="shared" si="36"/>
        <v>0.20000000000000284</v>
      </c>
      <c r="N339">
        <f t="shared" si="36"/>
        <v>-0.5</v>
      </c>
      <c r="O339">
        <f t="shared" si="36"/>
        <v>-0.29999999999999716</v>
      </c>
      <c r="P339">
        <f t="shared" si="36"/>
        <v>0.79999999999999716</v>
      </c>
      <c r="R339">
        <v>0</v>
      </c>
      <c r="S339">
        <v>100.5</v>
      </c>
      <c r="T339">
        <v>0.5</v>
      </c>
      <c r="U339">
        <v>-0.40000000000000568</v>
      </c>
      <c r="V339">
        <v>0.20000000000000284</v>
      </c>
      <c r="W339">
        <v>-0.20000000000000284</v>
      </c>
      <c r="X339">
        <v>0.40000000000000568</v>
      </c>
      <c r="Y339">
        <v>-0.40000000000000568</v>
      </c>
      <c r="Z339">
        <v>-0.29999999999999716</v>
      </c>
      <c r="AA339">
        <v>0.29999999999999716</v>
      </c>
      <c r="AB339">
        <v>0.20000000000000284</v>
      </c>
      <c r="AC339">
        <v>-0.5</v>
      </c>
      <c r="AD339">
        <v>-0.29999999999999716</v>
      </c>
      <c r="AE339">
        <v>0.79999999999999716</v>
      </c>
    </row>
    <row r="340" spans="1:31" x14ac:dyDescent="0.3">
      <c r="A340" s="1">
        <v>44986</v>
      </c>
      <c r="B340">
        <v>99.8</v>
      </c>
      <c r="C340">
        <f t="shared" si="33"/>
        <v>-0.70000000000000284</v>
      </c>
      <c r="D340">
        <f t="shared" si="34"/>
        <v>100.5</v>
      </c>
      <c r="E340">
        <f t="shared" si="35"/>
        <v>0</v>
      </c>
      <c r="F340">
        <f t="shared" si="36"/>
        <v>0.5</v>
      </c>
      <c r="G340">
        <f t="shared" si="36"/>
        <v>-0.40000000000000568</v>
      </c>
      <c r="H340">
        <f t="shared" si="36"/>
        <v>0.20000000000000284</v>
      </c>
      <c r="I340">
        <f t="shared" si="36"/>
        <v>-0.20000000000000284</v>
      </c>
      <c r="J340">
        <f t="shared" si="36"/>
        <v>0.40000000000000568</v>
      </c>
      <c r="K340">
        <f t="shared" si="36"/>
        <v>-0.40000000000000568</v>
      </c>
      <c r="L340">
        <f t="shared" si="36"/>
        <v>-0.29999999999999716</v>
      </c>
      <c r="M340">
        <f t="shared" si="36"/>
        <v>0.29999999999999716</v>
      </c>
      <c r="N340">
        <f t="shared" si="36"/>
        <v>0.20000000000000284</v>
      </c>
      <c r="O340">
        <f t="shared" si="36"/>
        <v>-0.5</v>
      </c>
      <c r="P340">
        <f t="shared" si="36"/>
        <v>-0.29999999999999716</v>
      </c>
      <c r="R340">
        <v>-0.70000000000000284</v>
      </c>
      <c r="S340">
        <v>100.5</v>
      </c>
      <c r="T340">
        <v>0</v>
      </c>
      <c r="U340">
        <v>0.5</v>
      </c>
      <c r="V340">
        <v>-0.40000000000000568</v>
      </c>
      <c r="W340">
        <v>0.20000000000000284</v>
      </c>
      <c r="X340">
        <v>-0.20000000000000284</v>
      </c>
      <c r="Y340">
        <v>0.40000000000000568</v>
      </c>
      <c r="Z340">
        <v>-0.40000000000000568</v>
      </c>
      <c r="AA340">
        <v>-0.29999999999999716</v>
      </c>
      <c r="AB340">
        <v>0.29999999999999716</v>
      </c>
      <c r="AC340">
        <v>0.20000000000000284</v>
      </c>
      <c r="AD340">
        <v>-0.5</v>
      </c>
      <c r="AE340">
        <v>-0.29999999999999716</v>
      </c>
    </row>
    <row r="341" spans="1:31" x14ac:dyDescent="0.3">
      <c r="A341" s="1">
        <v>45017</v>
      </c>
      <c r="B341">
        <v>99.7</v>
      </c>
      <c r="C341">
        <f t="shared" si="33"/>
        <v>-9.9999999999994316E-2</v>
      </c>
      <c r="D341">
        <f t="shared" si="34"/>
        <v>99.8</v>
      </c>
      <c r="E341">
        <f t="shared" si="35"/>
        <v>-0.70000000000000284</v>
      </c>
      <c r="F341">
        <f t="shared" si="36"/>
        <v>0</v>
      </c>
      <c r="G341">
        <f t="shared" si="36"/>
        <v>0.5</v>
      </c>
      <c r="H341">
        <f t="shared" si="36"/>
        <v>-0.40000000000000568</v>
      </c>
      <c r="I341">
        <f t="shared" si="36"/>
        <v>0.20000000000000284</v>
      </c>
      <c r="J341">
        <f t="shared" si="36"/>
        <v>-0.20000000000000284</v>
      </c>
      <c r="K341">
        <f t="shared" si="36"/>
        <v>0.40000000000000568</v>
      </c>
      <c r="L341">
        <f t="shared" si="36"/>
        <v>-0.40000000000000568</v>
      </c>
      <c r="M341">
        <f t="shared" si="36"/>
        <v>-0.29999999999999716</v>
      </c>
      <c r="N341">
        <f t="shared" si="36"/>
        <v>0.29999999999999716</v>
      </c>
      <c r="O341">
        <f t="shared" si="36"/>
        <v>0.20000000000000284</v>
      </c>
      <c r="P341">
        <f t="shared" si="36"/>
        <v>-0.5</v>
      </c>
      <c r="R341">
        <v>-9.9999999999994316E-2</v>
      </c>
      <c r="S341">
        <v>99.8</v>
      </c>
      <c r="T341">
        <v>-0.70000000000000284</v>
      </c>
      <c r="U341">
        <v>0</v>
      </c>
      <c r="V341">
        <v>0.5</v>
      </c>
      <c r="W341">
        <v>-0.40000000000000568</v>
      </c>
      <c r="X341">
        <v>0.20000000000000284</v>
      </c>
      <c r="Y341">
        <v>-0.20000000000000284</v>
      </c>
      <c r="Z341">
        <v>0.40000000000000568</v>
      </c>
      <c r="AA341">
        <v>-0.40000000000000568</v>
      </c>
      <c r="AB341">
        <v>-0.29999999999999716</v>
      </c>
      <c r="AC341">
        <v>0.29999999999999716</v>
      </c>
      <c r="AD341">
        <v>0.20000000000000284</v>
      </c>
      <c r="AE341">
        <v>-0.5</v>
      </c>
    </row>
    <row r="342" spans="1:31" x14ac:dyDescent="0.3">
      <c r="A342" s="1">
        <v>45047</v>
      </c>
      <c r="B342">
        <v>100</v>
      </c>
      <c r="C342">
        <f t="shared" si="33"/>
        <v>0.29999999999999716</v>
      </c>
      <c r="D342">
        <f t="shared" si="34"/>
        <v>99.7</v>
      </c>
      <c r="E342">
        <f t="shared" si="35"/>
        <v>-9.9999999999994316E-2</v>
      </c>
      <c r="F342">
        <f t="shared" si="36"/>
        <v>-0.70000000000000284</v>
      </c>
      <c r="G342">
        <f t="shared" si="36"/>
        <v>0</v>
      </c>
      <c r="H342">
        <f t="shared" si="36"/>
        <v>0.5</v>
      </c>
      <c r="I342">
        <f t="shared" si="36"/>
        <v>-0.40000000000000568</v>
      </c>
      <c r="J342">
        <f t="shared" si="36"/>
        <v>0.20000000000000284</v>
      </c>
      <c r="K342">
        <f t="shared" si="36"/>
        <v>-0.20000000000000284</v>
      </c>
      <c r="L342">
        <f t="shared" si="36"/>
        <v>0.40000000000000568</v>
      </c>
      <c r="M342">
        <f t="shared" si="36"/>
        <v>-0.40000000000000568</v>
      </c>
      <c r="N342">
        <f t="shared" si="36"/>
        <v>-0.29999999999999716</v>
      </c>
      <c r="O342">
        <f t="shared" si="36"/>
        <v>0.29999999999999716</v>
      </c>
      <c r="P342">
        <f t="shared" si="36"/>
        <v>0.20000000000000284</v>
      </c>
      <c r="R342">
        <v>0.29999999999999716</v>
      </c>
      <c r="S342">
        <v>99.7</v>
      </c>
      <c r="T342">
        <v>-9.9999999999994316E-2</v>
      </c>
      <c r="U342">
        <v>-0.70000000000000284</v>
      </c>
      <c r="V342">
        <v>0</v>
      </c>
      <c r="W342">
        <v>0.5</v>
      </c>
      <c r="X342">
        <v>-0.40000000000000568</v>
      </c>
      <c r="Y342">
        <v>0.20000000000000284</v>
      </c>
      <c r="Z342">
        <v>-0.20000000000000284</v>
      </c>
      <c r="AA342">
        <v>0.40000000000000568</v>
      </c>
      <c r="AB342">
        <v>-0.40000000000000568</v>
      </c>
      <c r="AC342">
        <v>-0.29999999999999716</v>
      </c>
      <c r="AD342">
        <v>0.29999999999999716</v>
      </c>
      <c r="AE342">
        <v>0.20000000000000284</v>
      </c>
    </row>
    <row r="343" spans="1:31" x14ac:dyDescent="0.3">
      <c r="A343" s="1">
        <v>45078</v>
      </c>
      <c r="B343">
        <v>100.3</v>
      </c>
      <c r="C343">
        <f t="shared" si="33"/>
        <v>0.29999999999999716</v>
      </c>
      <c r="D343">
        <f t="shared" si="34"/>
        <v>100</v>
      </c>
      <c r="E343">
        <f t="shared" si="35"/>
        <v>0.29999999999999716</v>
      </c>
      <c r="F343">
        <f t="shared" si="36"/>
        <v>-9.9999999999994316E-2</v>
      </c>
      <c r="G343">
        <f t="shared" si="36"/>
        <v>-0.70000000000000284</v>
      </c>
      <c r="H343">
        <f t="shared" si="36"/>
        <v>0</v>
      </c>
      <c r="I343">
        <f t="shared" si="36"/>
        <v>0.5</v>
      </c>
      <c r="J343">
        <f t="shared" si="36"/>
        <v>-0.40000000000000568</v>
      </c>
      <c r="K343">
        <f t="shared" si="36"/>
        <v>0.20000000000000284</v>
      </c>
      <c r="L343">
        <f t="shared" si="36"/>
        <v>-0.20000000000000284</v>
      </c>
      <c r="M343">
        <f t="shared" si="36"/>
        <v>0.40000000000000568</v>
      </c>
      <c r="N343">
        <f t="shared" si="36"/>
        <v>-0.40000000000000568</v>
      </c>
      <c r="O343">
        <f t="shared" si="36"/>
        <v>-0.29999999999999716</v>
      </c>
      <c r="P343">
        <f t="shared" si="36"/>
        <v>0.29999999999999716</v>
      </c>
      <c r="R343">
        <v>0.29999999999999716</v>
      </c>
      <c r="S343">
        <v>100</v>
      </c>
      <c r="T343">
        <v>0.29999999999999716</v>
      </c>
      <c r="U343">
        <v>-9.9999999999994316E-2</v>
      </c>
      <c r="V343">
        <v>-0.70000000000000284</v>
      </c>
      <c r="W343">
        <v>0</v>
      </c>
      <c r="X343">
        <v>0.5</v>
      </c>
      <c r="Y343">
        <v>-0.40000000000000568</v>
      </c>
      <c r="Z343">
        <v>0.20000000000000284</v>
      </c>
      <c r="AA343">
        <v>-0.20000000000000284</v>
      </c>
      <c r="AB343">
        <v>0.40000000000000568</v>
      </c>
      <c r="AC343">
        <v>-0.40000000000000568</v>
      </c>
      <c r="AD343">
        <v>-0.29999999999999716</v>
      </c>
      <c r="AE343">
        <v>0.29999999999999716</v>
      </c>
    </row>
    <row r="344" spans="1:31" x14ac:dyDescent="0.3">
      <c r="A344" s="1">
        <v>45108</v>
      </c>
      <c r="B344">
        <v>100.5</v>
      </c>
      <c r="C344">
        <f t="shared" si="33"/>
        <v>0.20000000000000284</v>
      </c>
      <c r="D344">
        <f t="shared" si="34"/>
        <v>100.3</v>
      </c>
      <c r="E344">
        <f t="shared" si="35"/>
        <v>0.29999999999999716</v>
      </c>
      <c r="F344">
        <f t="shared" si="36"/>
        <v>0.29999999999999716</v>
      </c>
      <c r="G344">
        <f t="shared" si="36"/>
        <v>-9.9999999999994316E-2</v>
      </c>
      <c r="H344">
        <f t="shared" si="36"/>
        <v>-0.70000000000000284</v>
      </c>
      <c r="I344">
        <f t="shared" si="36"/>
        <v>0</v>
      </c>
      <c r="J344">
        <f t="shared" si="36"/>
        <v>0.5</v>
      </c>
      <c r="K344">
        <f t="shared" si="36"/>
        <v>-0.40000000000000568</v>
      </c>
      <c r="L344">
        <f t="shared" si="36"/>
        <v>0.20000000000000284</v>
      </c>
      <c r="M344">
        <f t="shared" si="36"/>
        <v>-0.20000000000000284</v>
      </c>
      <c r="N344">
        <f t="shared" si="36"/>
        <v>0.40000000000000568</v>
      </c>
      <c r="O344">
        <f t="shared" si="36"/>
        <v>-0.40000000000000568</v>
      </c>
      <c r="P344">
        <f t="shared" si="36"/>
        <v>-0.29999999999999716</v>
      </c>
      <c r="R344">
        <v>0.20000000000000284</v>
      </c>
      <c r="S344">
        <v>100.3</v>
      </c>
      <c r="T344">
        <v>0.29999999999999716</v>
      </c>
      <c r="U344">
        <v>0.29999999999999716</v>
      </c>
      <c r="V344">
        <v>-9.9999999999994316E-2</v>
      </c>
      <c r="W344">
        <v>-0.70000000000000284</v>
      </c>
      <c r="X344">
        <v>0</v>
      </c>
      <c r="Y344">
        <v>0.5</v>
      </c>
      <c r="Z344">
        <v>-0.40000000000000568</v>
      </c>
      <c r="AA344">
        <v>0.20000000000000284</v>
      </c>
      <c r="AB344">
        <v>-0.20000000000000284</v>
      </c>
      <c r="AC344">
        <v>0.40000000000000568</v>
      </c>
      <c r="AD344">
        <v>-0.40000000000000568</v>
      </c>
      <c r="AE344">
        <v>-0.29999999999999716</v>
      </c>
    </row>
    <row r="345" spans="1:31" x14ac:dyDescent="0.3">
      <c r="A345" s="1">
        <v>45139</v>
      </c>
      <c r="B345">
        <v>100.9</v>
      </c>
      <c r="C345">
        <f t="shared" si="33"/>
        <v>0.40000000000000568</v>
      </c>
      <c r="D345">
        <f t="shared" si="34"/>
        <v>100.5</v>
      </c>
      <c r="E345">
        <f t="shared" si="35"/>
        <v>0.20000000000000284</v>
      </c>
      <c r="F345">
        <f t="shared" si="36"/>
        <v>0.29999999999999716</v>
      </c>
      <c r="G345">
        <f t="shared" si="36"/>
        <v>0.29999999999999716</v>
      </c>
      <c r="H345">
        <f t="shared" si="36"/>
        <v>-9.9999999999994316E-2</v>
      </c>
      <c r="I345">
        <f t="shared" si="36"/>
        <v>-0.70000000000000284</v>
      </c>
      <c r="J345">
        <f t="shared" si="36"/>
        <v>0</v>
      </c>
      <c r="K345">
        <f t="shared" si="36"/>
        <v>0.5</v>
      </c>
      <c r="L345">
        <f t="shared" si="36"/>
        <v>-0.40000000000000568</v>
      </c>
      <c r="M345">
        <f t="shared" si="36"/>
        <v>0.20000000000000284</v>
      </c>
      <c r="N345">
        <f t="shared" si="36"/>
        <v>-0.20000000000000284</v>
      </c>
      <c r="O345">
        <f t="shared" si="36"/>
        <v>0.40000000000000568</v>
      </c>
      <c r="P345">
        <f t="shared" si="36"/>
        <v>-0.40000000000000568</v>
      </c>
      <c r="R345">
        <v>0.40000000000000568</v>
      </c>
      <c r="S345">
        <v>100.5</v>
      </c>
      <c r="T345">
        <v>0.20000000000000284</v>
      </c>
      <c r="U345">
        <v>0.29999999999999716</v>
      </c>
      <c r="V345">
        <v>0.29999999999999716</v>
      </c>
      <c r="W345">
        <v>-9.9999999999994316E-2</v>
      </c>
      <c r="X345">
        <v>-0.70000000000000284</v>
      </c>
      <c r="Y345">
        <v>0</v>
      </c>
      <c r="Z345">
        <v>0.5</v>
      </c>
      <c r="AA345">
        <v>-0.40000000000000568</v>
      </c>
      <c r="AB345">
        <v>0.20000000000000284</v>
      </c>
      <c r="AC345">
        <v>-0.20000000000000284</v>
      </c>
      <c r="AD345">
        <v>0.40000000000000568</v>
      </c>
      <c r="AE345">
        <v>-0.40000000000000568</v>
      </c>
    </row>
    <row r="346" spans="1:31" x14ac:dyDescent="0.3">
      <c r="A346" s="1">
        <v>45170</v>
      </c>
      <c r="B346">
        <v>101.1</v>
      </c>
      <c r="C346">
        <f t="shared" si="33"/>
        <v>0.19999999999998863</v>
      </c>
      <c r="D346">
        <f t="shared" si="34"/>
        <v>100.9</v>
      </c>
      <c r="E346">
        <f t="shared" si="35"/>
        <v>0.40000000000000568</v>
      </c>
      <c r="F346">
        <f t="shared" si="36"/>
        <v>0.20000000000000284</v>
      </c>
      <c r="G346">
        <f t="shared" si="36"/>
        <v>0.29999999999999716</v>
      </c>
      <c r="H346">
        <f t="shared" si="36"/>
        <v>0.29999999999999716</v>
      </c>
      <c r="I346">
        <f t="shared" si="36"/>
        <v>-9.9999999999994316E-2</v>
      </c>
      <c r="J346">
        <f t="shared" si="36"/>
        <v>-0.70000000000000284</v>
      </c>
      <c r="K346">
        <f t="shared" si="36"/>
        <v>0</v>
      </c>
      <c r="L346">
        <f t="shared" si="36"/>
        <v>0.5</v>
      </c>
      <c r="M346">
        <f t="shared" si="36"/>
        <v>-0.40000000000000568</v>
      </c>
      <c r="N346">
        <f t="shared" si="36"/>
        <v>0.20000000000000284</v>
      </c>
      <c r="O346">
        <f t="shared" si="36"/>
        <v>-0.20000000000000284</v>
      </c>
      <c r="P346">
        <f t="shared" si="36"/>
        <v>0.40000000000000568</v>
      </c>
      <c r="R346">
        <v>0.19999999999998863</v>
      </c>
      <c r="S346">
        <v>100.9</v>
      </c>
      <c r="T346">
        <v>0.40000000000000568</v>
      </c>
      <c r="U346">
        <v>0.20000000000000284</v>
      </c>
      <c r="V346">
        <v>0.29999999999999716</v>
      </c>
      <c r="W346">
        <v>0.29999999999999716</v>
      </c>
      <c r="X346">
        <v>-9.9999999999994316E-2</v>
      </c>
      <c r="Y346">
        <v>-0.70000000000000284</v>
      </c>
      <c r="Z346">
        <v>0</v>
      </c>
      <c r="AA346">
        <v>0.5</v>
      </c>
      <c r="AB346">
        <v>-0.40000000000000568</v>
      </c>
      <c r="AC346">
        <v>0.20000000000000284</v>
      </c>
      <c r="AD346">
        <v>-0.20000000000000284</v>
      </c>
      <c r="AE346">
        <v>0.40000000000000568</v>
      </c>
    </row>
    <row r="347" spans="1:31" x14ac:dyDescent="0.3">
      <c r="A347" s="1">
        <v>45200</v>
      </c>
      <c r="B347">
        <v>100.1</v>
      </c>
      <c r="C347">
        <f t="shared" si="33"/>
        <v>-1</v>
      </c>
      <c r="D347">
        <f t="shared" si="34"/>
        <v>101.1</v>
      </c>
      <c r="E347">
        <f t="shared" si="35"/>
        <v>0.19999999999998863</v>
      </c>
      <c r="F347">
        <f t="shared" si="36"/>
        <v>0.40000000000000568</v>
      </c>
      <c r="G347">
        <f t="shared" si="36"/>
        <v>0.20000000000000284</v>
      </c>
      <c r="H347">
        <f t="shared" si="36"/>
        <v>0.29999999999999716</v>
      </c>
      <c r="I347">
        <f t="shared" si="36"/>
        <v>0.29999999999999716</v>
      </c>
      <c r="J347">
        <f t="shared" si="36"/>
        <v>-9.9999999999994316E-2</v>
      </c>
      <c r="K347">
        <f t="shared" si="36"/>
        <v>-0.70000000000000284</v>
      </c>
      <c r="L347">
        <f t="shared" si="36"/>
        <v>0</v>
      </c>
      <c r="M347">
        <f t="shared" si="36"/>
        <v>0.5</v>
      </c>
      <c r="N347">
        <f t="shared" si="36"/>
        <v>-0.40000000000000568</v>
      </c>
      <c r="O347">
        <f t="shared" si="36"/>
        <v>0.20000000000000284</v>
      </c>
      <c r="P347">
        <f t="shared" si="36"/>
        <v>-0.20000000000000284</v>
      </c>
      <c r="R347">
        <v>-1</v>
      </c>
      <c r="S347">
        <v>101.1</v>
      </c>
      <c r="T347">
        <v>0.19999999999998863</v>
      </c>
      <c r="U347">
        <v>0.40000000000000568</v>
      </c>
      <c r="V347">
        <v>0.20000000000000284</v>
      </c>
      <c r="W347">
        <v>0.29999999999999716</v>
      </c>
      <c r="X347">
        <v>0.29999999999999716</v>
      </c>
      <c r="Y347">
        <v>-9.9999999999994316E-2</v>
      </c>
      <c r="Z347">
        <v>-0.70000000000000284</v>
      </c>
      <c r="AA347">
        <v>0</v>
      </c>
      <c r="AB347">
        <v>0.5</v>
      </c>
      <c r="AC347">
        <v>-0.40000000000000568</v>
      </c>
      <c r="AD347">
        <v>0.20000000000000284</v>
      </c>
      <c r="AE347">
        <v>-0.20000000000000284</v>
      </c>
    </row>
    <row r="348" spans="1:31" x14ac:dyDescent="0.3">
      <c r="A348" s="1">
        <v>45231</v>
      </c>
      <c r="B348">
        <v>100.3</v>
      </c>
      <c r="C348">
        <f t="shared" si="33"/>
        <v>0.20000000000000284</v>
      </c>
      <c r="D348">
        <f t="shared" si="34"/>
        <v>100.1</v>
      </c>
      <c r="E348">
        <f t="shared" si="35"/>
        <v>-1</v>
      </c>
      <c r="F348">
        <f t="shared" si="36"/>
        <v>0.19999999999998863</v>
      </c>
      <c r="G348">
        <f t="shared" si="36"/>
        <v>0.40000000000000568</v>
      </c>
      <c r="H348">
        <f t="shared" si="36"/>
        <v>0.20000000000000284</v>
      </c>
      <c r="I348">
        <f t="shared" si="36"/>
        <v>0.29999999999999716</v>
      </c>
      <c r="J348">
        <f t="shared" si="36"/>
        <v>0.29999999999999716</v>
      </c>
      <c r="K348">
        <f t="shared" si="36"/>
        <v>-9.9999999999994316E-2</v>
      </c>
      <c r="L348">
        <f t="shared" si="36"/>
        <v>-0.70000000000000284</v>
      </c>
      <c r="M348">
        <f t="shared" si="36"/>
        <v>0</v>
      </c>
      <c r="N348">
        <f t="shared" si="36"/>
        <v>0.5</v>
      </c>
      <c r="O348">
        <f t="shared" si="36"/>
        <v>-0.40000000000000568</v>
      </c>
      <c r="P348">
        <f t="shared" si="36"/>
        <v>0.20000000000000284</v>
      </c>
      <c r="R348">
        <v>0.20000000000000284</v>
      </c>
      <c r="S348">
        <v>100.1</v>
      </c>
      <c r="T348">
        <v>-1</v>
      </c>
      <c r="U348">
        <v>0.19999999999998863</v>
      </c>
      <c r="V348">
        <v>0.40000000000000568</v>
      </c>
      <c r="W348">
        <v>0.20000000000000284</v>
      </c>
      <c r="X348">
        <v>0.29999999999999716</v>
      </c>
      <c r="Y348">
        <v>0.29999999999999716</v>
      </c>
      <c r="Z348">
        <v>-9.9999999999994316E-2</v>
      </c>
      <c r="AA348">
        <v>-0.70000000000000284</v>
      </c>
      <c r="AB348">
        <v>0</v>
      </c>
      <c r="AC348">
        <v>0.5</v>
      </c>
      <c r="AD348">
        <v>-0.40000000000000568</v>
      </c>
      <c r="AE348">
        <v>0.20000000000000284</v>
      </c>
    </row>
    <row r="349" spans="1:31" x14ac:dyDescent="0.3">
      <c r="A349" s="1">
        <v>45261</v>
      </c>
      <c r="B349">
        <v>100.1</v>
      </c>
      <c r="C349">
        <f t="shared" si="33"/>
        <v>-0.20000000000000284</v>
      </c>
      <c r="D349">
        <f t="shared" si="34"/>
        <v>100.3</v>
      </c>
      <c r="E349">
        <f t="shared" si="35"/>
        <v>0.20000000000000284</v>
      </c>
      <c r="F349">
        <f t="shared" si="36"/>
        <v>-1</v>
      </c>
      <c r="G349">
        <f t="shared" si="36"/>
        <v>0.19999999999998863</v>
      </c>
      <c r="H349">
        <f t="shared" si="36"/>
        <v>0.40000000000000568</v>
      </c>
      <c r="I349">
        <f t="shared" si="36"/>
        <v>0.20000000000000284</v>
      </c>
      <c r="J349">
        <f t="shared" si="36"/>
        <v>0.29999999999999716</v>
      </c>
      <c r="K349">
        <f t="shared" si="36"/>
        <v>0.29999999999999716</v>
      </c>
      <c r="L349">
        <f t="shared" si="36"/>
        <v>-9.9999999999994316E-2</v>
      </c>
      <c r="M349">
        <f t="shared" si="36"/>
        <v>-0.70000000000000284</v>
      </c>
      <c r="N349">
        <f t="shared" si="36"/>
        <v>0</v>
      </c>
      <c r="O349">
        <f t="shared" si="36"/>
        <v>0.5</v>
      </c>
      <c r="P349">
        <f t="shared" ref="P349" si="37">O348</f>
        <v>-0.40000000000000568</v>
      </c>
      <c r="R349">
        <v>-0.20000000000000284</v>
      </c>
      <c r="S349">
        <v>100.3</v>
      </c>
      <c r="T349">
        <v>0.20000000000000284</v>
      </c>
      <c r="U349">
        <v>-1</v>
      </c>
      <c r="V349">
        <v>0.19999999999998863</v>
      </c>
      <c r="W349">
        <v>0.40000000000000568</v>
      </c>
      <c r="X349">
        <v>0.20000000000000284</v>
      </c>
      <c r="Y349">
        <v>0.29999999999999716</v>
      </c>
      <c r="Z349">
        <v>0.29999999999999716</v>
      </c>
      <c r="AA349">
        <v>-9.9999999999994316E-2</v>
      </c>
      <c r="AB349">
        <v>-0.70000000000000284</v>
      </c>
      <c r="AC349">
        <v>0</v>
      </c>
      <c r="AD349">
        <v>0.5</v>
      </c>
      <c r="AE349">
        <v>-0.40000000000000568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6FFF-51E7-4D54-8048-627C001AB9D5}">
  <dimension ref="A1:AF349"/>
  <sheetViews>
    <sheetView topLeftCell="J13" workbookViewId="0">
      <selection activeCell="V14" sqref="V14"/>
    </sheetView>
  </sheetViews>
  <sheetFormatPr defaultRowHeight="14.4" x14ac:dyDescent="0.3"/>
  <cols>
    <col min="2" max="2" width="8.88671875" style="7"/>
  </cols>
  <sheetData>
    <row r="1" spans="1:32" x14ac:dyDescent="0.3">
      <c r="A1" t="s">
        <v>0</v>
      </c>
      <c r="B1" s="7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32" x14ac:dyDescent="0.3">
      <c r="A2">
        <v>34700</v>
      </c>
      <c r="B2" s="7">
        <v>103.8</v>
      </c>
      <c r="C2">
        <f>($B2-AVERAGE($B$2:$B$349))*($B2-AVERAGE($B$2:$B$349))</f>
        <v>11.025071426212508</v>
      </c>
      <c r="Q2" t="s">
        <v>31</v>
      </c>
      <c r="R2" t="s">
        <v>33</v>
      </c>
      <c r="S2" s="8" t="s">
        <v>32</v>
      </c>
      <c r="U2" s="8" t="s">
        <v>35</v>
      </c>
    </row>
    <row r="3" spans="1:32" x14ac:dyDescent="0.3">
      <c r="A3">
        <v>34731</v>
      </c>
      <c r="B3" s="7">
        <v>103.4</v>
      </c>
      <c r="C3">
        <f t="shared" ref="C3:C66" si="0">($B3-AVERAGE($B$2:$B$349))*($B3-AVERAGE($B$2:$B$349))</f>
        <v>8.528749587132058</v>
      </c>
      <c r="D3">
        <f>($B3-AVERAGE($B$2:$B$349))*($B2-AVERAGE($B$2:$B$349))</f>
        <v>9.6969105066722872</v>
      </c>
      <c r="Q3">
        <f>DEVSQ($B$2:$B$349)</f>
        <v>223.26514367816165</v>
      </c>
      <c r="R3">
        <f>SUM(C2:C349)</f>
        <v>223.26514367816165</v>
      </c>
      <c r="S3">
        <f>R3/Q3</f>
        <v>1</v>
      </c>
      <c r="T3">
        <v>0</v>
      </c>
    </row>
    <row r="4" spans="1:32" x14ac:dyDescent="0.3">
      <c r="A4">
        <v>34759</v>
      </c>
      <c r="B4" s="7">
        <v>100.2</v>
      </c>
      <c r="C4">
        <f t="shared" si="0"/>
        <v>7.8174874488012663E-2</v>
      </c>
      <c r="D4">
        <f t="shared" ref="D4:D67" si="1">($B4-AVERAGE($B$2:$B$349))*($B3-AVERAGE($B$2:$B$349))</f>
        <v>-0.81653776918997356</v>
      </c>
      <c r="E4">
        <f>($B4-AVERAGE($B$2:$B$349))*($B2-AVERAGE($B$2:$B$349))</f>
        <v>-0.92837684964971934</v>
      </c>
      <c r="Q4">
        <f t="shared" ref="Q4:Q17" si="2">DEVSQ($B$2:$B$349)</f>
        <v>223.26514367816165</v>
      </c>
      <c r="R4">
        <f>SUM(D3:D350)</f>
        <v>118.30556075769572</v>
      </c>
      <c r="S4">
        <f t="shared" ref="S4:S15" si="3">R4/Q4</f>
        <v>0.52988818052241082</v>
      </c>
      <c r="T4">
        <v>1</v>
      </c>
      <c r="U4" s="8">
        <f>S4</f>
        <v>0.52988818052241082</v>
      </c>
      <c r="V4" cm="1">
        <f t="array" ref="V4:V5">MMULT(MMULT(MINVERSE(MMULT($Q$18:R19,$Q$18:R19)),$Q$18:R19),$S$4:$S5)</f>
        <v>0.51589212904511617</v>
      </c>
      <c r="W4" cm="1">
        <f t="array" ref="W4:W6">MMULT(MMULT(MINVERSE(MMULT($Q$18:S20,$Q$18:S20)),$Q$18:S20),$S$4:$S6)</f>
        <v>0.51251437134963795</v>
      </c>
      <c r="X4" cm="1">
        <f t="array" ref="X4:X7">MMULT(MMULT(MINVERSE(MMULT($Q$18:T21,$Q$18:T21)),$Q$18:T21),$S$4:$S7)</f>
        <v>0.51404988841054722</v>
      </c>
      <c r="Y4" cm="1">
        <f t="array" ref="Y4:Y8">MMULT(MMULT(MINVERSE(MMULT($Q$18:U22,$Q$18:U22)),$Q$18:U22),$S$4:$S8)</f>
        <v>0.5139187449164847</v>
      </c>
      <c r="Z4" cm="1">
        <f t="array" ref="Z4:Z9">MMULT(MMULT(MINVERSE(MMULT($Q$18:V23,$Q$18:V23)),$Q$18:V23),$S$4:$S9)</f>
        <v>0.51306983664435191</v>
      </c>
      <c r="AA4" cm="1">
        <f t="array" ref="AA4:AA10">MMULT(MMULT(MINVERSE(MMULT($Q$18:W24,$Q$18:W24)),$Q$18:W24),$S$4:$S10)</f>
        <v>0.51631188770862224</v>
      </c>
      <c r="AB4" cm="1">
        <f t="array" ref="AB4:AB11">MMULT(MMULT(MINVERSE(MMULT($Q$18:X25,$Q$18:X25)),$Q$18:X25),$S$4:$S11)</f>
        <v>0.51504330331707138</v>
      </c>
      <c r="AC4" cm="1">
        <f t="array" ref="AC4:AC12">MMULT(MMULT(MINVERSE(MMULT($Q$18:Y26,$Q$18:Y26)),$Q$18:Y26),$S$4:$S12)</f>
        <v>0.51355841602227525</v>
      </c>
      <c r="AD4" cm="1">
        <f t="array" ref="AD4:AD13">MMULT(MMULT(MINVERSE(MMULT($Q$18:Z27,$Q$18:Z27)),$Q$18:Z27),$S$4:$S13)</f>
        <v>0.51289221084060688</v>
      </c>
      <c r="AE4" cm="1">
        <f t="array" ref="AE4:AE14">MMULT(MMULT(MINVERSE(MMULT($Q$18:AA28,$Q$18:AA28)),$Q$18:AA28),$S$4:$S14)</f>
        <v>0.51174863190414999</v>
      </c>
      <c r="AF4" cm="1">
        <f t="array" ref="AF4:AF15">MMULT(MMULT(MINVERSE(MMULT($Q$18:AB29,$Q$18:AB29)),$Q$18:AB29),$S$4:$S15)</f>
        <v>0.4850756702250496</v>
      </c>
    </row>
    <row r="5" spans="1:32" x14ac:dyDescent="0.3">
      <c r="A5">
        <v>34790</v>
      </c>
      <c r="B5" s="7">
        <v>101</v>
      </c>
      <c r="C5">
        <f t="shared" si="0"/>
        <v>0.270818552649017</v>
      </c>
      <c r="D5">
        <f t="shared" si="1"/>
        <v>-0.14550328643148289</v>
      </c>
      <c r="E5">
        <f t="shared" ref="E5:E68" si="4">($B5-AVERAGE($B$2:$B$349))*($B3-AVERAGE($B$2:$B$349))</f>
        <v>1.5197840698905241</v>
      </c>
      <c r="F5">
        <f>($B5-AVERAGE($B$2:$B$349))*($B2-AVERAGE($B$2:$B$349))</f>
        <v>1.7279449894307704</v>
      </c>
      <c r="Q5">
        <f t="shared" si="2"/>
        <v>223.26514367816165</v>
      </c>
      <c r="R5">
        <f>SUM(E4:E351)</f>
        <v>66.930058297000642</v>
      </c>
      <c r="S5">
        <f t="shared" si="3"/>
        <v>0.29977835856671303</v>
      </c>
      <c r="T5">
        <v>2</v>
      </c>
      <c r="V5" s="8">
        <v>2.6413216961163721E-2</v>
      </c>
      <c r="W5">
        <v>-3.9559762077354871E-2</v>
      </c>
      <c r="X5">
        <v>-4.0034770295729008E-2</v>
      </c>
      <c r="Y5">
        <v>-3.8570846569133524E-2</v>
      </c>
      <c r="Z5">
        <v>-3.906773883328446E-2</v>
      </c>
      <c r="AA5">
        <v>-4.0278316956212951E-2</v>
      </c>
      <c r="AB5">
        <v>-3.7263580788681007E-2</v>
      </c>
      <c r="AC5">
        <v>-3.8533446219112845E-2</v>
      </c>
      <c r="AD5">
        <v>-3.8605310595639104E-2</v>
      </c>
      <c r="AE5">
        <v>-4.2109898604758216E-2</v>
      </c>
      <c r="AF5">
        <v>-3.2772206863010286E-2</v>
      </c>
    </row>
    <row r="6" spans="1:32" x14ac:dyDescent="0.3">
      <c r="A6">
        <v>34820</v>
      </c>
      <c r="B6" s="7">
        <v>101.8</v>
      </c>
      <c r="C6">
        <f t="shared" si="0"/>
        <v>1.7434622308100123</v>
      </c>
      <c r="D6">
        <f t="shared" si="1"/>
        <v>0.68714039172951691</v>
      </c>
      <c r="E6">
        <f t="shared" si="4"/>
        <v>-0.36918144735097846</v>
      </c>
      <c r="F6">
        <f t="shared" ref="F6:F69" si="5">($B6-AVERAGE($B$2:$B$349))*($B3-AVERAGE($B$2:$B$349))</f>
        <v>3.8561059089710219</v>
      </c>
      <c r="G6">
        <f>($B6-AVERAGE($B$2:$B$349))*($B2-AVERAGE($B$2:$B$349))</f>
        <v>4.3842668285112598</v>
      </c>
      <c r="Q6">
        <f t="shared" si="2"/>
        <v>223.26514367816165</v>
      </c>
      <c r="R6">
        <f>SUM(F5:F352)</f>
        <v>58.173923652397832</v>
      </c>
      <c r="S6">
        <f>R6/Q6</f>
        <v>0.26055981105700932</v>
      </c>
      <c r="T6">
        <v>3</v>
      </c>
      <c r="W6" s="8">
        <v>0.12788134442103277</v>
      </c>
      <c r="X6">
        <v>0.13403528786833049</v>
      </c>
      <c r="Y6">
        <v>0.13359803100080631</v>
      </c>
      <c r="Z6">
        <v>0.14398195555788523</v>
      </c>
      <c r="AA6">
        <v>0.14437366499655246</v>
      </c>
      <c r="AB6">
        <v>0.1434414402672636</v>
      </c>
      <c r="AC6">
        <v>0.14822135826925628</v>
      </c>
      <c r="AD6">
        <v>0.14784163742273684</v>
      </c>
      <c r="AE6">
        <v>0.14735617495119832</v>
      </c>
      <c r="AF6">
        <v>0.13301802448788647</v>
      </c>
    </row>
    <row r="7" spans="1:32" x14ac:dyDescent="0.3">
      <c r="A7">
        <v>34851</v>
      </c>
      <c r="B7" s="7">
        <v>100.8</v>
      </c>
      <c r="C7">
        <f t="shared" si="0"/>
        <v>0.1026576331087645</v>
      </c>
      <c r="D7">
        <f t="shared" si="1"/>
        <v>0.4230599319593884</v>
      </c>
      <c r="E7">
        <f t="shared" si="4"/>
        <v>0.16673809287889019</v>
      </c>
      <c r="F7">
        <f t="shared" si="5"/>
        <v>-8.9583746201608014E-2</v>
      </c>
      <c r="G7">
        <f t="shared" ref="G7:G70" si="6">($B7-AVERAGE($B$2:$B$349))*($B3-AVERAGE($B$2:$B$349))</f>
        <v>0.93570361012038927</v>
      </c>
      <c r="H7">
        <f>($B7-AVERAGE($B$2:$B$349))*($B2-AVERAGE($B$2:$B$349))</f>
        <v>1.0638645296606362</v>
      </c>
      <c r="Q7">
        <f t="shared" si="2"/>
        <v>223.26514367816165</v>
      </c>
      <c r="R7">
        <f>SUM(G6:G353)</f>
        <v>40.401064869863596</v>
      </c>
      <c r="S7">
        <f t="shared" si="3"/>
        <v>0.18095554104093395</v>
      </c>
      <c r="T7">
        <v>4</v>
      </c>
      <c r="X7" s="8">
        <v>-1.2007357825056908E-2</v>
      </c>
      <c r="Y7">
        <v>-6.3929420940971732E-3</v>
      </c>
      <c r="Z7">
        <v>-9.3908662234361701E-3</v>
      </c>
      <c r="AA7">
        <v>-1.5396605184126406E-2</v>
      </c>
      <c r="AB7">
        <v>-1.4928346379707316E-2</v>
      </c>
      <c r="AC7">
        <v>-1.6210520930054421E-2</v>
      </c>
      <c r="AD7">
        <v>-1.4779091860152523E-2</v>
      </c>
      <c r="AE7">
        <v>-1.6941863186291491E-2</v>
      </c>
      <c r="AF7">
        <v>-1.484199928397173E-2</v>
      </c>
    </row>
    <row r="8" spans="1:32" x14ac:dyDescent="0.3">
      <c r="A8">
        <v>34881</v>
      </c>
      <c r="B8" s="7">
        <v>100</v>
      </c>
      <c r="C8">
        <f t="shared" si="0"/>
        <v>0.23001395494776355</v>
      </c>
      <c r="D8">
        <f t="shared" si="1"/>
        <v>-0.15366420597173369</v>
      </c>
      <c r="E8">
        <f t="shared" si="4"/>
        <v>-0.63326190712110697</v>
      </c>
      <c r="F8">
        <f t="shared" si="5"/>
        <v>-0.24958374620160972</v>
      </c>
      <c r="G8">
        <f t="shared" si="6"/>
        <v>0.13409441471788755</v>
      </c>
      <c r="H8">
        <f t="shared" ref="H8:H71" si="7">($B8-AVERAGE($B$2:$B$349))*($B3-AVERAGE($B$2:$B$349))</f>
        <v>-1.4006182289601083</v>
      </c>
      <c r="I8">
        <f>($B8-AVERAGE($B$2:$B$349))*($B2-AVERAGE($B$2:$B$349))</f>
        <v>-1.5924573094198535</v>
      </c>
      <c r="Q8">
        <f t="shared" si="2"/>
        <v>223.26514367816165</v>
      </c>
      <c r="R8">
        <f>SUM(H7:H354)</f>
        <v>24.265964708019176</v>
      </c>
      <c r="S8">
        <f t="shared" si="3"/>
        <v>0.10868675830114684</v>
      </c>
      <c r="T8">
        <v>5</v>
      </c>
      <c r="Y8" s="8">
        <v>-1.0921927730294406E-2</v>
      </c>
      <c r="Z8">
        <v>2.9022474433784536E-2</v>
      </c>
      <c r="AA8">
        <v>3.0652058087097193E-2</v>
      </c>
      <c r="AB8">
        <v>2.6261204450326855E-2</v>
      </c>
      <c r="AC8">
        <v>2.6990064613872277E-2</v>
      </c>
      <c r="AD8">
        <v>2.6621783524815312E-2</v>
      </c>
      <c r="AE8">
        <v>3.5395191089500858E-2</v>
      </c>
      <c r="AF8">
        <v>2.6788013229100918E-2</v>
      </c>
    </row>
    <row r="9" spans="1:32" x14ac:dyDescent="0.3">
      <c r="A9">
        <v>34912</v>
      </c>
      <c r="B9" s="7">
        <v>100.3</v>
      </c>
      <c r="C9">
        <f t="shared" si="0"/>
        <v>3.2255334258140617E-2</v>
      </c>
      <c r="D9">
        <f t="shared" si="1"/>
        <v>8.6134644602952948E-2</v>
      </c>
      <c r="E9">
        <f t="shared" si="4"/>
        <v>-5.7543516316547444E-2</v>
      </c>
      <c r="F9">
        <f t="shared" si="5"/>
        <v>-0.23714121746592356</v>
      </c>
      <c r="G9">
        <f t="shared" si="6"/>
        <v>-9.3463056546423173E-2</v>
      </c>
      <c r="H9">
        <f t="shared" si="7"/>
        <v>5.0215104373077211E-2</v>
      </c>
      <c r="I9">
        <f t="shared" ref="I9:I72" si="8">($B9-AVERAGE($B$2:$B$349))*($B3-AVERAGE($B$2:$B$349))</f>
        <v>-0.52449753930492693</v>
      </c>
      <c r="J9">
        <f>($B9-AVERAGE($B$2:$B$349))*($B2-AVERAGE($B$2:$B$349))</f>
        <v>-0.59633661976467578</v>
      </c>
      <c r="Q9">
        <f t="shared" si="2"/>
        <v>223.26514367816165</v>
      </c>
      <c r="R9">
        <f>SUM(I8:I355)</f>
        <v>4.699427764565578</v>
      </c>
      <c r="S9">
        <f t="shared" si="3"/>
        <v>2.1048640585562418E-2</v>
      </c>
      <c r="T9">
        <v>6</v>
      </c>
      <c r="Z9" s="8">
        <v>-7.7725131763304242E-2</v>
      </c>
      <c r="AA9">
        <v>-9.9126171200151131E-2</v>
      </c>
      <c r="AB9">
        <v>-9.7901181902781589E-2</v>
      </c>
      <c r="AC9">
        <v>-0.10490455314853611</v>
      </c>
      <c r="AD9">
        <v>-0.10468335959537947</v>
      </c>
      <c r="AE9">
        <v>-0.1069145046200016</v>
      </c>
      <c r="AF9">
        <v>-7.288800957708752E-2</v>
      </c>
    </row>
    <row r="10" spans="1:32" x14ac:dyDescent="0.3">
      <c r="A10">
        <v>34943</v>
      </c>
      <c r="B10" s="7">
        <v>100.5</v>
      </c>
      <c r="C10">
        <f t="shared" si="0"/>
        <v>4.1625379839028444E-4</v>
      </c>
      <c r="D10">
        <f t="shared" si="1"/>
        <v>-3.664205971735118E-3</v>
      </c>
      <c r="E10">
        <f t="shared" si="4"/>
        <v>-9.784895626923076E-3</v>
      </c>
      <c r="F10">
        <f t="shared" si="5"/>
        <v>6.5369434535782426E-3</v>
      </c>
      <c r="G10">
        <f t="shared" si="6"/>
        <v>2.6939242304204965E-2</v>
      </c>
      <c r="H10">
        <f t="shared" si="7"/>
        <v>1.0617403223703645E-2</v>
      </c>
      <c r="I10">
        <f t="shared" si="8"/>
        <v>-5.7044358567976735E-3</v>
      </c>
      <c r="J10">
        <f t="shared" ref="J10:J73" si="9">($B10-AVERAGE($B$2:$B$349))*($B3-AVERAGE($B$2:$B$349))</f>
        <v>5.9582920465207891E-2</v>
      </c>
      <c r="K10">
        <f>($B10-AVERAGE($B$2:$B$349))*($B2-AVERAGE($B$2:$B$349))</f>
        <v>6.7743840005458411E-2</v>
      </c>
      <c r="Q10">
        <f t="shared" si="2"/>
        <v>223.26514367816165</v>
      </c>
      <c r="R10">
        <f>SUM(J9:J356)</f>
        <v>6.0232931199626343</v>
      </c>
      <c r="S10">
        <f t="shared" si="3"/>
        <v>2.6978206363664433E-2</v>
      </c>
      <c r="T10">
        <v>7</v>
      </c>
      <c r="AA10" s="8">
        <v>4.1711747423922502E-2</v>
      </c>
      <c r="AB10">
        <v>2.6009091880199002E-2</v>
      </c>
      <c r="AC10">
        <v>2.7828445406182706E-2</v>
      </c>
      <c r="AD10">
        <v>2.5805955871186552E-2</v>
      </c>
      <c r="AE10">
        <v>2.7044576761388113E-2</v>
      </c>
      <c r="AF10">
        <v>1.5779741383806941E-2</v>
      </c>
    </row>
    <row r="11" spans="1:32" x14ac:dyDescent="0.3">
      <c r="A11">
        <v>34973</v>
      </c>
      <c r="B11" s="7">
        <v>100.1</v>
      </c>
      <c r="C11">
        <f t="shared" si="0"/>
        <v>0.14409441471789322</v>
      </c>
      <c r="D11">
        <f t="shared" si="1"/>
        <v>-7.7446657418605196E-3</v>
      </c>
      <c r="E11">
        <f t="shared" si="4"/>
        <v>6.8174874488016346E-2</v>
      </c>
      <c r="F11">
        <f t="shared" si="5"/>
        <v>0.18205418483282895</v>
      </c>
      <c r="G11">
        <f t="shared" si="6"/>
        <v>-0.12162397608667314</v>
      </c>
      <c r="H11">
        <f t="shared" si="7"/>
        <v>-0.50122167723605204</v>
      </c>
      <c r="I11">
        <f t="shared" si="8"/>
        <v>-0.19754351631655001</v>
      </c>
      <c r="J11">
        <f t="shared" si="9"/>
        <v>0.10613464460295209</v>
      </c>
      <c r="K11">
        <f t="shared" ref="K11:K74" si="10">($B11-AVERAGE($B$2:$B$349))*($B3-AVERAGE($B$2:$B$349))</f>
        <v>-1.1085779990750617</v>
      </c>
      <c r="L11">
        <f>($B11-AVERAGE($B$2:$B$349))*($B2-AVERAGE($B$2:$B$349))</f>
        <v>-1.26041707953481</v>
      </c>
      <c r="Q11">
        <f t="shared" si="2"/>
        <v>223.26514367816165</v>
      </c>
      <c r="R11">
        <f>SUM(K10:K357)</f>
        <v>10.647158475359701</v>
      </c>
      <c r="S11">
        <f t="shared" si="3"/>
        <v>4.7688404468131662E-2</v>
      </c>
      <c r="T11">
        <v>8</v>
      </c>
      <c r="AB11" s="8">
        <v>3.0413120281779116E-2</v>
      </c>
      <c r="AC11">
        <v>5.2666949814745914E-3</v>
      </c>
      <c r="AD11">
        <v>5.7924862210800747E-3</v>
      </c>
      <c r="AE11">
        <v>-6.5979733954260912E-3</v>
      </c>
      <c r="AF11">
        <v>-1.2060742820228249E-3</v>
      </c>
    </row>
    <row r="12" spans="1:32" x14ac:dyDescent="0.3">
      <c r="A12">
        <v>35004</v>
      </c>
      <c r="B12" s="7">
        <v>100.1</v>
      </c>
      <c r="C12">
        <f t="shared" si="0"/>
        <v>0.14409441471789322</v>
      </c>
      <c r="D12">
        <f t="shared" si="1"/>
        <v>0.14409441471789322</v>
      </c>
      <c r="E12">
        <f t="shared" si="4"/>
        <v>-7.7446657418605196E-3</v>
      </c>
      <c r="F12">
        <f t="shared" si="5"/>
        <v>6.8174874488016346E-2</v>
      </c>
      <c r="G12">
        <f t="shared" si="6"/>
        <v>0.18205418483282895</v>
      </c>
      <c r="H12">
        <f t="shared" si="7"/>
        <v>-0.12162397608667314</v>
      </c>
      <c r="I12">
        <f t="shared" si="8"/>
        <v>-0.50122167723605204</v>
      </c>
      <c r="J12">
        <f t="shared" si="9"/>
        <v>-0.19754351631655001</v>
      </c>
      <c r="K12">
        <f t="shared" si="10"/>
        <v>0.10613464460295209</v>
      </c>
      <c r="L12">
        <f t="shared" ref="L12:L75" si="11">($B12-AVERAGE($B$2:$B$349))*($B3-AVERAGE($B$2:$B$349))</f>
        <v>-1.1085779990750617</v>
      </c>
      <c r="M12">
        <f>($B12-AVERAGE($B$2:$B$349))*($B2-AVERAGE($B$2:$B$349))</f>
        <v>-1.26041707953481</v>
      </c>
      <c r="Q12">
        <f t="shared" si="2"/>
        <v>223.26514367816165</v>
      </c>
      <c r="R12">
        <f>SUM(L11:L358)</f>
        <v>13.913064060641869</v>
      </c>
      <c r="S12">
        <f t="shared" si="3"/>
        <v>6.2316328610155347E-2</v>
      </c>
      <c r="T12">
        <v>9</v>
      </c>
      <c r="AB12" s="8"/>
      <c r="AC12" s="8">
        <v>4.8823904977446653E-2</v>
      </c>
      <c r="AD12">
        <v>4.1816368852621431E-2</v>
      </c>
      <c r="AE12">
        <v>4.5051841281799794E-2</v>
      </c>
      <c r="AF12">
        <v>-1.8455761657553971E-3</v>
      </c>
    </row>
    <row r="13" spans="1:32" x14ac:dyDescent="0.3">
      <c r="A13">
        <v>35034</v>
      </c>
      <c r="B13" s="7">
        <v>100.3</v>
      </c>
      <c r="C13">
        <f t="shared" si="0"/>
        <v>3.2255334258140617E-2</v>
      </c>
      <c r="D13">
        <f t="shared" si="1"/>
        <v>6.8174874488016346E-2</v>
      </c>
      <c r="E13">
        <f t="shared" si="4"/>
        <v>6.8174874488016346E-2</v>
      </c>
      <c r="F13">
        <f t="shared" si="5"/>
        <v>-3.664205971735118E-3</v>
      </c>
      <c r="G13">
        <f t="shared" si="6"/>
        <v>3.2255334258140617E-2</v>
      </c>
      <c r="H13">
        <f t="shared" si="7"/>
        <v>8.6134644602952948E-2</v>
      </c>
      <c r="I13">
        <f t="shared" si="8"/>
        <v>-5.7543516316547444E-2</v>
      </c>
      <c r="J13">
        <f t="shared" si="9"/>
        <v>-0.23714121746592356</v>
      </c>
      <c r="K13">
        <f t="shared" si="10"/>
        <v>-9.3463056546423173E-2</v>
      </c>
      <c r="L13">
        <f t="shared" si="11"/>
        <v>5.0215104373077211E-2</v>
      </c>
      <c r="M13">
        <f t="shared" ref="M13:M76" si="12">($B13-AVERAGE($B$2:$B$349))*($B3-AVERAGE($B$2:$B$349))</f>
        <v>-0.52449753930492693</v>
      </c>
      <c r="N13">
        <f>($B13-AVERAGE($B$2:$B$349))*($B2-AVERAGE($B$2:$B$349))</f>
        <v>-0.59633661976467578</v>
      </c>
      <c r="Q13">
        <f t="shared" si="2"/>
        <v>223.26514367816165</v>
      </c>
      <c r="R13">
        <f>SUM(M12:M359)</f>
        <v>13.845090335579158</v>
      </c>
      <c r="S13">
        <f t="shared" si="3"/>
        <v>6.2011875689547663E-2</v>
      </c>
      <c r="T13">
        <v>10</v>
      </c>
      <c r="AD13" s="8">
        <v>1.3645061411187306E-2</v>
      </c>
      <c r="AE13">
        <v>-2.9339921304540828E-2</v>
      </c>
      <c r="AF13">
        <v>-1.5938070355922058E-2</v>
      </c>
    </row>
    <row r="14" spans="1:32" x14ac:dyDescent="0.3">
      <c r="A14">
        <v>35065</v>
      </c>
      <c r="B14" s="7">
        <v>100.9</v>
      </c>
      <c r="C14">
        <f t="shared" si="0"/>
        <v>0.17673809287889644</v>
      </c>
      <c r="D14">
        <f t="shared" si="1"/>
        <v>-7.5503286431486585E-2</v>
      </c>
      <c r="E14">
        <f t="shared" si="4"/>
        <v>-0.15958374620161425</v>
      </c>
      <c r="F14">
        <f t="shared" si="5"/>
        <v>-0.15958374620161425</v>
      </c>
      <c r="G14">
        <f t="shared" si="6"/>
        <v>8.5771733386410896E-3</v>
      </c>
      <c r="H14">
        <f t="shared" si="7"/>
        <v>-7.5503286431486585E-2</v>
      </c>
      <c r="I14">
        <f t="shared" si="8"/>
        <v>-0.20162397608667512</v>
      </c>
      <c r="J14">
        <f t="shared" si="9"/>
        <v>0.1346978629938296</v>
      </c>
      <c r="K14">
        <f t="shared" si="10"/>
        <v>0.55510016184446198</v>
      </c>
      <c r="L14">
        <f t="shared" si="11"/>
        <v>0.21877832276395728</v>
      </c>
      <c r="M14">
        <f t="shared" si="12"/>
        <v>-0.11754351631654744</v>
      </c>
      <c r="N14">
        <f t="shared" ref="N14:N77" si="13">($B14-AVERAGE($B$2:$B$349))*($B3-AVERAGE($B$2:$B$349))</f>
        <v>1.2277438400054774</v>
      </c>
      <c r="O14">
        <f>($B14-AVERAGE($B$2:$B$349))*($B2-AVERAGE($B$2:$B$349))</f>
        <v>1.3959047595457268</v>
      </c>
      <c r="Q14">
        <f t="shared" si="2"/>
        <v>223.26514367816165</v>
      </c>
      <c r="R14">
        <f>SUM(N13:N360)</f>
        <v>24.502835001321017</v>
      </c>
      <c r="S14">
        <f t="shared" si="3"/>
        <v>0.10974769548730828</v>
      </c>
      <c r="T14">
        <v>11</v>
      </c>
      <c r="AE14" s="8">
        <v>8.3808998864443901E-2</v>
      </c>
      <c r="AF14">
        <v>-7.9059569343495201E-2</v>
      </c>
    </row>
    <row r="15" spans="1:32" x14ac:dyDescent="0.3">
      <c r="A15">
        <v>35096</v>
      </c>
      <c r="B15" s="7">
        <v>102.5</v>
      </c>
      <c r="C15">
        <f t="shared" si="0"/>
        <v>4.0820254492008976</v>
      </c>
      <c r="D15">
        <f t="shared" si="1"/>
        <v>0.84938177103990586</v>
      </c>
      <c r="E15">
        <f t="shared" si="4"/>
        <v>-0.36285960827048735</v>
      </c>
      <c r="F15">
        <f t="shared" si="5"/>
        <v>-0.76694006804061843</v>
      </c>
      <c r="G15">
        <f t="shared" si="6"/>
        <v>-0.76694006804061843</v>
      </c>
      <c r="H15">
        <f t="shared" si="7"/>
        <v>4.1220851499643725E-2</v>
      </c>
      <c r="I15">
        <f t="shared" si="8"/>
        <v>-0.36285960827048735</v>
      </c>
      <c r="J15">
        <f t="shared" si="9"/>
        <v>-0.96898029792566964</v>
      </c>
      <c r="K15">
        <f t="shared" si="10"/>
        <v>0.64734154115482601</v>
      </c>
      <c r="L15">
        <f t="shared" si="11"/>
        <v>2.6677438400054525</v>
      </c>
      <c r="M15">
        <f t="shared" si="12"/>
        <v>1.0514220009249571</v>
      </c>
      <c r="N15">
        <f t="shared" si="13"/>
        <v>-0.56489983815553857</v>
      </c>
      <c r="O15">
        <f t="shared" ref="O15:O78" si="14">($B15-AVERAGE($B$2:$B$349))*($B3-AVERAGE($B$2:$B$349))</f>
        <v>5.9003875181664727</v>
      </c>
      <c r="Q15">
        <f t="shared" si="2"/>
        <v>223.26514367816165</v>
      </c>
      <c r="R15">
        <f>SUM(O14:O349)</f>
        <v>73.806499207292646</v>
      </c>
      <c r="S15" s="9">
        <f t="shared" si="3"/>
        <v>0.33057779638762269</v>
      </c>
      <c r="T15" s="8">
        <v>12</v>
      </c>
      <c r="AF15" s="9">
        <v>0.31825892255474419</v>
      </c>
    </row>
    <row r="16" spans="1:32" x14ac:dyDescent="0.3">
      <c r="A16">
        <v>35125</v>
      </c>
      <c r="B16" s="7">
        <v>100.8</v>
      </c>
      <c r="C16">
        <f t="shared" si="0"/>
        <v>0.1026576331087645</v>
      </c>
      <c r="D16">
        <f t="shared" si="1"/>
        <v>0.64734154115482601</v>
      </c>
      <c r="E16">
        <f t="shared" si="4"/>
        <v>0.1346978629938296</v>
      </c>
      <c r="F16">
        <f t="shared" si="5"/>
        <v>-5.7543516316547444E-2</v>
      </c>
      <c r="G16">
        <f t="shared" si="6"/>
        <v>-0.12162397608667314</v>
      </c>
      <c r="H16">
        <f t="shared" si="7"/>
        <v>-0.12162397608667314</v>
      </c>
      <c r="I16">
        <f t="shared" si="8"/>
        <v>6.5369434535782426E-3</v>
      </c>
      <c r="J16">
        <f t="shared" si="9"/>
        <v>-5.7543516316547444E-2</v>
      </c>
      <c r="K16">
        <f t="shared" si="10"/>
        <v>-0.15366420597173369</v>
      </c>
      <c r="L16">
        <f t="shared" si="11"/>
        <v>0.1026576331087645</v>
      </c>
      <c r="M16">
        <f t="shared" si="12"/>
        <v>0.4230599319593884</v>
      </c>
      <c r="N16">
        <f t="shared" si="13"/>
        <v>0.16673809287889019</v>
      </c>
      <c r="O16">
        <f t="shared" si="14"/>
        <v>-8.9583746201608014E-2</v>
      </c>
    </row>
    <row r="17" spans="1:28" x14ac:dyDescent="0.3">
      <c r="A17">
        <v>35156</v>
      </c>
      <c r="B17" s="7">
        <v>100.1</v>
      </c>
      <c r="C17">
        <f t="shared" si="0"/>
        <v>0.14409441471789322</v>
      </c>
      <c r="D17">
        <f t="shared" si="1"/>
        <v>-0.12162397608667314</v>
      </c>
      <c r="E17">
        <f t="shared" si="4"/>
        <v>-0.76694006804061843</v>
      </c>
      <c r="F17">
        <f t="shared" si="5"/>
        <v>-0.15958374620161425</v>
      </c>
      <c r="G17">
        <f t="shared" si="6"/>
        <v>6.8174874488016346E-2</v>
      </c>
      <c r="H17">
        <f t="shared" si="7"/>
        <v>0.14409441471789322</v>
      </c>
      <c r="I17">
        <f t="shared" si="8"/>
        <v>0.14409441471789322</v>
      </c>
      <c r="J17">
        <f t="shared" si="9"/>
        <v>-7.7446657418605196E-3</v>
      </c>
      <c r="K17">
        <f t="shared" si="10"/>
        <v>6.8174874488016346E-2</v>
      </c>
      <c r="L17">
        <f t="shared" si="11"/>
        <v>0.18205418483282895</v>
      </c>
      <c r="M17">
        <f t="shared" si="12"/>
        <v>-0.12162397608667314</v>
      </c>
      <c r="N17">
        <f t="shared" si="13"/>
        <v>-0.50122167723605204</v>
      </c>
      <c r="O17">
        <f t="shared" si="14"/>
        <v>-0.19754351631655001</v>
      </c>
      <c r="Q17" t="s">
        <v>34</v>
      </c>
    </row>
    <row r="18" spans="1:28" x14ac:dyDescent="0.3">
      <c r="A18">
        <v>35186</v>
      </c>
      <c r="B18" s="7">
        <v>99.5</v>
      </c>
      <c r="C18">
        <f t="shared" si="0"/>
        <v>0.95961165609713683</v>
      </c>
      <c r="D18">
        <f t="shared" si="1"/>
        <v>0.37185303540751846</v>
      </c>
      <c r="E18">
        <f t="shared" si="4"/>
        <v>-0.31386535539704563</v>
      </c>
      <c r="F18">
        <f t="shared" si="5"/>
        <v>-1.979181447350983</v>
      </c>
      <c r="G18">
        <f t="shared" si="6"/>
        <v>-0.4118251255119913</v>
      </c>
      <c r="H18">
        <f t="shared" si="7"/>
        <v>0.17593349517764101</v>
      </c>
      <c r="I18">
        <f t="shared" si="8"/>
        <v>0.37185303540751846</v>
      </c>
      <c r="J18">
        <f t="shared" si="9"/>
        <v>0.37185303540751846</v>
      </c>
      <c r="K18">
        <f t="shared" si="10"/>
        <v>-1.9986045052236438E-2</v>
      </c>
      <c r="L18">
        <f t="shared" si="11"/>
        <v>0.17593349517764101</v>
      </c>
      <c r="M18">
        <f t="shared" si="12"/>
        <v>0.46981280552245019</v>
      </c>
      <c r="N18">
        <f t="shared" si="13"/>
        <v>-0.31386535539704563</v>
      </c>
      <c r="O18">
        <f t="shared" si="14"/>
        <v>-1.2934630565464189</v>
      </c>
      <c r="Q18">
        <v>1</v>
      </c>
      <c r="R18">
        <v>0.52988818052241082</v>
      </c>
      <c r="S18">
        <v>0.29977835856671303</v>
      </c>
      <c r="T18">
        <v>0.26055981101491898</v>
      </c>
      <c r="U18">
        <v>0.18095554104093395</v>
      </c>
      <c r="V18">
        <v>0.10868675830114684</v>
      </c>
      <c r="W18">
        <v>2.1048640585562418E-2</v>
      </c>
      <c r="X18">
        <v>2.6978206363664433E-2</v>
      </c>
      <c r="Y18">
        <v>4.7688404468131662E-2</v>
      </c>
      <c r="Z18">
        <v>6.2316328610155347E-2</v>
      </c>
      <c r="AA18">
        <v>6.2011875689547663E-2</v>
      </c>
      <c r="AB18">
        <v>0.10974769548730828</v>
      </c>
    </row>
    <row r="19" spans="1:28" x14ac:dyDescent="0.3">
      <c r="A19">
        <v>35217</v>
      </c>
      <c r="B19" s="7">
        <v>99.5</v>
      </c>
      <c r="C19">
        <f t="shared" si="0"/>
        <v>0.95961165609713683</v>
      </c>
      <c r="D19">
        <f t="shared" si="1"/>
        <v>0.95961165609713683</v>
      </c>
      <c r="E19">
        <f t="shared" si="4"/>
        <v>0.37185303540751846</v>
      </c>
      <c r="F19">
        <f t="shared" si="5"/>
        <v>-0.31386535539704563</v>
      </c>
      <c r="G19">
        <f t="shared" si="6"/>
        <v>-1.979181447350983</v>
      </c>
      <c r="H19">
        <f t="shared" si="7"/>
        <v>-0.4118251255119913</v>
      </c>
      <c r="I19">
        <f t="shared" si="8"/>
        <v>0.17593349517764101</v>
      </c>
      <c r="J19">
        <f t="shared" si="9"/>
        <v>0.37185303540751846</v>
      </c>
      <c r="K19">
        <f t="shared" si="10"/>
        <v>0.37185303540751846</v>
      </c>
      <c r="L19">
        <f t="shared" si="11"/>
        <v>-1.9986045052236438E-2</v>
      </c>
      <c r="M19">
        <f t="shared" si="12"/>
        <v>0.17593349517764101</v>
      </c>
      <c r="N19">
        <f t="shared" si="13"/>
        <v>0.46981280552245019</v>
      </c>
      <c r="O19">
        <f t="shared" si="14"/>
        <v>-0.31386535539704563</v>
      </c>
      <c r="Q19">
        <v>0.52988818052241082</v>
      </c>
      <c r="R19">
        <v>1</v>
      </c>
      <c r="S19">
        <v>0.52988818052241082</v>
      </c>
      <c r="T19">
        <v>0.29977835856671303</v>
      </c>
      <c r="U19">
        <v>0.26055981101491898</v>
      </c>
      <c r="V19">
        <v>0.18095554104093395</v>
      </c>
      <c r="W19">
        <v>0.10868675830114684</v>
      </c>
      <c r="X19">
        <v>2.1048640585562418E-2</v>
      </c>
      <c r="Y19">
        <v>2.6978206363664433E-2</v>
      </c>
      <c r="Z19">
        <v>4.7688404468131662E-2</v>
      </c>
      <c r="AA19">
        <v>6.2316328610155347E-2</v>
      </c>
      <c r="AB19">
        <v>6.2011875689547663E-2</v>
      </c>
    </row>
    <row r="20" spans="1:28" x14ac:dyDescent="0.3">
      <c r="A20">
        <v>35247</v>
      </c>
      <c r="B20" s="7">
        <v>99.3</v>
      </c>
      <c r="C20">
        <f t="shared" si="0"/>
        <v>1.3914507365568929</v>
      </c>
      <c r="D20">
        <f t="shared" si="1"/>
        <v>1.1555311963270143</v>
      </c>
      <c r="E20">
        <f t="shared" si="4"/>
        <v>1.1555311963270143</v>
      </c>
      <c r="F20">
        <f t="shared" si="5"/>
        <v>0.44777257563739531</v>
      </c>
      <c r="G20">
        <f t="shared" si="6"/>
        <v>-0.3779458151671713</v>
      </c>
      <c r="H20">
        <f t="shared" si="7"/>
        <v>-2.3832619071211143</v>
      </c>
      <c r="I20">
        <f t="shared" si="8"/>
        <v>-0.49590558528211898</v>
      </c>
      <c r="J20">
        <f t="shared" si="9"/>
        <v>0.21185303540751674</v>
      </c>
      <c r="K20">
        <f t="shared" si="10"/>
        <v>0.44777257563739531</v>
      </c>
      <c r="L20">
        <f t="shared" si="11"/>
        <v>0.44777257563739531</v>
      </c>
      <c r="M20">
        <f t="shared" si="12"/>
        <v>-2.4066504822361837E-2</v>
      </c>
      <c r="N20">
        <f t="shared" si="13"/>
        <v>0.21185303540751674</v>
      </c>
      <c r="O20">
        <f t="shared" si="14"/>
        <v>0.56573234575232623</v>
      </c>
      <c r="Q20">
        <v>0.29977835856671303</v>
      </c>
      <c r="R20">
        <v>0.52988818052241082</v>
      </c>
      <c r="S20">
        <v>1</v>
      </c>
      <c r="T20">
        <v>0.52988818052241082</v>
      </c>
      <c r="U20">
        <v>0.29977835856671303</v>
      </c>
      <c r="V20">
        <v>0.26055981101491898</v>
      </c>
      <c r="W20">
        <v>0.18095554104093395</v>
      </c>
      <c r="X20">
        <v>0.10868675830114684</v>
      </c>
      <c r="Y20">
        <v>2.1048640585562418E-2</v>
      </c>
      <c r="Z20">
        <v>2.6978206363664433E-2</v>
      </c>
      <c r="AA20">
        <v>4.7688404468131662E-2</v>
      </c>
      <c r="AB20">
        <v>6.2316328610155347E-2</v>
      </c>
    </row>
    <row r="21" spans="1:28" x14ac:dyDescent="0.3">
      <c r="A21">
        <v>35278</v>
      </c>
      <c r="B21" s="7">
        <v>99.6</v>
      </c>
      <c r="C21">
        <f t="shared" si="0"/>
        <v>0.77369211586727216</v>
      </c>
      <c r="D21">
        <f t="shared" si="1"/>
        <v>1.0375714262120834</v>
      </c>
      <c r="E21">
        <f t="shared" si="4"/>
        <v>0.8616518859822051</v>
      </c>
      <c r="F21">
        <f t="shared" si="5"/>
        <v>0.8616518859822051</v>
      </c>
      <c r="G21">
        <f t="shared" si="6"/>
        <v>0.33389326529258273</v>
      </c>
      <c r="H21">
        <f t="shared" si="7"/>
        <v>-0.28182512551198508</v>
      </c>
      <c r="I21">
        <f t="shared" si="8"/>
        <v>-1.7771412174659318</v>
      </c>
      <c r="J21">
        <f t="shared" si="9"/>
        <v>-0.36978489562693045</v>
      </c>
      <c r="K21">
        <f t="shared" si="10"/>
        <v>0.15797372506270441</v>
      </c>
      <c r="L21">
        <f t="shared" si="11"/>
        <v>0.33389326529258273</v>
      </c>
      <c r="M21">
        <f t="shared" si="12"/>
        <v>0.33389326529258273</v>
      </c>
      <c r="N21">
        <f t="shared" si="13"/>
        <v>-1.7945815167173879E-2</v>
      </c>
      <c r="O21">
        <f t="shared" si="14"/>
        <v>0.15797372506270441</v>
      </c>
      <c r="Q21">
        <v>0.26055981101491898</v>
      </c>
      <c r="R21">
        <v>0.29977835856671303</v>
      </c>
      <c r="S21">
        <v>0.52988818052241082</v>
      </c>
      <c r="T21">
        <v>1</v>
      </c>
      <c r="U21">
        <v>0.52988818052241082</v>
      </c>
      <c r="V21">
        <v>0.29977835856671303</v>
      </c>
      <c r="W21">
        <v>0.26055981101491898</v>
      </c>
      <c r="X21">
        <v>0.18095554104093395</v>
      </c>
      <c r="Y21">
        <v>0.10868675830114684</v>
      </c>
      <c r="Z21">
        <v>2.1048640585562418E-2</v>
      </c>
      <c r="AA21">
        <v>2.6978206363664433E-2</v>
      </c>
      <c r="AB21">
        <v>4.7688404468131662E-2</v>
      </c>
    </row>
    <row r="22" spans="1:28" x14ac:dyDescent="0.3">
      <c r="A22">
        <v>35309</v>
      </c>
      <c r="B22" s="7">
        <v>100.3</v>
      </c>
      <c r="C22">
        <f t="shared" si="0"/>
        <v>3.2255334258140617E-2</v>
      </c>
      <c r="D22">
        <f t="shared" si="1"/>
        <v>0.15797372506270441</v>
      </c>
      <c r="E22">
        <f t="shared" si="4"/>
        <v>0.21185303540751674</v>
      </c>
      <c r="F22">
        <f t="shared" si="5"/>
        <v>0.17593349517764101</v>
      </c>
      <c r="G22">
        <f t="shared" si="6"/>
        <v>0.17593349517764101</v>
      </c>
      <c r="H22">
        <f t="shared" si="7"/>
        <v>6.8174874488016346E-2</v>
      </c>
      <c r="I22">
        <f t="shared" si="8"/>
        <v>-5.7543516316547444E-2</v>
      </c>
      <c r="J22">
        <f t="shared" si="9"/>
        <v>-0.36285960827048735</v>
      </c>
      <c r="K22">
        <f t="shared" si="10"/>
        <v>-7.5503286431486585E-2</v>
      </c>
      <c r="L22">
        <f t="shared" si="11"/>
        <v>3.2255334258140617E-2</v>
      </c>
      <c r="M22">
        <f t="shared" si="12"/>
        <v>6.8174874488016346E-2</v>
      </c>
      <c r="N22">
        <f t="shared" si="13"/>
        <v>6.8174874488016346E-2</v>
      </c>
      <c r="O22">
        <f t="shared" si="14"/>
        <v>-3.664205971735118E-3</v>
      </c>
      <c r="Q22">
        <v>0.18095554104093395</v>
      </c>
      <c r="R22">
        <v>0.26055981101491898</v>
      </c>
      <c r="S22">
        <v>0.29977835856671303</v>
      </c>
      <c r="T22">
        <v>0.52988818052241082</v>
      </c>
      <c r="U22">
        <v>1</v>
      </c>
      <c r="V22">
        <v>0.52988818052241082</v>
      </c>
      <c r="W22">
        <v>0.29977835856671303</v>
      </c>
      <c r="X22">
        <v>0.26055981101491898</v>
      </c>
      <c r="Y22">
        <v>0.18095554104093395</v>
      </c>
      <c r="Z22">
        <v>0.10868675830114684</v>
      </c>
      <c r="AA22">
        <v>2.1048640585562418E-2</v>
      </c>
      <c r="AB22">
        <v>2.6978206363664433E-2</v>
      </c>
    </row>
    <row r="23" spans="1:28" x14ac:dyDescent="0.3">
      <c r="A23">
        <v>35339</v>
      </c>
      <c r="B23" s="7">
        <v>100.1</v>
      </c>
      <c r="C23">
        <f t="shared" si="0"/>
        <v>0.14409441471789322</v>
      </c>
      <c r="D23">
        <f t="shared" si="1"/>
        <v>6.8174874488016346E-2</v>
      </c>
      <c r="E23">
        <f t="shared" si="4"/>
        <v>0.33389326529258273</v>
      </c>
      <c r="F23">
        <f t="shared" si="5"/>
        <v>0.44777257563739531</v>
      </c>
      <c r="G23">
        <f t="shared" si="6"/>
        <v>0.37185303540751846</v>
      </c>
      <c r="H23">
        <f t="shared" si="7"/>
        <v>0.37185303540751846</v>
      </c>
      <c r="I23">
        <f t="shared" si="8"/>
        <v>0.14409441471789322</v>
      </c>
      <c r="J23">
        <f t="shared" si="9"/>
        <v>-0.12162397608667314</v>
      </c>
      <c r="K23">
        <f t="shared" si="10"/>
        <v>-0.76694006804061843</v>
      </c>
      <c r="L23">
        <f t="shared" si="11"/>
        <v>-0.15958374620161425</v>
      </c>
      <c r="M23">
        <f t="shared" si="12"/>
        <v>6.8174874488016346E-2</v>
      </c>
      <c r="N23">
        <f t="shared" si="13"/>
        <v>0.14409441471789322</v>
      </c>
      <c r="O23">
        <f t="shared" si="14"/>
        <v>0.14409441471789322</v>
      </c>
      <c r="Q23">
        <v>0.10868675830114684</v>
      </c>
      <c r="R23">
        <v>0.18095554104093395</v>
      </c>
      <c r="S23">
        <v>0.26055981101491898</v>
      </c>
      <c r="T23">
        <v>0.29977835856671303</v>
      </c>
      <c r="U23">
        <v>0.52988818052241082</v>
      </c>
      <c r="V23">
        <v>1</v>
      </c>
      <c r="W23">
        <v>0.52988818052241082</v>
      </c>
      <c r="X23">
        <v>0.29977835856671303</v>
      </c>
      <c r="Y23">
        <v>0.26055981101491898</v>
      </c>
      <c r="Z23">
        <v>0.18095554104093395</v>
      </c>
      <c r="AA23">
        <v>0.10868675830114684</v>
      </c>
      <c r="AB23">
        <v>2.1048640585562418E-2</v>
      </c>
    </row>
    <row r="24" spans="1:28" x14ac:dyDescent="0.3">
      <c r="A24">
        <v>35370</v>
      </c>
      <c r="B24" s="7">
        <v>100.9</v>
      </c>
      <c r="C24">
        <f t="shared" si="0"/>
        <v>0.17673809287889644</v>
      </c>
      <c r="D24">
        <f t="shared" si="1"/>
        <v>-0.15958374620161425</v>
      </c>
      <c r="E24">
        <f t="shared" si="4"/>
        <v>-7.5503286431486585E-2</v>
      </c>
      <c r="F24">
        <f t="shared" si="5"/>
        <v>-0.36978489562693045</v>
      </c>
      <c r="G24">
        <f t="shared" si="6"/>
        <v>-0.49590558528211898</v>
      </c>
      <c r="H24">
        <f t="shared" si="7"/>
        <v>-0.4118251255119913</v>
      </c>
      <c r="I24">
        <f t="shared" si="8"/>
        <v>-0.4118251255119913</v>
      </c>
      <c r="J24">
        <f t="shared" si="9"/>
        <v>-0.15958374620161425</v>
      </c>
      <c r="K24">
        <f t="shared" si="10"/>
        <v>0.1346978629938296</v>
      </c>
      <c r="L24">
        <f t="shared" si="11"/>
        <v>0.84938177103990586</v>
      </c>
      <c r="M24">
        <f t="shared" si="12"/>
        <v>0.17673809287889644</v>
      </c>
      <c r="N24">
        <f t="shared" si="13"/>
        <v>-7.5503286431486585E-2</v>
      </c>
      <c r="O24">
        <f t="shared" si="14"/>
        <v>-0.15958374620161425</v>
      </c>
      <c r="Q24">
        <v>2.1048640585562418E-2</v>
      </c>
      <c r="R24">
        <v>0.10868675830114684</v>
      </c>
      <c r="S24">
        <v>0.18095554104093395</v>
      </c>
      <c r="T24">
        <v>0.26055981101491898</v>
      </c>
      <c r="U24">
        <v>0.29977835856671303</v>
      </c>
      <c r="V24">
        <v>0.52988818052241082</v>
      </c>
      <c r="W24">
        <v>1</v>
      </c>
      <c r="X24">
        <v>0.52988818052241082</v>
      </c>
      <c r="Y24">
        <v>0.29977835856671303</v>
      </c>
      <c r="Z24">
        <v>0.26055981101491898</v>
      </c>
      <c r="AA24">
        <v>0.18095554104093395</v>
      </c>
      <c r="AB24">
        <v>0.10868675830114684</v>
      </c>
    </row>
    <row r="25" spans="1:28" x14ac:dyDescent="0.3">
      <c r="A25">
        <v>35400</v>
      </c>
      <c r="B25" s="7">
        <v>101</v>
      </c>
      <c r="C25">
        <f t="shared" si="0"/>
        <v>0.270818552649017</v>
      </c>
      <c r="D25">
        <f t="shared" si="1"/>
        <v>0.21877832276395728</v>
      </c>
      <c r="E25">
        <f t="shared" si="4"/>
        <v>-0.19754351631655001</v>
      </c>
      <c r="F25">
        <f t="shared" si="5"/>
        <v>-9.3463056546423173E-2</v>
      </c>
      <c r="G25">
        <f t="shared" si="6"/>
        <v>-0.45774466574186334</v>
      </c>
      <c r="H25">
        <f t="shared" si="7"/>
        <v>-0.61386535539704989</v>
      </c>
      <c r="I25">
        <f t="shared" si="8"/>
        <v>-0.50978489562692308</v>
      </c>
      <c r="J25">
        <f t="shared" si="9"/>
        <v>-0.50978489562692308</v>
      </c>
      <c r="K25">
        <f t="shared" si="10"/>
        <v>-0.19754351631655001</v>
      </c>
      <c r="L25">
        <f t="shared" si="11"/>
        <v>0.16673809287889019</v>
      </c>
      <c r="M25">
        <f t="shared" si="12"/>
        <v>1.0514220009249571</v>
      </c>
      <c r="N25">
        <f t="shared" si="13"/>
        <v>0.21877832276395728</v>
      </c>
      <c r="O25">
        <f t="shared" si="14"/>
        <v>-9.3463056546423173E-2</v>
      </c>
      <c r="Q25">
        <v>2.6978206363664433E-2</v>
      </c>
      <c r="R25">
        <v>2.1048640585562418E-2</v>
      </c>
      <c r="S25">
        <v>0.10868675830114684</v>
      </c>
      <c r="T25">
        <v>0.18095554104093395</v>
      </c>
      <c r="U25">
        <v>0.26055981101491898</v>
      </c>
      <c r="V25">
        <v>0.29977835856671303</v>
      </c>
      <c r="W25">
        <v>0.52988818052241082</v>
      </c>
      <c r="X25">
        <v>1</v>
      </c>
      <c r="Y25">
        <v>0.52988818052241082</v>
      </c>
      <c r="Z25">
        <v>0.29977835856671303</v>
      </c>
      <c r="AA25">
        <v>0.26055981101491898</v>
      </c>
      <c r="AB25">
        <v>0.18095554104093395</v>
      </c>
    </row>
    <row r="26" spans="1:28" x14ac:dyDescent="0.3">
      <c r="A26">
        <v>35431</v>
      </c>
      <c r="B26" s="7">
        <v>100.8</v>
      </c>
      <c r="C26">
        <f t="shared" si="0"/>
        <v>0.1026576331087645</v>
      </c>
      <c r="D26">
        <f t="shared" si="1"/>
        <v>0.16673809287889019</v>
      </c>
      <c r="E26">
        <f t="shared" si="4"/>
        <v>0.1346978629938296</v>
      </c>
      <c r="F26">
        <f t="shared" si="5"/>
        <v>-0.12162397608667314</v>
      </c>
      <c r="G26">
        <f t="shared" si="6"/>
        <v>-5.7543516316547444E-2</v>
      </c>
      <c r="H26">
        <f t="shared" si="7"/>
        <v>-0.28182512551198508</v>
      </c>
      <c r="I26">
        <f t="shared" si="8"/>
        <v>-0.3779458151671713</v>
      </c>
      <c r="J26">
        <f t="shared" si="9"/>
        <v>-0.31386535539704563</v>
      </c>
      <c r="K26">
        <f t="shared" si="10"/>
        <v>-0.31386535539704563</v>
      </c>
      <c r="L26">
        <f t="shared" si="11"/>
        <v>-0.12162397608667314</v>
      </c>
      <c r="M26">
        <f t="shared" si="12"/>
        <v>0.1026576331087645</v>
      </c>
      <c r="N26">
        <f t="shared" si="13"/>
        <v>0.64734154115482601</v>
      </c>
      <c r="O26">
        <f t="shared" si="14"/>
        <v>0.1346978629938296</v>
      </c>
      <c r="Q26">
        <v>4.7688404468131662E-2</v>
      </c>
      <c r="R26">
        <v>2.6978206363664433E-2</v>
      </c>
      <c r="S26">
        <v>2.1048640585562418E-2</v>
      </c>
      <c r="T26">
        <v>0.10868675830114684</v>
      </c>
      <c r="U26">
        <v>0.18095554104093395</v>
      </c>
      <c r="V26">
        <v>0.26055981101491898</v>
      </c>
      <c r="W26">
        <v>0.29977835856671303</v>
      </c>
      <c r="X26">
        <v>0.52988818052241082</v>
      </c>
      <c r="Y26">
        <v>1</v>
      </c>
      <c r="Z26">
        <v>0.52988818052241082</v>
      </c>
      <c r="AA26">
        <v>0.29977835856671303</v>
      </c>
      <c r="AB26">
        <v>0.26055981101491898</v>
      </c>
    </row>
    <row r="27" spans="1:28" x14ac:dyDescent="0.3">
      <c r="A27">
        <v>35462</v>
      </c>
      <c r="B27" s="7">
        <v>101.8</v>
      </c>
      <c r="C27">
        <f t="shared" si="0"/>
        <v>1.7434622308100123</v>
      </c>
      <c r="D27">
        <f t="shared" si="1"/>
        <v>0.4230599319593884</v>
      </c>
      <c r="E27">
        <f t="shared" si="4"/>
        <v>0.68714039172951691</v>
      </c>
      <c r="F27">
        <f t="shared" si="5"/>
        <v>0.55510016184446198</v>
      </c>
      <c r="G27">
        <f t="shared" si="6"/>
        <v>-0.50122167723605204</v>
      </c>
      <c r="H27">
        <f t="shared" si="7"/>
        <v>-0.23714121746592356</v>
      </c>
      <c r="I27">
        <f t="shared" si="8"/>
        <v>-1.161422826661364</v>
      </c>
      <c r="J27">
        <f t="shared" si="9"/>
        <v>-1.5575435163165474</v>
      </c>
      <c r="K27">
        <f t="shared" si="10"/>
        <v>-1.2934630565464189</v>
      </c>
      <c r="L27">
        <f t="shared" si="11"/>
        <v>-1.2934630565464189</v>
      </c>
      <c r="M27">
        <f t="shared" si="12"/>
        <v>-0.50122167723605204</v>
      </c>
      <c r="N27">
        <f t="shared" si="13"/>
        <v>0.4230599319593884</v>
      </c>
      <c r="O27">
        <f t="shared" si="14"/>
        <v>2.6677438400054525</v>
      </c>
      <c r="Q27">
        <v>6.2316328610155347E-2</v>
      </c>
      <c r="R27">
        <v>4.7688404468131662E-2</v>
      </c>
      <c r="S27">
        <v>2.6978206363664433E-2</v>
      </c>
      <c r="T27">
        <v>2.1048640585562418E-2</v>
      </c>
      <c r="U27">
        <v>0.10868675830114684</v>
      </c>
      <c r="V27">
        <v>0.18095554104093395</v>
      </c>
      <c r="W27">
        <v>0.26055981101491898</v>
      </c>
      <c r="X27">
        <v>0.29977835856671303</v>
      </c>
      <c r="Y27">
        <v>0.52988818052241082</v>
      </c>
      <c r="Z27">
        <v>1</v>
      </c>
      <c r="AA27">
        <v>0.52988818052241082</v>
      </c>
      <c r="AB27">
        <v>0.29977835856671303</v>
      </c>
    </row>
    <row r="28" spans="1:28" x14ac:dyDescent="0.3">
      <c r="A28">
        <v>35490</v>
      </c>
      <c r="B28" s="7">
        <v>99.5</v>
      </c>
      <c r="C28">
        <f t="shared" si="0"/>
        <v>0.95961165609713683</v>
      </c>
      <c r="D28">
        <f t="shared" si="1"/>
        <v>-1.2934630565464189</v>
      </c>
      <c r="E28">
        <f t="shared" si="4"/>
        <v>-0.31386535539704563</v>
      </c>
      <c r="F28">
        <f t="shared" si="5"/>
        <v>-0.50978489562692308</v>
      </c>
      <c r="G28">
        <f t="shared" si="6"/>
        <v>-0.4118251255119913</v>
      </c>
      <c r="H28">
        <f t="shared" si="7"/>
        <v>0.37185303540751846</v>
      </c>
      <c r="I28">
        <f t="shared" si="8"/>
        <v>0.17593349517764101</v>
      </c>
      <c r="J28">
        <f t="shared" si="9"/>
        <v>0.8616518859822051</v>
      </c>
      <c r="K28">
        <f t="shared" si="10"/>
        <v>1.1555311963270143</v>
      </c>
      <c r="L28">
        <f t="shared" si="11"/>
        <v>0.95961165609713683</v>
      </c>
      <c r="M28">
        <f t="shared" si="12"/>
        <v>0.95961165609713683</v>
      </c>
      <c r="N28">
        <f t="shared" si="13"/>
        <v>0.37185303540751846</v>
      </c>
      <c r="O28">
        <f t="shared" si="14"/>
        <v>-0.31386535539704563</v>
      </c>
      <c r="Q28">
        <v>6.2011875689547663E-2</v>
      </c>
      <c r="R28">
        <v>6.2316328610155347E-2</v>
      </c>
      <c r="S28">
        <v>4.7688404468131662E-2</v>
      </c>
      <c r="T28">
        <v>2.6978206363664433E-2</v>
      </c>
      <c r="U28">
        <v>2.1048640585562418E-2</v>
      </c>
      <c r="V28">
        <v>0.10868675830114684</v>
      </c>
      <c r="W28">
        <v>0.18095554104093395</v>
      </c>
      <c r="X28">
        <v>0.26055981101491898</v>
      </c>
      <c r="Y28">
        <v>0.29977835856671303</v>
      </c>
      <c r="Z28">
        <v>0.52988818052241082</v>
      </c>
      <c r="AA28">
        <v>1</v>
      </c>
      <c r="AB28">
        <v>0.52988818052241082</v>
      </c>
    </row>
    <row r="29" spans="1:28" x14ac:dyDescent="0.3">
      <c r="A29">
        <v>35521</v>
      </c>
      <c r="B29" s="7">
        <v>99.4</v>
      </c>
      <c r="C29">
        <f t="shared" si="0"/>
        <v>1.1655311963269992</v>
      </c>
      <c r="D29">
        <f t="shared" si="1"/>
        <v>1.0575714262120686</v>
      </c>
      <c r="E29">
        <f t="shared" si="4"/>
        <v>-1.4255032864314738</v>
      </c>
      <c r="F29">
        <f t="shared" si="5"/>
        <v>-0.34590558528210619</v>
      </c>
      <c r="G29">
        <f t="shared" si="6"/>
        <v>-0.56182512551198283</v>
      </c>
      <c r="H29">
        <f t="shared" si="7"/>
        <v>-0.45386535539705219</v>
      </c>
      <c r="I29">
        <f t="shared" si="8"/>
        <v>0.40981280552245419</v>
      </c>
      <c r="J29">
        <f t="shared" si="9"/>
        <v>0.19389326529257758</v>
      </c>
      <c r="K29">
        <f t="shared" si="10"/>
        <v>0.94961165609713794</v>
      </c>
      <c r="L29">
        <f t="shared" si="11"/>
        <v>1.2734909664419451</v>
      </c>
      <c r="M29">
        <f t="shared" si="12"/>
        <v>1.0575714262120686</v>
      </c>
      <c r="N29">
        <f t="shared" si="13"/>
        <v>1.0575714262120686</v>
      </c>
      <c r="O29">
        <f t="shared" si="14"/>
        <v>0.40981280552245419</v>
      </c>
      <c r="Q29">
        <v>0.10974769548730828</v>
      </c>
      <c r="R29">
        <v>6.2011875689547663E-2</v>
      </c>
      <c r="S29">
        <v>6.2316328610155347E-2</v>
      </c>
      <c r="T29">
        <v>4.7688404468131662E-2</v>
      </c>
      <c r="U29">
        <v>2.6978206363664433E-2</v>
      </c>
      <c r="V29">
        <v>2.1048640585562418E-2</v>
      </c>
      <c r="W29">
        <v>0.10868675830114684</v>
      </c>
      <c r="X29">
        <v>0.18095554104093395</v>
      </c>
      <c r="Y29">
        <v>0.26055981101491898</v>
      </c>
      <c r="Z29">
        <v>0.29977835856671303</v>
      </c>
      <c r="AA29">
        <v>0.52988818052241082</v>
      </c>
      <c r="AB29">
        <v>1</v>
      </c>
    </row>
    <row r="30" spans="1:28" x14ac:dyDescent="0.3">
      <c r="A30">
        <v>35551</v>
      </c>
      <c r="B30" s="7">
        <v>99.5</v>
      </c>
      <c r="C30">
        <f t="shared" si="0"/>
        <v>0.95961165609713683</v>
      </c>
      <c r="D30">
        <f t="shared" si="1"/>
        <v>1.0575714262120686</v>
      </c>
      <c r="E30">
        <f t="shared" si="4"/>
        <v>0.95961165609713683</v>
      </c>
      <c r="F30">
        <f t="shared" si="5"/>
        <v>-1.2934630565464189</v>
      </c>
      <c r="G30">
        <f t="shared" si="6"/>
        <v>-0.31386535539704563</v>
      </c>
      <c r="H30">
        <f t="shared" si="7"/>
        <v>-0.50978489562692308</v>
      </c>
      <c r="I30">
        <f t="shared" si="8"/>
        <v>-0.4118251255119913</v>
      </c>
      <c r="J30">
        <f t="shared" si="9"/>
        <v>0.37185303540751846</v>
      </c>
      <c r="K30">
        <f t="shared" si="10"/>
        <v>0.17593349517764101</v>
      </c>
      <c r="L30">
        <f t="shared" si="11"/>
        <v>0.8616518859822051</v>
      </c>
      <c r="M30">
        <f t="shared" si="12"/>
        <v>1.1555311963270143</v>
      </c>
      <c r="N30">
        <f t="shared" si="13"/>
        <v>0.95961165609713683</v>
      </c>
      <c r="O30">
        <f t="shared" si="14"/>
        <v>0.95961165609713683</v>
      </c>
    </row>
    <row r="31" spans="1:28" x14ac:dyDescent="0.3">
      <c r="A31">
        <v>35582</v>
      </c>
      <c r="B31" s="7">
        <v>100.1</v>
      </c>
      <c r="C31">
        <f t="shared" si="0"/>
        <v>0.14409441471789322</v>
      </c>
      <c r="D31">
        <f t="shared" si="1"/>
        <v>0.37185303540751846</v>
      </c>
      <c r="E31">
        <f t="shared" si="4"/>
        <v>0.40981280552245419</v>
      </c>
      <c r="F31">
        <f t="shared" si="5"/>
        <v>0.37185303540751846</v>
      </c>
      <c r="G31">
        <f t="shared" si="6"/>
        <v>-0.50122167723605204</v>
      </c>
      <c r="H31">
        <f t="shared" si="7"/>
        <v>-0.12162397608667314</v>
      </c>
      <c r="I31">
        <f t="shared" si="8"/>
        <v>-0.19754351631655001</v>
      </c>
      <c r="J31">
        <f t="shared" si="9"/>
        <v>-0.15958374620161425</v>
      </c>
      <c r="K31">
        <f t="shared" si="10"/>
        <v>0.14409441471789322</v>
      </c>
      <c r="L31">
        <f t="shared" si="11"/>
        <v>6.8174874488016346E-2</v>
      </c>
      <c r="M31">
        <f t="shared" si="12"/>
        <v>0.33389326529258273</v>
      </c>
      <c r="N31">
        <f t="shared" si="13"/>
        <v>0.44777257563739531</v>
      </c>
      <c r="O31">
        <f t="shared" si="14"/>
        <v>0.37185303540751846</v>
      </c>
    </row>
    <row r="32" spans="1:28" x14ac:dyDescent="0.3">
      <c r="A32">
        <v>35612</v>
      </c>
      <c r="B32" s="7">
        <v>100.2</v>
      </c>
      <c r="C32">
        <f t="shared" si="0"/>
        <v>7.8174874488012663E-2</v>
      </c>
      <c r="D32">
        <f t="shared" si="1"/>
        <v>0.10613464460295209</v>
      </c>
      <c r="E32">
        <f t="shared" si="4"/>
        <v>0.27389326529257274</v>
      </c>
      <c r="F32">
        <f t="shared" si="5"/>
        <v>0.30185303540750824</v>
      </c>
      <c r="G32">
        <f t="shared" si="6"/>
        <v>0.27389326529257274</v>
      </c>
      <c r="H32">
        <f t="shared" si="7"/>
        <v>-0.36918144735097846</v>
      </c>
      <c r="I32">
        <f t="shared" si="8"/>
        <v>-8.9583746201608014E-2</v>
      </c>
      <c r="J32">
        <f t="shared" si="9"/>
        <v>-0.14550328643148289</v>
      </c>
      <c r="K32">
        <f t="shared" si="10"/>
        <v>-0.11754351631654744</v>
      </c>
      <c r="L32">
        <f t="shared" si="11"/>
        <v>0.10613464460295209</v>
      </c>
      <c r="M32">
        <f t="shared" si="12"/>
        <v>5.0215104373077211E-2</v>
      </c>
      <c r="N32">
        <f t="shared" si="13"/>
        <v>0.2459334951776373</v>
      </c>
      <c r="O32">
        <f t="shared" si="14"/>
        <v>0.32981280552244763</v>
      </c>
    </row>
    <row r="33" spans="1:15" x14ac:dyDescent="0.3">
      <c r="A33">
        <v>35643</v>
      </c>
      <c r="B33" s="7">
        <v>100.1</v>
      </c>
      <c r="C33">
        <f t="shared" si="0"/>
        <v>0.14409441471789322</v>
      </c>
      <c r="D33">
        <f t="shared" si="1"/>
        <v>0.10613464460295209</v>
      </c>
      <c r="E33">
        <f t="shared" si="4"/>
        <v>0.14409441471789322</v>
      </c>
      <c r="F33">
        <f t="shared" si="5"/>
        <v>0.37185303540751846</v>
      </c>
      <c r="G33">
        <f t="shared" si="6"/>
        <v>0.40981280552245419</v>
      </c>
      <c r="H33">
        <f t="shared" si="7"/>
        <v>0.37185303540751846</v>
      </c>
      <c r="I33">
        <f t="shared" si="8"/>
        <v>-0.50122167723605204</v>
      </c>
      <c r="J33">
        <f t="shared" si="9"/>
        <v>-0.12162397608667314</v>
      </c>
      <c r="K33">
        <f t="shared" si="10"/>
        <v>-0.19754351631655001</v>
      </c>
      <c r="L33">
        <f t="shared" si="11"/>
        <v>-0.15958374620161425</v>
      </c>
      <c r="M33">
        <f t="shared" si="12"/>
        <v>0.14409441471789322</v>
      </c>
      <c r="N33">
        <f t="shared" si="13"/>
        <v>6.8174874488016346E-2</v>
      </c>
      <c r="O33">
        <f t="shared" si="14"/>
        <v>0.33389326529258273</v>
      </c>
    </row>
    <row r="34" spans="1:15" x14ac:dyDescent="0.3">
      <c r="A34">
        <v>35674</v>
      </c>
      <c r="B34" s="7">
        <v>100.6</v>
      </c>
      <c r="C34">
        <f t="shared" si="0"/>
        <v>1.449671356851426E-2</v>
      </c>
      <c r="D34">
        <f t="shared" si="1"/>
        <v>-4.5704435856796261E-2</v>
      </c>
      <c r="E34">
        <f t="shared" si="4"/>
        <v>-3.3664205971733127E-2</v>
      </c>
      <c r="F34">
        <f t="shared" si="5"/>
        <v>-4.5704435856796261E-2</v>
      </c>
      <c r="G34">
        <f t="shared" si="6"/>
        <v>-0.11794581516716819</v>
      </c>
      <c r="H34">
        <f t="shared" si="7"/>
        <v>-0.1299860450522296</v>
      </c>
      <c r="I34">
        <f t="shared" si="8"/>
        <v>-0.11794581516716819</v>
      </c>
      <c r="J34">
        <f t="shared" si="9"/>
        <v>0.15897947218925984</v>
      </c>
      <c r="K34">
        <f t="shared" si="10"/>
        <v>3.8577173338638811E-2</v>
      </c>
      <c r="L34">
        <f t="shared" si="11"/>
        <v>6.2657633108763364E-2</v>
      </c>
      <c r="M34">
        <f t="shared" si="12"/>
        <v>5.0617403223701937E-2</v>
      </c>
      <c r="N34">
        <f t="shared" si="13"/>
        <v>-4.5704435856796261E-2</v>
      </c>
      <c r="O34">
        <f t="shared" si="14"/>
        <v>-2.1623976086671708E-2</v>
      </c>
    </row>
    <row r="35" spans="1:15" x14ac:dyDescent="0.3">
      <c r="A35">
        <v>35704</v>
      </c>
      <c r="B35" s="7">
        <v>100.3</v>
      </c>
      <c r="C35">
        <f t="shared" si="0"/>
        <v>3.2255334258140617E-2</v>
      </c>
      <c r="D35">
        <f t="shared" si="1"/>
        <v>-2.1623976086671708E-2</v>
      </c>
      <c r="E35">
        <f t="shared" si="4"/>
        <v>6.8174874488016346E-2</v>
      </c>
      <c r="F35">
        <f t="shared" si="5"/>
        <v>5.0215104373077211E-2</v>
      </c>
      <c r="G35">
        <f t="shared" si="6"/>
        <v>6.8174874488016346E-2</v>
      </c>
      <c r="H35">
        <f t="shared" si="7"/>
        <v>0.17593349517764101</v>
      </c>
      <c r="I35">
        <f t="shared" si="8"/>
        <v>0.19389326529257758</v>
      </c>
      <c r="J35">
        <f t="shared" si="9"/>
        <v>0.17593349517764101</v>
      </c>
      <c r="K35">
        <f t="shared" si="10"/>
        <v>-0.23714121746592356</v>
      </c>
      <c r="L35">
        <f t="shared" si="11"/>
        <v>-5.7543516316547444E-2</v>
      </c>
      <c r="M35">
        <f t="shared" si="12"/>
        <v>-9.3463056546423173E-2</v>
      </c>
      <c r="N35">
        <f t="shared" si="13"/>
        <v>-7.5503286431486585E-2</v>
      </c>
      <c r="O35">
        <f t="shared" si="14"/>
        <v>6.8174874488016346E-2</v>
      </c>
    </row>
    <row r="36" spans="1:15" x14ac:dyDescent="0.3">
      <c r="A36">
        <v>35735</v>
      </c>
      <c r="B36" s="7">
        <v>100.3</v>
      </c>
      <c r="C36">
        <f t="shared" si="0"/>
        <v>3.2255334258140617E-2</v>
      </c>
      <c r="D36">
        <f t="shared" si="1"/>
        <v>3.2255334258140617E-2</v>
      </c>
      <c r="E36">
        <f t="shared" si="4"/>
        <v>-2.1623976086671708E-2</v>
      </c>
      <c r="F36">
        <f t="shared" si="5"/>
        <v>6.8174874488016346E-2</v>
      </c>
      <c r="G36">
        <f t="shared" si="6"/>
        <v>5.0215104373077211E-2</v>
      </c>
      <c r="H36">
        <f t="shared" si="7"/>
        <v>6.8174874488016346E-2</v>
      </c>
      <c r="I36">
        <f t="shared" si="8"/>
        <v>0.17593349517764101</v>
      </c>
      <c r="J36">
        <f t="shared" si="9"/>
        <v>0.19389326529257758</v>
      </c>
      <c r="K36">
        <f t="shared" si="10"/>
        <v>0.17593349517764101</v>
      </c>
      <c r="L36">
        <f t="shared" si="11"/>
        <v>-0.23714121746592356</v>
      </c>
      <c r="M36">
        <f t="shared" si="12"/>
        <v>-5.7543516316547444E-2</v>
      </c>
      <c r="N36">
        <f t="shared" si="13"/>
        <v>-9.3463056546423173E-2</v>
      </c>
      <c r="O36">
        <f t="shared" si="14"/>
        <v>-7.5503286431486585E-2</v>
      </c>
    </row>
    <row r="37" spans="1:15" x14ac:dyDescent="0.3">
      <c r="A37">
        <v>35765</v>
      </c>
      <c r="B37" s="7">
        <v>101</v>
      </c>
      <c r="C37">
        <f t="shared" si="0"/>
        <v>0.270818552649017</v>
      </c>
      <c r="D37">
        <f t="shared" si="1"/>
        <v>-9.3463056546423173E-2</v>
      </c>
      <c r="E37">
        <f t="shared" si="4"/>
        <v>-9.3463056546423173E-2</v>
      </c>
      <c r="F37">
        <f t="shared" si="5"/>
        <v>6.2657633108763364E-2</v>
      </c>
      <c r="G37">
        <f t="shared" si="6"/>
        <v>-0.19754351631655001</v>
      </c>
      <c r="H37">
        <f t="shared" si="7"/>
        <v>-0.14550328643148289</v>
      </c>
      <c r="I37">
        <f t="shared" si="8"/>
        <v>-0.19754351631655001</v>
      </c>
      <c r="J37">
        <f t="shared" si="9"/>
        <v>-0.50978489562692308</v>
      </c>
      <c r="K37">
        <f t="shared" si="10"/>
        <v>-0.56182512551198283</v>
      </c>
      <c r="L37">
        <f t="shared" si="11"/>
        <v>-0.50978489562692308</v>
      </c>
      <c r="M37">
        <f t="shared" si="12"/>
        <v>0.68714039172951691</v>
      </c>
      <c r="N37">
        <f t="shared" si="13"/>
        <v>0.16673809287889019</v>
      </c>
      <c r="O37">
        <f t="shared" si="14"/>
        <v>0.270818552649017</v>
      </c>
    </row>
    <row r="38" spans="1:15" x14ac:dyDescent="0.3">
      <c r="A38">
        <v>35796</v>
      </c>
      <c r="B38" s="7">
        <v>101.6</v>
      </c>
      <c r="C38">
        <f t="shared" si="0"/>
        <v>1.2553013112697564</v>
      </c>
      <c r="D38">
        <f t="shared" si="1"/>
        <v>0.5830599319593901</v>
      </c>
      <c r="E38">
        <f t="shared" si="4"/>
        <v>-0.20122167723604784</v>
      </c>
      <c r="F38">
        <f t="shared" si="5"/>
        <v>-0.20122167723604784</v>
      </c>
      <c r="G38">
        <f t="shared" si="6"/>
        <v>0.13489901241913529</v>
      </c>
      <c r="H38">
        <f t="shared" si="7"/>
        <v>-0.4253021370061752</v>
      </c>
      <c r="I38">
        <f t="shared" si="8"/>
        <v>-0.31326190712110358</v>
      </c>
      <c r="J38">
        <f t="shared" si="9"/>
        <v>-0.4253021370061752</v>
      </c>
      <c r="K38">
        <f t="shared" si="10"/>
        <v>-1.0975435163165415</v>
      </c>
      <c r="L38">
        <f t="shared" si="11"/>
        <v>-1.2095837462015973</v>
      </c>
      <c r="M38">
        <f t="shared" si="12"/>
        <v>-1.0975435163165415</v>
      </c>
      <c r="N38">
        <f t="shared" si="13"/>
        <v>1.4793817710398838</v>
      </c>
      <c r="O38">
        <f t="shared" si="14"/>
        <v>0.35897947218926268</v>
      </c>
    </row>
    <row r="39" spans="1:15" x14ac:dyDescent="0.3">
      <c r="A39">
        <v>35827</v>
      </c>
      <c r="B39" s="7">
        <v>102.2</v>
      </c>
      <c r="C39">
        <f t="shared" si="0"/>
        <v>2.9597840698905311</v>
      </c>
      <c r="D39">
        <f t="shared" si="1"/>
        <v>1.9275426905801385</v>
      </c>
      <c r="E39">
        <f t="shared" si="4"/>
        <v>0.89530131126977053</v>
      </c>
      <c r="F39">
        <f t="shared" si="5"/>
        <v>-0.30898029792567505</v>
      </c>
      <c r="G39">
        <f t="shared" si="6"/>
        <v>-0.30898029792567505</v>
      </c>
      <c r="H39">
        <f t="shared" si="7"/>
        <v>0.20714039172950893</v>
      </c>
      <c r="I39">
        <f t="shared" si="8"/>
        <v>-0.65306075769580585</v>
      </c>
      <c r="J39">
        <f t="shared" si="9"/>
        <v>-0.48102052781072824</v>
      </c>
      <c r="K39">
        <f t="shared" si="10"/>
        <v>-0.65306075769580585</v>
      </c>
      <c r="L39">
        <f t="shared" si="11"/>
        <v>-1.6853021370061738</v>
      </c>
      <c r="M39">
        <f t="shared" si="12"/>
        <v>-1.857342366891227</v>
      </c>
      <c r="N39">
        <f t="shared" si="13"/>
        <v>-1.6853021370061738</v>
      </c>
      <c r="O39">
        <f t="shared" si="14"/>
        <v>2.2716231503502695</v>
      </c>
    </row>
    <row r="40" spans="1:15" x14ac:dyDescent="0.3">
      <c r="A40">
        <v>35855</v>
      </c>
      <c r="B40" s="7">
        <v>99.2</v>
      </c>
      <c r="C40">
        <f t="shared" si="0"/>
        <v>1.6373702767867535</v>
      </c>
      <c r="D40">
        <f t="shared" si="1"/>
        <v>-2.2014228266613576</v>
      </c>
      <c r="E40">
        <f t="shared" si="4"/>
        <v>-1.4336642059717246</v>
      </c>
      <c r="F40">
        <f t="shared" si="5"/>
        <v>-0.66590558528210964</v>
      </c>
      <c r="G40">
        <f t="shared" si="6"/>
        <v>0.22981280552245334</v>
      </c>
      <c r="H40">
        <f t="shared" si="7"/>
        <v>0.22981280552245334</v>
      </c>
      <c r="I40">
        <f t="shared" si="8"/>
        <v>-0.15406650482235418</v>
      </c>
      <c r="J40">
        <f t="shared" si="9"/>
        <v>0.48573234575233104</v>
      </c>
      <c r="K40">
        <f t="shared" si="10"/>
        <v>0.35777257563738307</v>
      </c>
      <c r="L40">
        <f t="shared" si="11"/>
        <v>0.48573234575233104</v>
      </c>
      <c r="M40">
        <f t="shared" si="12"/>
        <v>1.253490966441946</v>
      </c>
      <c r="N40">
        <f t="shared" si="13"/>
        <v>1.3814507365568758</v>
      </c>
      <c r="O40">
        <f t="shared" si="14"/>
        <v>1.253490966441946</v>
      </c>
    </row>
    <row r="41" spans="1:15" x14ac:dyDescent="0.3">
      <c r="A41">
        <v>35886</v>
      </c>
      <c r="B41" s="7">
        <v>101.6</v>
      </c>
      <c r="C41">
        <f t="shared" si="0"/>
        <v>1.2553013112697564</v>
      </c>
      <c r="D41">
        <f t="shared" si="1"/>
        <v>-1.4336642059717246</v>
      </c>
      <c r="E41">
        <f t="shared" si="4"/>
        <v>1.9275426905801385</v>
      </c>
      <c r="F41">
        <f t="shared" si="5"/>
        <v>1.2553013112697564</v>
      </c>
      <c r="G41">
        <f t="shared" si="6"/>
        <v>0.5830599319593901</v>
      </c>
      <c r="H41">
        <f t="shared" si="7"/>
        <v>-0.20122167723604784</v>
      </c>
      <c r="I41">
        <f t="shared" si="8"/>
        <v>-0.20122167723604784</v>
      </c>
      <c r="J41">
        <f t="shared" si="9"/>
        <v>0.13489901241913529</v>
      </c>
      <c r="K41">
        <f t="shared" si="10"/>
        <v>-0.4253021370061752</v>
      </c>
      <c r="L41">
        <f t="shared" si="11"/>
        <v>-0.31326190712110358</v>
      </c>
      <c r="M41">
        <f t="shared" si="12"/>
        <v>-0.4253021370061752</v>
      </c>
      <c r="N41">
        <f t="shared" si="13"/>
        <v>-1.0975435163165415</v>
      </c>
      <c r="O41">
        <f t="shared" si="14"/>
        <v>-1.2095837462015973</v>
      </c>
    </row>
    <row r="42" spans="1:15" x14ac:dyDescent="0.3">
      <c r="A42">
        <v>35916</v>
      </c>
      <c r="B42" s="7">
        <v>101.4</v>
      </c>
      <c r="C42">
        <f t="shared" si="0"/>
        <v>0.84714039172952882</v>
      </c>
      <c r="D42">
        <f t="shared" si="1"/>
        <v>1.0312208514996448</v>
      </c>
      <c r="E42">
        <f t="shared" si="4"/>
        <v>-1.1777446657418651</v>
      </c>
      <c r="F42">
        <f t="shared" si="5"/>
        <v>1.5834622308100321</v>
      </c>
      <c r="G42">
        <f t="shared" si="6"/>
        <v>1.0312208514996448</v>
      </c>
      <c r="H42">
        <f t="shared" si="7"/>
        <v>0.47897947218927067</v>
      </c>
      <c r="I42">
        <f t="shared" si="8"/>
        <v>-0.16530213700617466</v>
      </c>
      <c r="J42">
        <f t="shared" si="9"/>
        <v>-0.16530213700617466</v>
      </c>
      <c r="K42">
        <f t="shared" si="10"/>
        <v>0.11081855264901246</v>
      </c>
      <c r="L42">
        <f t="shared" si="11"/>
        <v>-0.34938259677630373</v>
      </c>
      <c r="M42">
        <f t="shared" si="12"/>
        <v>-0.25734236689123263</v>
      </c>
      <c r="N42">
        <f t="shared" si="13"/>
        <v>-0.34938259677630373</v>
      </c>
      <c r="O42">
        <f t="shared" si="14"/>
        <v>-0.90162397608667799</v>
      </c>
    </row>
    <row r="43" spans="1:15" x14ac:dyDescent="0.3">
      <c r="A43">
        <v>35947</v>
      </c>
      <c r="B43" s="7">
        <v>100</v>
      </c>
      <c r="C43">
        <f t="shared" si="0"/>
        <v>0.23001395494776355</v>
      </c>
      <c r="D43">
        <f t="shared" si="1"/>
        <v>-0.44142282666136173</v>
      </c>
      <c r="E43">
        <f t="shared" si="4"/>
        <v>-0.53734236689123094</v>
      </c>
      <c r="F43">
        <f t="shared" si="5"/>
        <v>0.6136921158672608</v>
      </c>
      <c r="G43">
        <f t="shared" si="6"/>
        <v>-0.82510098758085904</v>
      </c>
      <c r="H43">
        <f t="shared" si="7"/>
        <v>-0.53734236689123094</v>
      </c>
      <c r="I43">
        <f t="shared" si="8"/>
        <v>-0.24958374620160972</v>
      </c>
      <c r="J43">
        <f t="shared" si="9"/>
        <v>8.6134644602952948E-2</v>
      </c>
      <c r="K43">
        <f t="shared" si="10"/>
        <v>8.6134644602952948E-2</v>
      </c>
      <c r="L43">
        <f t="shared" si="11"/>
        <v>-5.774466574185768E-2</v>
      </c>
      <c r="M43">
        <f t="shared" si="12"/>
        <v>0.18205418483282895</v>
      </c>
      <c r="N43">
        <f t="shared" si="13"/>
        <v>0.13409441471788755</v>
      </c>
      <c r="O43">
        <f t="shared" si="14"/>
        <v>0.18205418483282895</v>
      </c>
    </row>
    <row r="44" spans="1:15" x14ac:dyDescent="0.3">
      <c r="A44">
        <v>35977</v>
      </c>
      <c r="B44" s="7">
        <v>99.5</v>
      </c>
      <c r="C44">
        <f t="shared" si="0"/>
        <v>0.95961165609713683</v>
      </c>
      <c r="D44">
        <f t="shared" si="1"/>
        <v>0.46981280552245019</v>
      </c>
      <c r="E44">
        <f t="shared" si="4"/>
        <v>-0.90162397608667799</v>
      </c>
      <c r="F44">
        <f t="shared" si="5"/>
        <v>-1.0975435163165415</v>
      </c>
      <c r="G44">
        <f t="shared" si="6"/>
        <v>1.253490966441946</v>
      </c>
      <c r="H44">
        <f t="shared" si="7"/>
        <v>-1.6853021370061738</v>
      </c>
      <c r="I44">
        <f t="shared" si="8"/>
        <v>-1.0975435163165415</v>
      </c>
      <c r="J44">
        <f t="shared" si="9"/>
        <v>-0.50978489562692308</v>
      </c>
      <c r="K44">
        <f t="shared" si="10"/>
        <v>0.17593349517764101</v>
      </c>
      <c r="L44">
        <f t="shared" si="11"/>
        <v>0.17593349517764101</v>
      </c>
      <c r="M44">
        <f t="shared" si="12"/>
        <v>-0.11794581516716819</v>
      </c>
      <c r="N44">
        <f t="shared" si="13"/>
        <v>0.37185303540751846</v>
      </c>
      <c r="O44">
        <f t="shared" si="14"/>
        <v>0.27389326529257274</v>
      </c>
    </row>
    <row r="45" spans="1:15" x14ac:dyDescent="0.3">
      <c r="A45">
        <v>36008</v>
      </c>
      <c r="B45" s="7">
        <v>101.1</v>
      </c>
      <c r="C45">
        <f t="shared" si="0"/>
        <v>0.38489901241913532</v>
      </c>
      <c r="D45">
        <f t="shared" si="1"/>
        <v>-0.60774466574185482</v>
      </c>
      <c r="E45">
        <f t="shared" si="4"/>
        <v>-0.2975435163165443</v>
      </c>
      <c r="F45">
        <f t="shared" si="5"/>
        <v>0.57101970207432862</v>
      </c>
      <c r="G45">
        <f t="shared" si="6"/>
        <v>0.69510016184444579</v>
      </c>
      <c r="H45">
        <f t="shared" si="7"/>
        <v>-0.7938653553970394</v>
      </c>
      <c r="I45">
        <f t="shared" si="8"/>
        <v>1.0673415411548237</v>
      </c>
      <c r="J45">
        <f t="shared" si="9"/>
        <v>0.69510016184444579</v>
      </c>
      <c r="K45">
        <f t="shared" si="10"/>
        <v>0.32285878253407674</v>
      </c>
      <c r="L45">
        <f t="shared" si="11"/>
        <v>-0.11142282666135978</v>
      </c>
      <c r="M45">
        <f t="shared" si="12"/>
        <v>-0.11142282666135978</v>
      </c>
      <c r="N45">
        <f t="shared" si="13"/>
        <v>7.4697862993824776E-2</v>
      </c>
      <c r="O45">
        <f t="shared" si="14"/>
        <v>-0.23550328643148574</v>
      </c>
    </row>
    <row r="46" spans="1:15" x14ac:dyDescent="0.3">
      <c r="A46">
        <v>36039</v>
      </c>
      <c r="B46" s="7">
        <v>101</v>
      </c>
      <c r="C46">
        <f t="shared" si="0"/>
        <v>0.270818552649017</v>
      </c>
      <c r="D46">
        <f t="shared" si="1"/>
        <v>0.32285878253407674</v>
      </c>
      <c r="E46">
        <f t="shared" si="4"/>
        <v>-0.50978489562692308</v>
      </c>
      <c r="F46">
        <f t="shared" si="5"/>
        <v>-0.24958374620160972</v>
      </c>
      <c r="G46">
        <f t="shared" si="6"/>
        <v>0.47897947218927067</v>
      </c>
      <c r="H46">
        <f t="shared" si="7"/>
        <v>0.5830599319593901</v>
      </c>
      <c r="I46">
        <f t="shared" si="8"/>
        <v>-0.66590558528210964</v>
      </c>
      <c r="J46">
        <f t="shared" si="9"/>
        <v>0.89530131126977053</v>
      </c>
      <c r="K46">
        <f t="shared" si="10"/>
        <v>0.5830599319593901</v>
      </c>
      <c r="L46">
        <f t="shared" si="11"/>
        <v>0.270818552649017</v>
      </c>
      <c r="M46">
        <f t="shared" si="12"/>
        <v>-9.3463056546423173E-2</v>
      </c>
      <c r="N46">
        <f t="shared" si="13"/>
        <v>-9.3463056546423173E-2</v>
      </c>
      <c r="O46">
        <f t="shared" si="14"/>
        <v>6.2657633108763364E-2</v>
      </c>
    </row>
    <row r="47" spans="1:15" x14ac:dyDescent="0.3">
      <c r="A47">
        <v>36069</v>
      </c>
      <c r="B47" s="7">
        <v>100.3</v>
      </c>
      <c r="C47">
        <f t="shared" si="0"/>
        <v>3.2255334258140617E-2</v>
      </c>
      <c r="D47">
        <f t="shared" si="1"/>
        <v>-9.3463056546423173E-2</v>
      </c>
      <c r="E47">
        <f t="shared" si="4"/>
        <v>-0.11142282666135978</v>
      </c>
      <c r="F47">
        <f t="shared" si="5"/>
        <v>0.17593349517764101</v>
      </c>
      <c r="G47">
        <f t="shared" si="6"/>
        <v>8.6134644602952948E-2</v>
      </c>
      <c r="H47">
        <f t="shared" si="7"/>
        <v>-0.16530213700617466</v>
      </c>
      <c r="I47">
        <f t="shared" si="8"/>
        <v>-0.20122167723604784</v>
      </c>
      <c r="J47">
        <f t="shared" si="9"/>
        <v>0.22981280552245334</v>
      </c>
      <c r="K47">
        <f t="shared" si="10"/>
        <v>-0.30898029792567505</v>
      </c>
      <c r="L47">
        <f t="shared" si="11"/>
        <v>-0.20122167723604784</v>
      </c>
      <c r="M47">
        <f t="shared" si="12"/>
        <v>-9.3463056546423173E-2</v>
      </c>
      <c r="N47">
        <f t="shared" si="13"/>
        <v>3.2255334258140617E-2</v>
      </c>
      <c r="O47">
        <f t="shared" si="14"/>
        <v>3.2255334258140617E-2</v>
      </c>
    </row>
    <row r="48" spans="1:15" x14ac:dyDescent="0.3">
      <c r="A48">
        <v>36100</v>
      </c>
      <c r="B48" s="7">
        <v>100.1</v>
      </c>
      <c r="C48">
        <f t="shared" si="0"/>
        <v>0.14409441471789322</v>
      </c>
      <c r="D48">
        <f t="shared" si="1"/>
        <v>6.8174874488016346E-2</v>
      </c>
      <c r="E48">
        <f t="shared" si="4"/>
        <v>-0.19754351631655001</v>
      </c>
      <c r="F48">
        <f t="shared" si="5"/>
        <v>-0.23550328643148574</v>
      </c>
      <c r="G48">
        <f t="shared" si="6"/>
        <v>0.37185303540751846</v>
      </c>
      <c r="H48">
        <f t="shared" si="7"/>
        <v>0.18205418483282895</v>
      </c>
      <c r="I48">
        <f t="shared" si="8"/>
        <v>-0.34938259677630373</v>
      </c>
      <c r="J48">
        <f t="shared" si="9"/>
        <v>-0.4253021370061752</v>
      </c>
      <c r="K48">
        <f t="shared" si="10"/>
        <v>0.48573234575233104</v>
      </c>
      <c r="L48">
        <f t="shared" si="11"/>
        <v>-0.65306075769580585</v>
      </c>
      <c r="M48">
        <f t="shared" si="12"/>
        <v>-0.4253021370061752</v>
      </c>
      <c r="N48">
        <f t="shared" si="13"/>
        <v>-0.19754351631655001</v>
      </c>
      <c r="O48">
        <f t="shared" si="14"/>
        <v>6.8174874488016346E-2</v>
      </c>
    </row>
    <row r="49" spans="1:15" x14ac:dyDescent="0.3">
      <c r="A49">
        <v>36130</v>
      </c>
      <c r="B49" s="7">
        <v>100.8</v>
      </c>
      <c r="C49">
        <f t="shared" si="0"/>
        <v>0.1026576331087645</v>
      </c>
      <c r="D49">
        <f t="shared" si="1"/>
        <v>-0.12162397608667314</v>
      </c>
      <c r="E49">
        <f t="shared" si="4"/>
        <v>-5.7543516316547444E-2</v>
      </c>
      <c r="F49">
        <f t="shared" si="5"/>
        <v>0.16673809287889019</v>
      </c>
      <c r="G49">
        <f t="shared" si="6"/>
        <v>0.19877832276395074</v>
      </c>
      <c r="H49">
        <f t="shared" si="7"/>
        <v>-0.31386535539704563</v>
      </c>
      <c r="I49">
        <f t="shared" si="8"/>
        <v>-0.15366420597173369</v>
      </c>
      <c r="J49">
        <f t="shared" si="9"/>
        <v>0.29489901241914157</v>
      </c>
      <c r="K49">
        <f t="shared" si="10"/>
        <v>0.35897947218926268</v>
      </c>
      <c r="L49">
        <f t="shared" si="11"/>
        <v>-0.40998604505223191</v>
      </c>
      <c r="M49">
        <f t="shared" si="12"/>
        <v>0.55122085149963973</v>
      </c>
      <c r="N49">
        <f t="shared" si="13"/>
        <v>0.35897947218926268</v>
      </c>
      <c r="O49">
        <f t="shared" si="14"/>
        <v>0.16673809287889019</v>
      </c>
    </row>
    <row r="50" spans="1:15" x14ac:dyDescent="0.3">
      <c r="A50">
        <v>36161</v>
      </c>
      <c r="B50" s="7">
        <v>101.7</v>
      </c>
      <c r="C50">
        <f t="shared" si="0"/>
        <v>1.4893817710399013</v>
      </c>
      <c r="D50">
        <f t="shared" si="1"/>
        <v>0.39101970207432779</v>
      </c>
      <c r="E50">
        <f t="shared" si="4"/>
        <v>-0.46326190712111637</v>
      </c>
      <c r="F50">
        <f t="shared" si="5"/>
        <v>-0.21918144735098696</v>
      </c>
      <c r="G50">
        <f t="shared" si="6"/>
        <v>0.63510016184445717</v>
      </c>
      <c r="H50">
        <f t="shared" si="7"/>
        <v>0.7571403917295132</v>
      </c>
      <c r="I50">
        <f t="shared" si="8"/>
        <v>-1.1955032864314872</v>
      </c>
      <c r="J50">
        <f t="shared" si="9"/>
        <v>-0.5853021370061724</v>
      </c>
      <c r="K50">
        <f t="shared" si="10"/>
        <v>1.1232610813847159</v>
      </c>
      <c r="L50">
        <f t="shared" si="11"/>
        <v>1.367341541154828</v>
      </c>
      <c r="M50">
        <f t="shared" si="12"/>
        <v>-1.5616239760866726</v>
      </c>
      <c r="N50">
        <f t="shared" si="13"/>
        <v>2.0995829204652163</v>
      </c>
      <c r="O50">
        <f t="shared" si="14"/>
        <v>1.367341541154828</v>
      </c>
    </row>
    <row r="51" spans="1:15" x14ac:dyDescent="0.3">
      <c r="A51">
        <v>36192</v>
      </c>
      <c r="B51" s="7">
        <v>101.9</v>
      </c>
      <c r="C51">
        <f t="shared" si="0"/>
        <v>2.0175426905801612</v>
      </c>
      <c r="D51">
        <f t="shared" si="1"/>
        <v>1.7334622308100307</v>
      </c>
      <c r="E51">
        <f t="shared" si="4"/>
        <v>0.45510016184445351</v>
      </c>
      <c r="F51">
        <f t="shared" si="5"/>
        <v>-0.53918144735099327</v>
      </c>
      <c r="G51">
        <f t="shared" si="6"/>
        <v>-0.25510098758086269</v>
      </c>
      <c r="H51">
        <f t="shared" si="7"/>
        <v>0.73918062161458398</v>
      </c>
      <c r="I51">
        <f t="shared" si="8"/>
        <v>0.88122085149963914</v>
      </c>
      <c r="J51">
        <f t="shared" si="9"/>
        <v>-1.3914228266613646</v>
      </c>
      <c r="K51">
        <f t="shared" si="10"/>
        <v>-0.68122167723604843</v>
      </c>
      <c r="L51">
        <f t="shared" si="11"/>
        <v>1.307341541154845</v>
      </c>
      <c r="M51">
        <f t="shared" si="12"/>
        <v>1.5914220009249553</v>
      </c>
      <c r="N51">
        <f t="shared" si="13"/>
        <v>-1.8175435163165503</v>
      </c>
      <c r="O51">
        <f t="shared" si="14"/>
        <v>2.4436633802353471</v>
      </c>
    </row>
    <row r="52" spans="1:15" x14ac:dyDescent="0.3">
      <c r="A52">
        <v>36220</v>
      </c>
      <c r="B52" s="7">
        <v>99.3</v>
      </c>
      <c r="C52">
        <f t="shared" si="0"/>
        <v>1.3914507365568929</v>
      </c>
      <c r="D52">
        <f t="shared" si="1"/>
        <v>-1.6755032864314952</v>
      </c>
      <c r="E52">
        <f t="shared" si="4"/>
        <v>-1.4395837462016166</v>
      </c>
      <c r="F52">
        <f t="shared" si="5"/>
        <v>-0.3779458151671713</v>
      </c>
      <c r="G52">
        <f t="shared" si="6"/>
        <v>0.44777257563739531</v>
      </c>
      <c r="H52">
        <f t="shared" si="7"/>
        <v>0.21185303540751674</v>
      </c>
      <c r="I52">
        <f t="shared" si="8"/>
        <v>-0.61386535539704989</v>
      </c>
      <c r="J52">
        <f t="shared" si="9"/>
        <v>-0.73182512551198076</v>
      </c>
      <c r="K52">
        <f t="shared" si="10"/>
        <v>1.1555311963270143</v>
      </c>
      <c r="L52">
        <f t="shared" si="11"/>
        <v>0.56573234575232623</v>
      </c>
      <c r="M52">
        <f t="shared" si="12"/>
        <v>-1.0857044358568071</v>
      </c>
      <c r="N52">
        <f t="shared" si="13"/>
        <v>-1.3216239760866688</v>
      </c>
      <c r="O52">
        <f t="shared" si="14"/>
        <v>1.5094105066718237</v>
      </c>
    </row>
    <row r="53" spans="1:15" x14ac:dyDescent="0.3">
      <c r="A53">
        <v>36251</v>
      </c>
      <c r="B53" s="7">
        <v>99.4</v>
      </c>
      <c r="C53">
        <f t="shared" si="0"/>
        <v>1.1655311963269992</v>
      </c>
      <c r="D53">
        <f t="shared" si="1"/>
        <v>1.2734909664419451</v>
      </c>
      <c r="E53">
        <f t="shared" si="4"/>
        <v>-1.5334630565464198</v>
      </c>
      <c r="F53">
        <f t="shared" si="5"/>
        <v>-1.3175435163165432</v>
      </c>
      <c r="G53">
        <f t="shared" si="6"/>
        <v>-0.34590558528210619</v>
      </c>
      <c r="H53">
        <f t="shared" si="7"/>
        <v>0.40981280552245419</v>
      </c>
      <c r="I53">
        <f t="shared" si="8"/>
        <v>0.19389326529257758</v>
      </c>
      <c r="J53">
        <f t="shared" si="9"/>
        <v>-0.56182512551198283</v>
      </c>
      <c r="K53">
        <f t="shared" si="10"/>
        <v>-0.66978489562691346</v>
      </c>
      <c r="L53">
        <f t="shared" si="11"/>
        <v>1.0575714262120686</v>
      </c>
      <c r="M53">
        <f t="shared" si="12"/>
        <v>0.51777257563738477</v>
      </c>
      <c r="N53">
        <f t="shared" si="13"/>
        <v>-0.99366420597173599</v>
      </c>
      <c r="O53">
        <f t="shared" si="14"/>
        <v>-1.2095837462015973</v>
      </c>
    </row>
    <row r="54" spans="1:15" x14ac:dyDescent="0.3">
      <c r="A54">
        <v>36281</v>
      </c>
      <c r="B54" s="7">
        <v>99.6</v>
      </c>
      <c r="C54">
        <f t="shared" si="0"/>
        <v>0.77369211586727216</v>
      </c>
      <c r="D54">
        <f t="shared" si="1"/>
        <v>0.94961165609713794</v>
      </c>
      <c r="E54">
        <f t="shared" si="4"/>
        <v>1.0375714262120834</v>
      </c>
      <c r="F54">
        <f t="shared" si="5"/>
        <v>-1.2493825967763095</v>
      </c>
      <c r="G54">
        <f t="shared" si="6"/>
        <v>-1.0734630565464311</v>
      </c>
      <c r="H54">
        <f t="shared" si="7"/>
        <v>-0.28182512551198508</v>
      </c>
      <c r="I54">
        <f t="shared" si="8"/>
        <v>0.33389326529258273</v>
      </c>
      <c r="J54">
        <f t="shared" si="9"/>
        <v>0.15797372506270441</v>
      </c>
      <c r="K54">
        <f t="shared" si="10"/>
        <v>-0.45774466574186334</v>
      </c>
      <c r="L54">
        <f t="shared" si="11"/>
        <v>-0.54570443585679629</v>
      </c>
      <c r="M54">
        <f t="shared" si="12"/>
        <v>0.8616518859822051</v>
      </c>
      <c r="N54">
        <f t="shared" si="13"/>
        <v>0.42185303540751562</v>
      </c>
      <c r="O54">
        <f t="shared" si="14"/>
        <v>-0.80958374620161999</v>
      </c>
    </row>
    <row r="55" spans="1:15" x14ac:dyDescent="0.3">
      <c r="A55">
        <v>36312</v>
      </c>
      <c r="B55" s="7">
        <v>99.7</v>
      </c>
      <c r="C55">
        <f t="shared" si="0"/>
        <v>0.60777257563738307</v>
      </c>
      <c r="D55">
        <f t="shared" si="1"/>
        <v>0.68573234575232678</v>
      </c>
      <c r="E55">
        <f t="shared" si="4"/>
        <v>0.84165188598219198</v>
      </c>
      <c r="F55">
        <f t="shared" si="5"/>
        <v>0.91961165609713569</v>
      </c>
      <c r="G55">
        <f t="shared" si="6"/>
        <v>-1.1073423668912341</v>
      </c>
      <c r="H55">
        <f t="shared" si="7"/>
        <v>-0.9514228266613578</v>
      </c>
      <c r="I55">
        <f t="shared" si="8"/>
        <v>-0.24978489562691994</v>
      </c>
      <c r="J55">
        <f t="shared" si="9"/>
        <v>0.29593349517764156</v>
      </c>
      <c r="K55">
        <f t="shared" si="10"/>
        <v>0.14001395494776528</v>
      </c>
      <c r="L55">
        <f t="shared" si="11"/>
        <v>-0.40570443585679627</v>
      </c>
      <c r="M55">
        <f t="shared" si="12"/>
        <v>-0.48366420597172888</v>
      </c>
      <c r="N55">
        <f t="shared" si="13"/>
        <v>0.76369211586725938</v>
      </c>
      <c r="O55">
        <f t="shared" si="14"/>
        <v>0.37389326529257416</v>
      </c>
    </row>
    <row r="56" spans="1:15" x14ac:dyDescent="0.3">
      <c r="A56">
        <v>36342</v>
      </c>
      <c r="B56" s="7">
        <v>99.6</v>
      </c>
      <c r="C56">
        <f t="shared" si="0"/>
        <v>0.77369211586727216</v>
      </c>
      <c r="D56">
        <f t="shared" si="1"/>
        <v>0.68573234575232678</v>
      </c>
      <c r="E56">
        <f t="shared" si="4"/>
        <v>0.77369211586727216</v>
      </c>
      <c r="F56">
        <f t="shared" si="5"/>
        <v>0.94961165609713794</v>
      </c>
      <c r="G56">
        <f t="shared" si="6"/>
        <v>1.0375714262120834</v>
      </c>
      <c r="H56">
        <f t="shared" si="7"/>
        <v>-1.2493825967763095</v>
      </c>
      <c r="I56">
        <f t="shared" si="8"/>
        <v>-1.0734630565464311</v>
      </c>
      <c r="J56">
        <f t="shared" si="9"/>
        <v>-0.28182512551198508</v>
      </c>
      <c r="K56">
        <f t="shared" si="10"/>
        <v>0.33389326529258273</v>
      </c>
      <c r="L56">
        <f t="shared" si="11"/>
        <v>0.15797372506270441</v>
      </c>
      <c r="M56">
        <f t="shared" si="12"/>
        <v>-0.45774466574186334</v>
      </c>
      <c r="N56">
        <f t="shared" si="13"/>
        <v>-0.54570443585679629</v>
      </c>
      <c r="O56">
        <f t="shared" si="14"/>
        <v>0.8616518859822051</v>
      </c>
    </row>
    <row r="57" spans="1:15" x14ac:dyDescent="0.3">
      <c r="A57">
        <v>36373</v>
      </c>
      <c r="B57" s="7">
        <v>99.6</v>
      </c>
      <c r="C57">
        <f t="shared" si="0"/>
        <v>0.77369211586727216</v>
      </c>
      <c r="D57">
        <f t="shared" si="1"/>
        <v>0.77369211586727216</v>
      </c>
      <c r="E57">
        <f t="shared" si="4"/>
        <v>0.68573234575232678</v>
      </c>
      <c r="F57">
        <f t="shared" si="5"/>
        <v>0.77369211586727216</v>
      </c>
      <c r="G57">
        <f t="shared" si="6"/>
        <v>0.94961165609713794</v>
      </c>
      <c r="H57">
        <f t="shared" si="7"/>
        <v>1.0375714262120834</v>
      </c>
      <c r="I57">
        <f t="shared" si="8"/>
        <v>-1.2493825967763095</v>
      </c>
      <c r="J57">
        <f t="shared" si="9"/>
        <v>-1.0734630565464311</v>
      </c>
      <c r="K57">
        <f t="shared" si="10"/>
        <v>-0.28182512551198508</v>
      </c>
      <c r="L57">
        <f t="shared" si="11"/>
        <v>0.33389326529258273</v>
      </c>
      <c r="M57">
        <f t="shared" si="12"/>
        <v>0.15797372506270441</v>
      </c>
      <c r="N57">
        <f t="shared" si="13"/>
        <v>-0.45774466574186334</v>
      </c>
      <c r="O57">
        <f t="shared" si="14"/>
        <v>-0.54570443585679629</v>
      </c>
    </row>
    <row r="58" spans="1:15" x14ac:dyDescent="0.3">
      <c r="A58">
        <v>36404</v>
      </c>
      <c r="B58" s="7">
        <v>99.4</v>
      </c>
      <c r="C58">
        <f t="shared" si="0"/>
        <v>1.1655311963269992</v>
      </c>
      <c r="D58">
        <f t="shared" si="1"/>
        <v>0.94961165609713794</v>
      </c>
      <c r="E58">
        <f t="shared" si="4"/>
        <v>0.94961165609713794</v>
      </c>
      <c r="F58">
        <f t="shared" si="5"/>
        <v>0.84165188598219198</v>
      </c>
      <c r="G58">
        <f t="shared" si="6"/>
        <v>0.94961165609713794</v>
      </c>
      <c r="H58">
        <f t="shared" si="7"/>
        <v>1.1655311963269992</v>
      </c>
      <c r="I58">
        <f t="shared" si="8"/>
        <v>1.2734909664419451</v>
      </c>
      <c r="J58">
        <f t="shared" si="9"/>
        <v>-1.5334630565464198</v>
      </c>
      <c r="K58">
        <f t="shared" si="10"/>
        <v>-1.3175435163165432</v>
      </c>
      <c r="L58">
        <f t="shared" si="11"/>
        <v>-0.34590558528210619</v>
      </c>
      <c r="M58">
        <f t="shared" si="12"/>
        <v>0.40981280552245419</v>
      </c>
      <c r="N58">
        <f t="shared" si="13"/>
        <v>0.19389326529257758</v>
      </c>
      <c r="O58">
        <f t="shared" si="14"/>
        <v>-0.56182512551198283</v>
      </c>
    </row>
    <row r="59" spans="1:15" x14ac:dyDescent="0.3">
      <c r="A59">
        <v>36434</v>
      </c>
      <c r="B59" s="7">
        <v>99</v>
      </c>
      <c r="C59">
        <f t="shared" si="0"/>
        <v>2.1892093572465101</v>
      </c>
      <c r="D59">
        <f t="shared" si="1"/>
        <v>1.5973702767867524</v>
      </c>
      <c r="E59">
        <f t="shared" si="4"/>
        <v>1.3014507365568946</v>
      </c>
      <c r="F59">
        <f t="shared" si="5"/>
        <v>1.3014507365568946</v>
      </c>
      <c r="G59">
        <f t="shared" si="6"/>
        <v>1.1534909664419446</v>
      </c>
      <c r="H59">
        <f t="shared" si="7"/>
        <v>1.3014507365568946</v>
      </c>
      <c r="I59">
        <f t="shared" si="8"/>
        <v>1.5973702767867524</v>
      </c>
      <c r="J59">
        <f t="shared" si="9"/>
        <v>1.7453300469017023</v>
      </c>
      <c r="K59">
        <f t="shared" si="10"/>
        <v>-2.1016239760866808</v>
      </c>
      <c r="L59">
        <f t="shared" si="11"/>
        <v>-1.805704435856802</v>
      </c>
      <c r="M59">
        <f t="shared" si="12"/>
        <v>-0.47406650482235757</v>
      </c>
      <c r="N59">
        <f t="shared" si="13"/>
        <v>0.56165188598220794</v>
      </c>
      <c r="O59">
        <f t="shared" si="14"/>
        <v>0.26573234575232907</v>
      </c>
    </row>
    <row r="60" spans="1:15" x14ac:dyDescent="0.3">
      <c r="A60">
        <v>36465</v>
      </c>
      <c r="B60" s="7">
        <v>100.4</v>
      </c>
      <c r="C60">
        <f t="shared" si="0"/>
        <v>6.3357940282640357E-3</v>
      </c>
      <c r="D60">
        <f t="shared" si="1"/>
        <v>0.11777257563737913</v>
      </c>
      <c r="E60">
        <f t="shared" si="4"/>
        <v>8.593349517763163E-2</v>
      </c>
      <c r="F60">
        <f t="shared" si="5"/>
        <v>7.0013954947759013E-2</v>
      </c>
      <c r="G60">
        <f t="shared" si="6"/>
        <v>7.0013954947759013E-2</v>
      </c>
      <c r="H60">
        <f t="shared" si="7"/>
        <v>6.2054184832821581E-2</v>
      </c>
      <c r="I60">
        <f t="shared" si="8"/>
        <v>7.0013954947759013E-2</v>
      </c>
      <c r="J60">
        <f t="shared" si="9"/>
        <v>8.593349517763163E-2</v>
      </c>
      <c r="K60">
        <f t="shared" si="10"/>
        <v>9.389326529256907E-2</v>
      </c>
      <c r="L60">
        <f t="shared" si="11"/>
        <v>-0.11306075769578736</v>
      </c>
      <c r="M60">
        <f t="shared" si="12"/>
        <v>-9.7141217465913615E-2</v>
      </c>
      <c r="N60">
        <f t="shared" si="13"/>
        <v>-2.5503286431482326E-2</v>
      </c>
      <c r="O60">
        <f t="shared" si="14"/>
        <v>3.021510437307522E-2</v>
      </c>
    </row>
    <row r="61" spans="1:15" x14ac:dyDescent="0.3">
      <c r="A61">
        <v>36495</v>
      </c>
      <c r="B61" s="7">
        <v>100.5</v>
      </c>
      <c r="C61">
        <f t="shared" si="0"/>
        <v>4.1625379839028444E-4</v>
      </c>
      <c r="D61">
        <f t="shared" si="1"/>
        <v>-1.6239760866722716E-3</v>
      </c>
      <c r="E61">
        <f t="shared" si="4"/>
        <v>-3.0187194477549799E-2</v>
      </c>
      <c r="F61">
        <f t="shared" si="5"/>
        <v>-2.2026274937298994E-2</v>
      </c>
      <c r="G61">
        <f t="shared" si="6"/>
        <v>-1.7945815167173879E-2</v>
      </c>
      <c r="H61">
        <f t="shared" si="7"/>
        <v>-1.7945815167173879E-2</v>
      </c>
      <c r="I61">
        <f t="shared" si="8"/>
        <v>-1.5905585282111036E-2</v>
      </c>
      <c r="J61">
        <f t="shared" si="9"/>
        <v>-1.7945815167173879E-2</v>
      </c>
      <c r="K61">
        <f t="shared" si="10"/>
        <v>-2.2026274937298994E-2</v>
      </c>
      <c r="L61">
        <f t="shared" si="11"/>
        <v>-2.4066504822361837E-2</v>
      </c>
      <c r="M61">
        <f t="shared" si="12"/>
        <v>2.8979472189267809E-2</v>
      </c>
      <c r="N61">
        <f t="shared" si="13"/>
        <v>2.4899012419142406E-2</v>
      </c>
      <c r="O61">
        <f t="shared" si="14"/>
        <v>6.5369434535782426E-3</v>
      </c>
    </row>
    <row r="62" spans="1:15" x14ac:dyDescent="0.3">
      <c r="A62">
        <v>36526</v>
      </c>
      <c r="B62" s="7">
        <v>100.4</v>
      </c>
      <c r="C62">
        <f t="shared" si="0"/>
        <v>6.3357940282640357E-3</v>
      </c>
      <c r="D62">
        <f t="shared" si="1"/>
        <v>-1.6239760866722716E-3</v>
      </c>
      <c r="E62">
        <f t="shared" si="4"/>
        <v>6.3357940282640357E-3</v>
      </c>
      <c r="F62">
        <f t="shared" si="5"/>
        <v>0.11777257563737913</v>
      </c>
      <c r="G62">
        <f t="shared" si="6"/>
        <v>8.593349517763163E-2</v>
      </c>
      <c r="H62">
        <f t="shared" si="7"/>
        <v>7.0013954947759013E-2</v>
      </c>
      <c r="I62">
        <f t="shared" si="8"/>
        <v>7.0013954947759013E-2</v>
      </c>
      <c r="J62">
        <f t="shared" si="9"/>
        <v>6.2054184832821581E-2</v>
      </c>
      <c r="K62">
        <f t="shared" si="10"/>
        <v>7.0013954947759013E-2</v>
      </c>
      <c r="L62">
        <f t="shared" si="11"/>
        <v>8.593349517763163E-2</v>
      </c>
      <c r="M62">
        <f t="shared" si="12"/>
        <v>9.389326529256907E-2</v>
      </c>
      <c r="N62">
        <f t="shared" si="13"/>
        <v>-0.11306075769578736</v>
      </c>
      <c r="O62">
        <f t="shared" si="14"/>
        <v>-9.7141217465913615E-2</v>
      </c>
    </row>
    <row r="63" spans="1:15" x14ac:dyDescent="0.3">
      <c r="A63">
        <v>36557</v>
      </c>
      <c r="B63" s="7">
        <v>101.6</v>
      </c>
      <c r="C63">
        <f t="shared" si="0"/>
        <v>1.2553013112697564</v>
      </c>
      <c r="D63">
        <f t="shared" si="1"/>
        <v>-8.9181447350976176E-2</v>
      </c>
      <c r="E63">
        <f t="shared" si="4"/>
        <v>2.2858782534079563E-2</v>
      </c>
      <c r="F63">
        <f t="shared" si="5"/>
        <v>-8.9181447350976176E-2</v>
      </c>
      <c r="G63">
        <f t="shared" si="6"/>
        <v>-1.657744665741852</v>
      </c>
      <c r="H63">
        <f t="shared" si="7"/>
        <v>-1.2095837462015973</v>
      </c>
      <c r="I63">
        <f t="shared" si="8"/>
        <v>-0.98550328643148577</v>
      </c>
      <c r="J63">
        <f t="shared" si="9"/>
        <v>-0.98550328643148577</v>
      </c>
      <c r="K63">
        <f t="shared" si="10"/>
        <v>-0.8734630565464141</v>
      </c>
      <c r="L63">
        <f t="shared" si="11"/>
        <v>-0.98550328643148577</v>
      </c>
      <c r="M63">
        <f t="shared" si="12"/>
        <v>-1.2095837462015973</v>
      </c>
      <c r="N63">
        <f t="shared" si="13"/>
        <v>-1.3216239760866688</v>
      </c>
      <c r="O63">
        <f t="shared" si="14"/>
        <v>1.5914220009249553</v>
      </c>
    </row>
    <row r="64" spans="1:15" x14ac:dyDescent="0.3">
      <c r="A64">
        <v>36586</v>
      </c>
      <c r="B64" s="7">
        <v>98.9</v>
      </c>
      <c r="C64">
        <f t="shared" si="0"/>
        <v>2.4951288974763668</v>
      </c>
      <c r="D64">
        <f t="shared" si="1"/>
        <v>-1.7697848956269078</v>
      </c>
      <c r="E64">
        <f t="shared" si="4"/>
        <v>0.12573234575231543</v>
      </c>
      <c r="F64">
        <f t="shared" si="5"/>
        <v>-3.2227424362612354E-2</v>
      </c>
      <c r="G64">
        <f t="shared" si="6"/>
        <v>0.12573234575231543</v>
      </c>
      <c r="H64">
        <f t="shared" si="7"/>
        <v>2.337169127361439</v>
      </c>
      <c r="I64">
        <f t="shared" si="8"/>
        <v>1.705330046901683</v>
      </c>
      <c r="J64">
        <f t="shared" si="9"/>
        <v>1.3894105066718274</v>
      </c>
      <c r="K64">
        <f t="shared" si="10"/>
        <v>1.3894105066718274</v>
      </c>
      <c r="L64">
        <f t="shared" si="11"/>
        <v>1.2314507365568772</v>
      </c>
      <c r="M64">
        <f t="shared" si="12"/>
        <v>1.3894105066718274</v>
      </c>
      <c r="N64">
        <f t="shared" si="13"/>
        <v>1.705330046901683</v>
      </c>
      <c r="O64">
        <f t="shared" si="14"/>
        <v>1.8632898170166332</v>
      </c>
    </row>
    <row r="65" spans="1:15" x14ac:dyDescent="0.3">
      <c r="A65">
        <v>36617</v>
      </c>
      <c r="B65" s="7">
        <v>99.3</v>
      </c>
      <c r="C65">
        <f t="shared" si="0"/>
        <v>1.3914507365568929</v>
      </c>
      <c r="D65">
        <f t="shared" si="1"/>
        <v>1.8632898170166332</v>
      </c>
      <c r="E65">
        <f t="shared" si="4"/>
        <v>-1.3216239760866688</v>
      </c>
      <c r="F65">
        <f t="shared" si="5"/>
        <v>9.389326529256907E-2</v>
      </c>
      <c r="G65">
        <f t="shared" si="6"/>
        <v>-2.4066504822361837E-2</v>
      </c>
      <c r="H65">
        <f t="shared" si="7"/>
        <v>9.389326529256907E-2</v>
      </c>
      <c r="I65">
        <f t="shared" si="8"/>
        <v>1.7453300469017023</v>
      </c>
      <c r="J65">
        <f t="shared" si="9"/>
        <v>1.2734909664419451</v>
      </c>
      <c r="K65">
        <f t="shared" si="10"/>
        <v>1.0375714262120834</v>
      </c>
      <c r="L65">
        <f t="shared" si="11"/>
        <v>1.0375714262120834</v>
      </c>
      <c r="M65">
        <f t="shared" si="12"/>
        <v>0.91961165609713569</v>
      </c>
      <c r="N65">
        <f t="shared" si="13"/>
        <v>1.0375714262120834</v>
      </c>
      <c r="O65">
        <f t="shared" si="14"/>
        <v>1.2734909664419451</v>
      </c>
    </row>
    <row r="66" spans="1:15" x14ac:dyDescent="0.3">
      <c r="A66">
        <v>36647</v>
      </c>
      <c r="B66" s="7">
        <v>99.4</v>
      </c>
      <c r="C66">
        <f t="shared" si="0"/>
        <v>1.1655311963269992</v>
      </c>
      <c r="D66">
        <f t="shared" si="1"/>
        <v>1.2734909664419451</v>
      </c>
      <c r="E66">
        <f t="shared" si="4"/>
        <v>1.705330046901683</v>
      </c>
      <c r="F66">
        <f t="shared" si="5"/>
        <v>-1.2095837462015973</v>
      </c>
      <c r="G66">
        <f t="shared" si="6"/>
        <v>8.593349517763163E-2</v>
      </c>
      <c r="H66">
        <f t="shared" si="7"/>
        <v>-2.2026274937298994E-2</v>
      </c>
      <c r="I66">
        <f t="shared" si="8"/>
        <v>8.593349517763163E-2</v>
      </c>
      <c r="J66">
        <f t="shared" si="9"/>
        <v>1.5973702767867524</v>
      </c>
      <c r="K66">
        <f t="shared" si="10"/>
        <v>1.1655311963269992</v>
      </c>
      <c r="L66">
        <f t="shared" si="11"/>
        <v>0.94961165609713794</v>
      </c>
      <c r="M66">
        <f t="shared" si="12"/>
        <v>0.94961165609713794</v>
      </c>
      <c r="N66">
        <f t="shared" si="13"/>
        <v>0.84165188598219198</v>
      </c>
      <c r="O66">
        <f t="shared" si="14"/>
        <v>0.94961165609713794</v>
      </c>
    </row>
    <row r="67" spans="1:15" x14ac:dyDescent="0.3">
      <c r="A67">
        <v>36678</v>
      </c>
      <c r="B67" s="7">
        <v>99.5</v>
      </c>
      <c r="C67">
        <f t="shared" ref="C67:C130" si="15">($B67-AVERAGE($B$2:$B$349))*($B67-AVERAGE($B$2:$B$349))</f>
        <v>0.95961165609713683</v>
      </c>
      <c r="D67">
        <f t="shared" si="1"/>
        <v>1.0575714262120686</v>
      </c>
      <c r="E67">
        <f t="shared" si="4"/>
        <v>1.1555311963270143</v>
      </c>
      <c r="F67">
        <f t="shared" si="5"/>
        <v>1.5473702767867552</v>
      </c>
      <c r="G67">
        <f t="shared" si="6"/>
        <v>-1.0975435163165415</v>
      </c>
      <c r="H67">
        <f t="shared" si="7"/>
        <v>7.7973725062695329E-2</v>
      </c>
      <c r="I67">
        <f t="shared" si="8"/>
        <v>-1.9986045052236438E-2</v>
      </c>
      <c r="J67">
        <f t="shared" si="9"/>
        <v>7.7973725062695329E-2</v>
      </c>
      <c r="K67">
        <f t="shared" si="10"/>
        <v>1.4494105066718235</v>
      </c>
      <c r="L67">
        <f t="shared" si="11"/>
        <v>1.0575714262120686</v>
      </c>
      <c r="M67">
        <f t="shared" si="12"/>
        <v>0.8616518859822051</v>
      </c>
      <c r="N67">
        <f t="shared" si="13"/>
        <v>0.8616518859822051</v>
      </c>
      <c r="O67">
        <f t="shared" si="14"/>
        <v>0.76369211586725938</v>
      </c>
    </row>
    <row r="68" spans="1:15" x14ac:dyDescent="0.3">
      <c r="A68">
        <v>36708</v>
      </c>
      <c r="B68" s="7">
        <v>99.4</v>
      </c>
      <c r="C68">
        <f t="shared" si="15"/>
        <v>1.1655311963269992</v>
      </c>
      <c r="D68">
        <f t="shared" ref="D68:D131" si="16">($B68-AVERAGE($B$2:$B$349))*($B67-AVERAGE($B$2:$B$349))</f>
        <v>1.0575714262120686</v>
      </c>
      <c r="E68">
        <f t="shared" si="4"/>
        <v>1.1655311963269992</v>
      </c>
      <c r="F68">
        <f t="shared" si="5"/>
        <v>1.2734909664419451</v>
      </c>
      <c r="G68">
        <f t="shared" si="6"/>
        <v>1.705330046901683</v>
      </c>
      <c r="H68">
        <f t="shared" si="7"/>
        <v>-1.2095837462015973</v>
      </c>
      <c r="I68">
        <f t="shared" si="8"/>
        <v>8.593349517763163E-2</v>
      </c>
      <c r="J68">
        <f t="shared" si="9"/>
        <v>-2.2026274937298994E-2</v>
      </c>
      <c r="K68">
        <f t="shared" si="10"/>
        <v>8.593349517763163E-2</v>
      </c>
      <c r="L68">
        <f t="shared" si="11"/>
        <v>1.5973702767867524</v>
      </c>
      <c r="M68">
        <f t="shared" si="12"/>
        <v>1.1655311963269992</v>
      </c>
      <c r="N68">
        <f t="shared" si="13"/>
        <v>0.94961165609713794</v>
      </c>
      <c r="O68">
        <f t="shared" si="14"/>
        <v>0.94961165609713794</v>
      </c>
    </row>
    <row r="69" spans="1:15" x14ac:dyDescent="0.3">
      <c r="A69">
        <v>36739</v>
      </c>
      <c r="B69" s="7">
        <v>100.1</v>
      </c>
      <c r="C69">
        <f t="shared" si="15"/>
        <v>0.14409441471789322</v>
      </c>
      <c r="D69">
        <f t="shared" si="16"/>
        <v>0.40981280552245419</v>
      </c>
      <c r="E69">
        <f t="shared" ref="E69:E132" si="17">($B69-AVERAGE($B$2:$B$349))*($B67-AVERAGE($B$2:$B$349))</f>
        <v>0.37185303540751846</v>
      </c>
      <c r="F69">
        <f t="shared" si="5"/>
        <v>0.40981280552245419</v>
      </c>
      <c r="G69">
        <f t="shared" si="6"/>
        <v>0.44777257563739531</v>
      </c>
      <c r="H69">
        <f t="shared" si="7"/>
        <v>0.59961165609714362</v>
      </c>
      <c r="I69">
        <f t="shared" si="8"/>
        <v>-0.4253021370061752</v>
      </c>
      <c r="J69">
        <f t="shared" si="9"/>
        <v>3.021510437307522E-2</v>
      </c>
      <c r="K69">
        <f t="shared" si="10"/>
        <v>-7.7446657418605196E-3</v>
      </c>
      <c r="L69">
        <f t="shared" si="11"/>
        <v>3.021510437307522E-2</v>
      </c>
      <c r="M69">
        <f t="shared" si="12"/>
        <v>0.56165188598220794</v>
      </c>
      <c r="N69">
        <f t="shared" si="13"/>
        <v>0.40981280552245419</v>
      </c>
      <c r="O69">
        <f t="shared" si="14"/>
        <v>0.33389326529258273</v>
      </c>
    </row>
    <row r="70" spans="1:15" x14ac:dyDescent="0.3">
      <c r="A70">
        <v>36770</v>
      </c>
      <c r="B70" s="7">
        <v>99.8</v>
      </c>
      <c r="C70">
        <f t="shared" si="15"/>
        <v>0.46185303540751677</v>
      </c>
      <c r="D70">
        <f t="shared" si="16"/>
        <v>0.25797372506270583</v>
      </c>
      <c r="E70">
        <f t="shared" si="17"/>
        <v>0.73369211586726135</v>
      </c>
      <c r="F70">
        <f t="shared" ref="F70:F133" si="18">($B70-AVERAGE($B$2:$B$349))*($B67-AVERAGE($B$2:$B$349))</f>
        <v>0.66573234575232765</v>
      </c>
      <c r="G70">
        <f t="shared" si="6"/>
        <v>0.73369211586726135</v>
      </c>
      <c r="H70">
        <f t="shared" si="7"/>
        <v>0.80165188598220483</v>
      </c>
      <c r="I70">
        <f t="shared" si="8"/>
        <v>1.0734909664419494</v>
      </c>
      <c r="J70">
        <f t="shared" si="9"/>
        <v>-0.7614228266613583</v>
      </c>
      <c r="K70">
        <f t="shared" si="10"/>
        <v>5.4094414717885272E-2</v>
      </c>
      <c r="L70">
        <f t="shared" si="11"/>
        <v>-1.3865355397048479E-2</v>
      </c>
      <c r="M70">
        <f t="shared" si="12"/>
        <v>5.4094414717885272E-2</v>
      </c>
      <c r="N70">
        <f t="shared" si="13"/>
        <v>1.0055311963270157</v>
      </c>
      <c r="O70">
        <f t="shared" si="14"/>
        <v>0.73369211586726135</v>
      </c>
    </row>
    <row r="71" spans="1:15" x14ac:dyDescent="0.3">
      <c r="A71">
        <v>36800</v>
      </c>
      <c r="B71" s="7">
        <v>100.1</v>
      </c>
      <c r="C71">
        <f t="shared" si="15"/>
        <v>0.14409441471789322</v>
      </c>
      <c r="D71">
        <f t="shared" si="16"/>
        <v>0.25797372506270583</v>
      </c>
      <c r="E71">
        <f t="shared" si="17"/>
        <v>0.14409441471789322</v>
      </c>
      <c r="F71">
        <f t="shared" si="18"/>
        <v>0.40981280552245419</v>
      </c>
      <c r="G71">
        <f t="shared" ref="G71:G134" si="19">($B71-AVERAGE($B$2:$B$349))*($B67-AVERAGE($B$2:$B$349))</f>
        <v>0.37185303540751846</v>
      </c>
      <c r="H71">
        <f t="shared" si="7"/>
        <v>0.40981280552245419</v>
      </c>
      <c r="I71">
        <f t="shared" si="8"/>
        <v>0.44777257563739531</v>
      </c>
      <c r="J71">
        <f t="shared" si="9"/>
        <v>0.59961165609714362</v>
      </c>
      <c r="K71">
        <f t="shared" si="10"/>
        <v>-0.4253021370061752</v>
      </c>
      <c r="L71">
        <f t="shared" si="11"/>
        <v>3.021510437307522E-2</v>
      </c>
      <c r="M71">
        <f t="shared" si="12"/>
        <v>-7.7446657418605196E-3</v>
      </c>
      <c r="N71">
        <f t="shared" si="13"/>
        <v>3.021510437307522E-2</v>
      </c>
      <c r="O71">
        <f t="shared" si="14"/>
        <v>0.56165188598220794</v>
      </c>
    </row>
    <row r="72" spans="1:15" x14ac:dyDescent="0.3">
      <c r="A72">
        <v>36831</v>
      </c>
      <c r="B72" s="7">
        <v>100.9</v>
      </c>
      <c r="C72">
        <f t="shared" si="15"/>
        <v>0.17673809287889644</v>
      </c>
      <c r="D72">
        <f t="shared" si="16"/>
        <v>-0.15958374620161425</v>
      </c>
      <c r="E72">
        <f t="shared" si="17"/>
        <v>-0.28570443585680277</v>
      </c>
      <c r="F72">
        <f t="shared" si="18"/>
        <v>-0.15958374620161425</v>
      </c>
      <c r="G72">
        <f t="shared" si="19"/>
        <v>-0.45386535539705219</v>
      </c>
      <c r="H72">
        <f t="shared" ref="H72:H135" si="20">($B72-AVERAGE($B$2:$B$349))*($B67-AVERAGE($B$2:$B$349))</f>
        <v>-0.4118251255119913</v>
      </c>
      <c r="I72">
        <f t="shared" si="8"/>
        <v>-0.45386535539705219</v>
      </c>
      <c r="J72">
        <f t="shared" si="9"/>
        <v>-0.49590558528211898</v>
      </c>
      <c r="K72">
        <f t="shared" si="10"/>
        <v>-0.6640665048223684</v>
      </c>
      <c r="L72">
        <f t="shared" si="11"/>
        <v>0.47101970207433436</v>
      </c>
      <c r="M72">
        <f t="shared" si="12"/>
        <v>-3.3463056546419762E-2</v>
      </c>
      <c r="N72">
        <f t="shared" si="13"/>
        <v>8.5771733386410896E-3</v>
      </c>
      <c r="O72">
        <f t="shared" si="14"/>
        <v>-3.3463056546419762E-2</v>
      </c>
    </row>
    <row r="73" spans="1:15" x14ac:dyDescent="0.3">
      <c r="A73">
        <v>36861</v>
      </c>
      <c r="B73" s="7">
        <v>100.1</v>
      </c>
      <c r="C73">
        <f t="shared" si="15"/>
        <v>0.14409441471789322</v>
      </c>
      <c r="D73">
        <f t="shared" si="16"/>
        <v>-0.15958374620161425</v>
      </c>
      <c r="E73">
        <f t="shared" si="17"/>
        <v>0.14409441471789322</v>
      </c>
      <c r="F73">
        <f t="shared" si="18"/>
        <v>0.25797372506270583</v>
      </c>
      <c r="G73">
        <f t="shared" si="19"/>
        <v>0.14409441471789322</v>
      </c>
      <c r="H73">
        <f t="shared" si="20"/>
        <v>0.40981280552245419</v>
      </c>
      <c r="I73">
        <f t="shared" ref="I73:I136" si="21">($B73-AVERAGE($B$2:$B$349))*($B67-AVERAGE($B$2:$B$349))</f>
        <v>0.37185303540751846</v>
      </c>
      <c r="J73">
        <f t="shared" si="9"/>
        <v>0.40981280552245419</v>
      </c>
      <c r="K73">
        <f t="shared" si="10"/>
        <v>0.44777257563739531</v>
      </c>
      <c r="L73">
        <f t="shared" si="11"/>
        <v>0.59961165609714362</v>
      </c>
      <c r="M73">
        <f t="shared" si="12"/>
        <v>-0.4253021370061752</v>
      </c>
      <c r="N73">
        <f t="shared" si="13"/>
        <v>3.021510437307522E-2</v>
      </c>
      <c r="O73">
        <f t="shared" si="14"/>
        <v>-7.7446657418605196E-3</v>
      </c>
    </row>
    <row r="74" spans="1:15" x14ac:dyDescent="0.3">
      <c r="A74">
        <v>36892</v>
      </c>
      <c r="B74" s="7">
        <v>100.3</v>
      </c>
      <c r="C74">
        <f t="shared" si="15"/>
        <v>3.2255334258140617E-2</v>
      </c>
      <c r="D74">
        <f t="shared" si="16"/>
        <v>6.8174874488016346E-2</v>
      </c>
      <c r="E74">
        <f t="shared" si="17"/>
        <v>-7.5503286431486585E-2</v>
      </c>
      <c r="F74">
        <f t="shared" si="18"/>
        <v>6.8174874488016346E-2</v>
      </c>
      <c r="G74">
        <f t="shared" si="19"/>
        <v>0.12205418483282868</v>
      </c>
      <c r="H74">
        <f t="shared" si="20"/>
        <v>6.8174874488016346E-2</v>
      </c>
      <c r="I74">
        <f t="shared" si="21"/>
        <v>0.19389326529257758</v>
      </c>
      <c r="J74">
        <f t="shared" ref="J74:J137" si="22">($B74-AVERAGE($B$2:$B$349))*($B67-AVERAGE($B$2:$B$349))</f>
        <v>0.17593349517764101</v>
      </c>
      <c r="K74">
        <f t="shared" si="10"/>
        <v>0.19389326529257758</v>
      </c>
      <c r="L74">
        <f t="shared" si="11"/>
        <v>0.21185303540751674</v>
      </c>
      <c r="M74">
        <f t="shared" si="12"/>
        <v>0.28369211586726567</v>
      </c>
      <c r="N74">
        <f t="shared" si="13"/>
        <v>-0.20122167723604784</v>
      </c>
      <c r="O74">
        <f t="shared" si="14"/>
        <v>1.4295564143201473E-2</v>
      </c>
    </row>
    <row r="75" spans="1:15" x14ac:dyDescent="0.3">
      <c r="A75">
        <v>36923</v>
      </c>
      <c r="B75" s="7">
        <v>100.4</v>
      </c>
      <c r="C75">
        <f t="shared" si="15"/>
        <v>6.3357940282640357E-3</v>
      </c>
      <c r="D75">
        <f t="shared" si="16"/>
        <v>1.4295564143201473E-2</v>
      </c>
      <c r="E75">
        <f t="shared" si="17"/>
        <v>3.021510437307522E-2</v>
      </c>
      <c r="F75">
        <f t="shared" si="18"/>
        <v>-3.3463056546419762E-2</v>
      </c>
      <c r="G75">
        <f t="shared" si="19"/>
        <v>3.021510437307522E-2</v>
      </c>
      <c r="H75">
        <f t="shared" si="20"/>
        <v>5.4094414717885272E-2</v>
      </c>
      <c r="I75">
        <f t="shared" si="21"/>
        <v>3.021510437307522E-2</v>
      </c>
      <c r="J75">
        <f t="shared" si="22"/>
        <v>8.593349517763163E-2</v>
      </c>
      <c r="K75">
        <f t="shared" ref="K75:K138" si="23">($B75-AVERAGE($B$2:$B$349))*($B67-AVERAGE($B$2:$B$349))</f>
        <v>7.7973725062695329E-2</v>
      </c>
      <c r="L75">
        <f t="shared" si="11"/>
        <v>8.593349517763163E-2</v>
      </c>
      <c r="M75">
        <f t="shared" si="12"/>
        <v>9.389326529256907E-2</v>
      </c>
      <c r="N75">
        <f t="shared" si="13"/>
        <v>0.12573234575231543</v>
      </c>
      <c r="O75">
        <f t="shared" si="14"/>
        <v>-8.9181447350976176E-2</v>
      </c>
    </row>
    <row r="76" spans="1:15" x14ac:dyDescent="0.3">
      <c r="A76">
        <v>36951</v>
      </c>
      <c r="B76" s="7">
        <v>99.3</v>
      </c>
      <c r="C76">
        <f t="shared" si="15"/>
        <v>1.3914507365568929</v>
      </c>
      <c r="D76">
        <f t="shared" si="16"/>
        <v>9.389326529256907E-2</v>
      </c>
      <c r="E76">
        <f t="shared" si="17"/>
        <v>0.21185303540751674</v>
      </c>
      <c r="F76">
        <f t="shared" si="18"/>
        <v>0.44777257563739531</v>
      </c>
      <c r="G76">
        <f t="shared" si="19"/>
        <v>-0.49590558528211898</v>
      </c>
      <c r="H76">
        <f t="shared" si="20"/>
        <v>0.44777257563739531</v>
      </c>
      <c r="I76">
        <f t="shared" si="21"/>
        <v>0.80165188598220483</v>
      </c>
      <c r="J76">
        <f t="shared" si="22"/>
        <v>0.44777257563739531</v>
      </c>
      <c r="K76">
        <f t="shared" si="23"/>
        <v>1.2734909664419451</v>
      </c>
      <c r="L76">
        <f t="shared" ref="L76:L139" si="24">($B76-AVERAGE($B$2:$B$349))*($B67-AVERAGE($B$2:$B$349))</f>
        <v>1.1555311963270143</v>
      </c>
      <c r="M76">
        <f t="shared" si="12"/>
        <v>1.2734909664419451</v>
      </c>
      <c r="N76">
        <f t="shared" si="13"/>
        <v>1.3914507365568929</v>
      </c>
      <c r="O76">
        <f t="shared" si="14"/>
        <v>1.8632898170166332</v>
      </c>
    </row>
    <row r="77" spans="1:15" x14ac:dyDescent="0.3">
      <c r="A77">
        <v>36982</v>
      </c>
      <c r="B77" s="7">
        <v>99.5</v>
      </c>
      <c r="C77">
        <f t="shared" si="15"/>
        <v>0.95961165609713683</v>
      </c>
      <c r="D77">
        <f t="shared" si="16"/>
        <v>1.1555311963270143</v>
      </c>
      <c r="E77">
        <f t="shared" si="17"/>
        <v>7.7973725062695329E-2</v>
      </c>
      <c r="F77">
        <f t="shared" si="18"/>
        <v>0.17593349517764101</v>
      </c>
      <c r="G77">
        <f t="shared" si="19"/>
        <v>0.37185303540751846</v>
      </c>
      <c r="H77">
        <f t="shared" si="20"/>
        <v>-0.4118251255119913</v>
      </c>
      <c r="I77">
        <f t="shared" si="21"/>
        <v>0.37185303540751846</v>
      </c>
      <c r="J77">
        <f t="shared" si="22"/>
        <v>0.66573234575232765</v>
      </c>
      <c r="K77">
        <f t="shared" si="23"/>
        <v>0.37185303540751846</v>
      </c>
      <c r="L77">
        <f t="shared" si="24"/>
        <v>1.0575714262120686</v>
      </c>
      <c r="M77">
        <f t="shared" ref="M77:M140" si="25">($B77-AVERAGE($B$2:$B$349))*($B67-AVERAGE($B$2:$B$349))</f>
        <v>0.95961165609713683</v>
      </c>
      <c r="N77">
        <f t="shared" si="13"/>
        <v>1.0575714262120686</v>
      </c>
      <c r="O77">
        <f t="shared" si="14"/>
        <v>1.1555311963270143</v>
      </c>
    </row>
    <row r="78" spans="1:15" x14ac:dyDescent="0.3">
      <c r="A78">
        <v>37012</v>
      </c>
      <c r="B78" s="7">
        <v>99.8</v>
      </c>
      <c r="C78">
        <f t="shared" si="15"/>
        <v>0.46185303540751677</v>
      </c>
      <c r="D78">
        <f t="shared" si="16"/>
        <v>0.66573234575232765</v>
      </c>
      <c r="E78">
        <f t="shared" si="17"/>
        <v>0.80165188598220483</v>
      </c>
      <c r="F78">
        <f t="shared" si="18"/>
        <v>5.4094414717885272E-2</v>
      </c>
      <c r="G78">
        <f t="shared" si="19"/>
        <v>0.12205418483282868</v>
      </c>
      <c r="H78">
        <f t="shared" si="20"/>
        <v>0.25797372506270583</v>
      </c>
      <c r="I78">
        <f t="shared" si="21"/>
        <v>-0.28570443585680277</v>
      </c>
      <c r="J78">
        <f t="shared" si="22"/>
        <v>0.25797372506270583</v>
      </c>
      <c r="K78">
        <f t="shared" si="23"/>
        <v>0.46185303540751677</v>
      </c>
      <c r="L78">
        <f t="shared" si="24"/>
        <v>0.25797372506270583</v>
      </c>
      <c r="M78">
        <f t="shared" si="25"/>
        <v>0.73369211586726135</v>
      </c>
      <c r="N78">
        <f t="shared" ref="N78:N141" si="26">($B78-AVERAGE($B$2:$B$349))*($B67-AVERAGE($B$2:$B$349))</f>
        <v>0.66573234575232765</v>
      </c>
      <c r="O78">
        <f t="shared" si="14"/>
        <v>0.73369211586726135</v>
      </c>
    </row>
    <row r="79" spans="1:15" x14ac:dyDescent="0.3">
      <c r="A79">
        <v>37043</v>
      </c>
      <c r="B79" s="7">
        <v>100</v>
      </c>
      <c r="C79">
        <f t="shared" si="15"/>
        <v>0.23001395494776355</v>
      </c>
      <c r="D79">
        <f t="shared" si="16"/>
        <v>0.32593349517763959</v>
      </c>
      <c r="E79">
        <f t="shared" si="17"/>
        <v>0.46981280552245019</v>
      </c>
      <c r="F79">
        <f t="shared" si="18"/>
        <v>0.56573234575232623</v>
      </c>
      <c r="G79">
        <f t="shared" si="19"/>
        <v>3.8174874488011525E-2</v>
      </c>
      <c r="H79">
        <f t="shared" si="20"/>
        <v>8.6134644602952948E-2</v>
      </c>
      <c r="I79">
        <f t="shared" si="21"/>
        <v>0.18205418483282895</v>
      </c>
      <c r="J79">
        <f t="shared" si="22"/>
        <v>-0.20162397608667512</v>
      </c>
      <c r="K79">
        <f t="shared" si="23"/>
        <v>0.18205418483282895</v>
      </c>
      <c r="L79">
        <f t="shared" si="24"/>
        <v>0.32593349517763959</v>
      </c>
      <c r="M79">
        <f t="shared" si="25"/>
        <v>0.18205418483282895</v>
      </c>
      <c r="N79">
        <f t="shared" si="26"/>
        <v>0.51777257563738477</v>
      </c>
      <c r="O79">
        <f t="shared" ref="O79:O142" si="27">($B79-AVERAGE($B$2:$B$349))*($B67-AVERAGE($B$2:$B$349))</f>
        <v>0.46981280552245019</v>
      </c>
    </row>
    <row r="80" spans="1:15" x14ac:dyDescent="0.3">
      <c r="A80">
        <v>37073</v>
      </c>
      <c r="B80" s="7">
        <v>99.8</v>
      </c>
      <c r="C80">
        <f t="shared" si="15"/>
        <v>0.46185303540751677</v>
      </c>
      <c r="D80">
        <f t="shared" si="16"/>
        <v>0.32593349517763959</v>
      </c>
      <c r="E80">
        <f t="shared" si="17"/>
        <v>0.46185303540751677</v>
      </c>
      <c r="F80">
        <f t="shared" si="18"/>
        <v>0.66573234575232765</v>
      </c>
      <c r="G80">
        <f t="shared" si="19"/>
        <v>0.80165188598220483</v>
      </c>
      <c r="H80">
        <f t="shared" si="20"/>
        <v>5.4094414717885272E-2</v>
      </c>
      <c r="I80">
        <f t="shared" si="21"/>
        <v>0.12205418483282868</v>
      </c>
      <c r="J80">
        <f t="shared" si="22"/>
        <v>0.25797372506270583</v>
      </c>
      <c r="K80">
        <f t="shared" si="23"/>
        <v>-0.28570443585680277</v>
      </c>
      <c r="L80">
        <f t="shared" si="24"/>
        <v>0.25797372506270583</v>
      </c>
      <c r="M80">
        <f t="shared" si="25"/>
        <v>0.46185303540751677</v>
      </c>
      <c r="N80">
        <f t="shared" si="26"/>
        <v>0.25797372506270583</v>
      </c>
      <c r="O80">
        <f t="shared" si="27"/>
        <v>0.73369211586726135</v>
      </c>
    </row>
    <row r="81" spans="1:15" x14ac:dyDescent="0.3">
      <c r="A81">
        <v>37104</v>
      </c>
      <c r="B81" s="7">
        <v>100</v>
      </c>
      <c r="C81">
        <f t="shared" si="15"/>
        <v>0.23001395494776355</v>
      </c>
      <c r="D81">
        <f t="shared" si="16"/>
        <v>0.32593349517763959</v>
      </c>
      <c r="E81">
        <f t="shared" si="17"/>
        <v>0.23001395494776355</v>
      </c>
      <c r="F81">
        <f t="shared" si="18"/>
        <v>0.32593349517763959</v>
      </c>
      <c r="G81">
        <f t="shared" si="19"/>
        <v>0.46981280552245019</v>
      </c>
      <c r="H81">
        <f t="shared" si="20"/>
        <v>0.56573234575232623</v>
      </c>
      <c r="I81">
        <f t="shared" si="21"/>
        <v>3.8174874488011525E-2</v>
      </c>
      <c r="J81">
        <f t="shared" si="22"/>
        <v>8.6134644602952948E-2</v>
      </c>
      <c r="K81">
        <f t="shared" si="23"/>
        <v>0.18205418483282895</v>
      </c>
      <c r="L81">
        <f t="shared" si="24"/>
        <v>-0.20162397608667512</v>
      </c>
      <c r="M81">
        <f t="shared" si="25"/>
        <v>0.18205418483282895</v>
      </c>
      <c r="N81">
        <f t="shared" si="26"/>
        <v>0.32593349517763959</v>
      </c>
      <c r="O81">
        <f t="shared" si="27"/>
        <v>0.18205418483282895</v>
      </c>
    </row>
    <row r="82" spans="1:15" x14ac:dyDescent="0.3">
      <c r="A82">
        <v>37135</v>
      </c>
      <c r="B82" s="7">
        <v>100.5</v>
      </c>
      <c r="C82">
        <f t="shared" si="15"/>
        <v>4.1625379839028444E-4</v>
      </c>
      <c r="D82">
        <f t="shared" si="16"/>
        <v>-9.784895626923076E-3</v>
      </c>
      <c r="E82">
        <f t="shared" si="17"/>
        <v>-1.3865355397048479E-2</v>
      </c>
      <c r="F82">
        <f t="shared" si="18"/>
        <v>-9.784895626923076E-3</v>
      </c>
      <c r="G82">
        <f t="shared" si="19"/>
        <v>-1.3865355397048479E-2</v>
      </c>
      <c r="H82">
        <f t="shared" si="20"/>
        <v>-1.9986045052236438E-2</v>
      </c>
      <c r="I82">
        <f t="shared" si="21"/>
        <v>-2.4066504822361837E-2</v>
      </c>
      <c r="J82">
        <f t="shared" si="22"/>
        <v>-1.6239760866722716E-3</v>
      </c>
      <c r="K82">
        <f t="shared" si="23"/>
        <v>-3.664205971735118E-3</v>
      </c>
      <c r="L82">
        <f t="shared" si="24"/>
        <v>-7.7446657418605196E-3</v>
      </c>
      <c r="M82">
        <f t="shared" si="25"/>
        <v>8.5771733386410896E-3</v>
      </c>
      <c r="N82">
        <f t="shared" si="26"/>
        <v>-7.7446657418605196E-3</v>
      </c>
      <c r="O82">
        <f t="shared" si="27"/>
        <v>-1.3865355397048479E-2</v>
      </c>
    </row>
    <row r="83" spans="1:15" x14ac:dyDescent="0.3">
      <c r="A83">
        <v>37165</v>
      </c>
      <c r="B83" s="7">
        <v>100</v>
      </c>
      <c r="C83">
        <f t="shared" si="15"/>
        <v>0.23001395494776355</v>
      </c>
      <c r="D83">
        <f t="shared" si="16"/>
        <v>-9.784895626923076E-3</v>
      </c>
      <c r="E83">
        <f t="shared" si="17"/>
        <v>0.23001395494776355</v>
      </c>
      <c r="F83">
        <f t="shared" si="18"/>
        <v>0.32593349517763959</v>
      </c>
      <c r="G83">
        <f t="shared" si="19"/>
        <v>0.23001395494776355</v>
      </c>
      <c r="H83">
        <f t="shared" si="20"/>
        <v>0.32593349517763959</v>
      </c>
      <c r="I83">
        <f t="shared" si="21"/>
        <v>0.46981280552245019</v>
      </c>
      <c r="J83">
        <f t="shared" si="22"/>
        <v>0.56573234575232623</v>
      </c>
      <c r="K83">
        <f t="shared" si="23"/>
        <v>3.8174874488011525E-2</v>
      </c>
      <c r="L83">
        <f t="shared" si="24"/>
        <v>8.6134644602952948E-2</v>
      </c>
      <c r="M83">
        <f t="shared" si="25"/>
        <v>0.18205418483282895</v>
      </c>
      <c r="N83">
        <f t="shared" si="26"/>
        <v>-0.20162397608667512</v>
      </c>
      <c r="O83">
        <f t="shared" si="27"/>
        <v>0.18205418483282895</v>
      </c>
    </row>
    <row r="84" spans="1:15" x14ac:dyDescent="0.3">
      <c r="A84">
        <v>37196</v>
      </c>
      <c r="B84" s="7">
        <v>100.2</v>
      </c>
      <c r="C84">
        <f t="shared" si="15"/>
        <v>7.8174874488012663E-2</v>
      </c>
      <c r="D84">
        <f t="shared" si="16"/>
        <v>0.13409441471788755</v>
      </c>
      <c r="E84">
        <f t="shared" si="17"/>
        <v>-5.7044358567976735E-3</v>
      </c>
      <c r="F84">
        <f t="shared" si="18"/>
        <v>0.13409441471788755</v>
      </c>
      <c r="G84">
        <f t="shared" si="19"/>
        <v>0.19001395494776244</v>
      </c>
      <c r="H84">
        <f t="shared" si="20"/>
        <v>0.13409441471788755</v>
      </c>
      <c r="I84">
        <f t="shared" si="21"/>
        <v>0.19001395494776244</v>
      </c>
      <c r="J84">
        <f t="shared" si="22"/>
        <v>0.27389326529257274</v>
      </c>
      <c r="K84">
        <f t="shared" si="23"/>
        <v>0.32981280552244763</v>
      </c>
      <c r="L84">
        <f t="shared" si="24"/>
        <v>2.225533425813778E-2</v>
      </c>
      <c r="M84">
        <f t="shared" si="25"/>
        <v>5.0215104373077211E-2</v>
      </c>
      <c r="N84">
        <f t="shared" si="26"/>
        <v>0.10613464460295209</v>
      </c>
      <c r="O84">
        <f t="shared" si="27"/>
        <v>-0.11754351631654744</v>
      </c>
    </row>
    <row r="85" spans="1:15" x14ac:dyDescent="0.3">
      <c r="A85">
        <v>37226</v>
      </c>
      <c r="B85" s="7">
        <v>101</v>
      </c>
      <c r="C85">
        <f t="shared" si="15"/>
        <v>0.270818552649017</v>
      </c>
      <c r="D85">
        <f t="shared" si="16"/>
        <v>-0.14550328643148289</v>
      </c>
      <c r="E85">
        <f t="shared" si="17"/>
        <v>-0.24958374620160972</v>
      </c>
      <c r="F85">
        <f t="shared" si="18"/>
        <v>1.0617403223703645E-2</v>
      </c>
      <c r="G85">
        <f t="shared" si="19"/>
        <v>-0.24958374620160972</v>
      </c>
      <c r="H85">
        <f t="shared" si="20"/>
        <v>-0.35366420597173653</v>
      </c>
      <c r="I85">
        <f t="shared" si="21"/>
        <v>-0.24958374620160972</v>
      </c>
      <c r="J85">
        <f t="shared" si="22"/>
        <v>-0.35366420597173653</v>
      </c>
      <c r="K85">
        <f t="shared" si="23"/>
        <v>-0.50978489562692308</v>
      </c>
      <c r="L85">
        <f t="shared" si="24"/>
        <v>-0.61386535539704989</v>
      </c>
      <c r="M85">
        <f t="shared" si="25"/>
        <v>-4.142282666135607E-2</v>
      </c>
      <c r="N85">
        <f t="shared" si="26"/>
        <v>-9.3463056546423173E-2</v>
      </c>
      <c r="O85">
        <f t="shared" si="27"/>
        <v>-0.19754351631655001</v>
      </c>
    </row>
    <row r="86" spans="1:15" x14ac:dyDescent="0.3">
      <c r="A86">
        <v>37257</v>
      </c>
      <c r="B86" s="7">
        <v>101.1</v>
      </c>
      <c r="C86">
        <f t="shared" si="15"/>
        <v>0.38489901241913532</v>
      </c>
      <c r="D86">
        <f t="shared" si="16"/>
        <v>0.32285878253407674</v>
      </c>
      <c r="E86">
        <f t="shared" si="17"/>
        <v>-0.17346305654641836</v>
      </c>
      <c r="F86">
        <f t="shared" si="18"/>
        <v>-0.2975435163165443</v>
      </c>
      <c r="G86">
        <f t="shared" si="19"/>
        <v>1.2657633108766201E-2</v>
      </c>
      <c r="H86">
        <f t="shared" si="20"/>
        <v>-0.2975435163165443</v>
      </c>
      <c r="I86">
        <f t="shared" si="21"/>
        <v>-0.42162397608667029</v>
      </c>
      <c r="J86">
        <f t="shared" si="22"/>
        <v>-0.2975435163165443</v>
      </c>
      <c r="K86">
        <f t="shared" si="23"/>
        <v>-0.42162397608667029</v>
      </c>
      <c r="L86">
        <f t="shared" si="24"/>
        <v>-0.60774466574185482</v>
      </c>
      <c r="M86">
        <f t="shared" si="25"/>
        <v>-0.73182512551198076</v>
      </c>
      <c r="N86">
        <f t="shared" si="26"/>
        <v>-4.9382596776292378E-2</v>
      </c>
      <c r="O86">
        <f t="shared" si="27"/>
        <v>-0.11142282666135978</v>
      </c>
    </row>
    <row r="87" spans="1:15" x14ac:dyDescent="0.3">
      <c r="A87">
        <v>37288</v>
      </c>
      <c r="B87" s="7">
        <v>102.2</v>
      </c>
      <c r="C87">
        <f t="shared" si="15"/>
        <v>2.9597840698905311</v>
      </c>
      <c r="D87">
        <f t="shared" si="16"/>
        <v>1.0673415411548237</v>
      </c>
      <c r="E87">
        <f t="shared" si="17"/>
        <v>0.89530131126977053</v>
      </c>
      <c r="F87">
        <f t="shared" si="18"/>
        <v>-0.48102052781072824</v>
      </c>
      <c r="G87">
        <f t="shared" si="19"/>
        <v>-0.82510098758085904</v>
      </c>
      <c r="H87">
        <f t="shared" si="20"/>
        <v>3.5100161844455767E-2</v>
      </c>
      <c r="I87">
        <f t="shared" si="21"/>
        <v>-0.82510098758085904</v>
      </c>
      <c r="J87">
        <f t="shared" si="22"/>
        <v>-1.1691814473509898</v>
      </c>
      <c r="K87">
        <f t="shared" si="23"/>
        <v>-0.82510098758085904</v>
      </c>
      <c r="L87">
        <f t="shared" si="24"/>
        <v>-1.1691814473509898</v>
      </c>
      <c r="M87">
        <f t="shared" si="25"/>
        <v>-1.6853021370061738</v>
      </c>
      <c r="N87">
        <f t="shared" si="26"/>
        <v>-2.0293825967763044</v>
      </c>
      <c r="O87">
        <f t="shared" si="27"/>
        <v>-0.13694006804059741</v>
      </c>
    </row>
    <row r="88" spans="1:15" x14ac:dyDescent="0.3">
      <c r="A88">
        <v>37316</v>
      </c>
      <c r="B88" s="7">
        <v>99.2</v>
      </c>
      <c r="C88">
        <f t="shared" si="15"/>
        <v>1.6373702767867535</v>
      </c>
      <c r="D88">
        <f t="shared" si="16"/>
        <v>-2.2014228266613576</v>
      </c>
      <c r="E88">
        <f t="shared" si="17"/>
        <v>-0.7938653553970394</v>
      </c>
      <c r="F88">
        <f t="shared" si="18"/>
        <v>-0.66590558528210964</v>
      </c>
      <c r="G88">
        <f t="shared" si="19"/>
        <v>0.35777257563738307</v>
      </c>
      <c r="H88">
        <f t="shared" si="20"/>
        <v>0.6136921158672608</v>
      </c>
      <c r="I88">
        <f t="shared" si="21"/>
        <v>-2.6106734707424396E-2</v>
      </c>
      <c r="J88">
        <f t="shared" si="22"/>
        <v>0.6136921158672608</v>
      </c>
      <c r="K88">
        <f t="shared" si="23"/>
        <v>0.86961165609713853</v>
      </c>
      <c r="L88">
        <f t="shared" si="24"/>
        <v>0.6136921158672608</v>
      </c>
      <c r="M88">
        <f t="shared" si="25"/>
        <v>0.86961165609713853</v>
      </c>
      <c r="N88">
        <f t="shared" si="26"/>
        <v>1.253490966441946</v>
      </c>
      <c r="O88">
        <f t="shared" si="27"/>
        <v>1.5094105066718237</v>
      </c>
    </row>
    <row r="89" spans="1:15" x14ac:dyDescent="0.3">
      <c r="A89">
        <v>37347</v>
      </c>
      <c r="B89" s="7">
        <v>100</v>
      </c>
      <c r="C89">
        <f t="shared" si="15"/>
        <v>0.23001395494776355</v>
      </c>
      <c r="D89">
        <f t="shared" si="16"/>
        <v>0.6136921158672608</v>
      </c>
      <c r="E89">
        <f t="shared" si="17"/>
        <v>-0.82510098758085904</v>
      </c>
      <c r="F89">
        <f t="shared" si="18"/>
        <v>-0.2975435163165443</v>
      </c>
      <c r="G89">
        <f t="shared" si="19"/>
        <v>-0.24958374620160972</v>
      </c>
      <c r="H89">
        <f t="shared" si="20"/>
        <v>0.13409441471788755</v>
      </c>
      <c r="I89">
        <f t="shared" si="21"/>
        <v>0.23001395494776355</v>
      </c>
      <c r="J89">
        <f t="shared" si="22"/>
        <v>-9.784895626923076E-3</v>
      </c>
      <c r="K89">
        <f t="shared" si="23"/>
        <v>0.23001395494776355</v>
      </c>
      <c r="L89">
        <f t="shared" si="24"/>
        <v>0.32593349517763959</v>
      </c>
      <c r="M89">
        <f t="shared" si="25"/>
        <v>0.23001395494776355</v>
      </c>
      <c r="N89">
        <f t="shared" si="26"/>
        <v>0.32593349517763959</v>
      </c>
      <c r="O89">
        <f t="shared" si="27"/>
        <v>0.46981280552245019</v>
      </c>
    </row>
    <row r="90" spans="1:15" x14ac:dyDescent="0.3">
      <c r="A90">
        <v>37377</v>
      </c>
      <c r="B90" s="7">
        <v>100.3</v>
      </c>
      <c r="C90">
        <f t="shared" si="15"/>
        <v>3.2255334258140617E-2</v>
      </c>
      <c r="D90">
        <f t="shared" si="16"/>
        <v>8.6134644602952948E-2</v>
      </c>
      <c r="E90">
        <f t="shared" si="17"/>
        <v>0.22981280552245334</v>
      </c>
      <c r="F90">
        <f t="shared" si="18"/>
        <v>-0.30898029792567505</v>
      </c>
      <c r="G90">
        <f t="shared" si="19"/>
        <v>-0.11142282666135978</v>
      </c>
      <c r="H90">
        <f t="shared" si="20"/>
        <v>-9.3463056546423173E-2</v>
      </c>
      <c r="I90">
        <f t="shared" si="21"/>
        <v>5.0215104373077211E-2</v>
      </c>
      <c r="J90">
        <f t="shared" si="22"/>
        <v>8.6134644602952948E-2</v>
      </c>
      <c r="K90">
        <f t="shared" si="23"/>
        <v>-3.664205971735118E-3</v>
      </c>
      <c r="L90">
        <f t="shared" si="24"/>
        <v>8.6134644602952948E-2</v>
      </c>
      <c r="M90">
        <f t="shared" si="25"/>
        <v>0.12205418483282868</v>
      </c>
      <c r="N90">
        <f t="shared" si="26"/>
        <v>8.6134644602952948E-2</v>
      </c>
      <c r="O90">
        <f t="shared" si="27"/>
        <v>0.12205418483282868</v>
      </c>
    </row>
    <row r="91" spans="1:15" x14ac:dyDescent="0.3">
      <c r="A91">
        <v>37408</v>
      </c>
      <c r="B91" s="7">
        <v>100.1</v>
      </c>
      <c r="C91">
        <f t="shared" si="15"/>
        <v>0.14409441471789322</v>
      </c>
      <c r="D91">
        <f t="shared" si="16"/>
        <v>6.8174874488016346E-2</v>
      </c>
      <c r="E91">
        <f t="shared" si="17"/>
        <v>0.18205418483282895</v>
      </c>
      <c r="F91">
        <f t="shared" si="18"/>
        <v>0.48573234575233104</v>
      </c>
      <c r="G91">
        <f t="shared" si="19"/>
        <v>-0.65306075769580585</v>
      </c>
      <c r="H91">
        <f t="shared" si="20"/>
        <v>-0.23550328643148574</v>
      </c>
      <c r="I91">
        <f t="shared" si="21"/>
        <v>-0.19754351631655001</v>
      </c>
      <c r="J91">
        <f t="shared" si="22"/>
        <v>0.10613464460295209</v>
      </c>
      <c r="K91">
        <f t="shared" si="23"/>
        <v>0.18205418483282895</v>
      </c>
      <c r="L91">
        <f t="shared" si="24"/>
        <v>-7.7446657418605196E-3</v>
      </c>
      <c r="M91">
        <f t="shared" si="25"/>
        <v>0.18205418483282895</v>
      </c>
      <c r="N91">
        <f t="shared" si="26"/>
        <v>0.25797372506270583</v>
      </c>
      <c r="O91">
        <f t="shared" si="27"/>
        <v>0.18205418483282895</v>
      </c>
    </row>
    <row r="92" spans="1:15" x14ac:dyDescent="0.3">
      <c r="A92">
        <v>37438</v>
      </c>
      <c r="B92" s="7">
        <v>99.9</v>
      </c>
      <c r="C92">
        <f t="shared" si="15"/>
        <v>0.3359334951776316</v>
      </c>
      <c r="D92">
        <f t="shared" si="16"/>
        <v>0.22001395494776471</v>
      </c>
      <c r="E92">
        <f t="shared" si="17"/>
        <v>0.10409441471788954</v>
      </c>
      <c r="F92">
        <f t="shared" si="18"/>
        <v>0.27797372506269818</v>
      </c>
      <c r="G92">
        <f t="shared" si="19"/>
        <v>0.74165188598219056</v>
      </c>
      <c r="H92">
        <f t="shared" si="20"/>
        <v>-0.99714121746591222</v>
      </c>
      <c r="I92">
        <f t="shared" si="21"/>
        <v>-0.35958374620160288</v>
      </c>
      <c r="J92">
        <f t="shared" si="22"/>
        <v>-0.30162397608666941</v>
      </c>
      <c r="K92">
        <f t="shared" si="23"/>
        <v>0.162054184832823</v>
      </c>
      <c r="L92">
        <f t="shared" si="24"/>
        <v>0.27797372506269818</v>
      </c>
      <c r="M92">
        <f t="shared" si="25"/>
        <v>-1.1825125511985632E-2</v>
      </c>
      <c r="N92">
        <f t="shared" si="26"/>
        <v>0.27797372506269818</v>
      </c>
      <c r="O92">
        <f t="shared" si="27"/>
        <v>0.39389326529257335</v>
      </c>
    </row>
    <row r="93" spans="1:15" x14ac:dyDescent="0.3">
      <c r="A93">
        <v>37469</v>
      </c>
      <c r="B93" s="7">
        <v>100.1</v>
      </c>
      <c r="C93">
        <f t="shared" si="15"/>
        <v>0.14409441471789322</v>
      </c>
      <c r="D93">
        <f t="shared" si="16"/>
        <v>0.22001395494776471</v>
      </c>
      <c r="E93">
        <f t="shared" si="17"/>
        <v>0.14409441471789322</v>
      </c>
      <c r="F93">
        <f t="shared" si="18"/>
        <v>6.8174874488016346E-2</v>
      </c>
      <c r="G93">
        <f t="shared" si="19"/>
        <v>0.18205418483282895</v>
      </c>
      <c r="H93">
        <f t="shared" si="20"/>
        <v>0.48573234575233104</v>
      </c>
      <c r="I93">
        <f t="shared" si="21"/>
        <v>-0.65306075769580585</v>
      </c>
      <c r="J93">
        <f t="shared" si="22"/>
        <v>-0.23550328643148574</v>
      </c>
      <c r="K93">
        <f t="shared" si="23"/>
        <v>-0.19754351631655001</v>
      </c>
      <c r="L93">
        <f t="shared" si="24"/>
        <v>0.10613464460295209</v>
      </c>
      <c r="M93">
        <f t="shared" si="25"/>
        <v>0.18205418483282895</v>
      </c>
      <c r="N93">
        <f t="shared" si="26"/>
        <v>-7.7446657418605196E-3</v>
      </c>
      <c r="O93">
        <f t="shared" si="27"/>
        <v>0.18205418483282895</v>
      </c>
    </row>
    <row r="94" spans="1:15" x14ac:dyDescent="0.3">
      <c r="A94">
        <v>37500</v>
      </c>
      <c r="B94" s="7">
        <v>100.2</v>
      </c>
      <c r="C94">
        <f t="shared" si="15"/>
        <v>7.8174874488012663E-2</v>
      </c>
      <c r="D94">
        <f t="shared" si="16"/>
        <v>0.10613464460295209</v>
      </c>
      <c r="E94">
        <f t="shared" si="17"/>
        <v>0.162054184832823</v>
      </c>
      <c r="F94">
        <f t="shared" si="18"/>
        <v>0.10613464460295209</v>
      </c>
      <c r="G94">
        <f t="shared" si="19"/>
        <v>5.0215104373077211E-2</v>
      </c>
      <c r="H94">
        <f t="shared" si="20"/>
        <v>0.13409441471788755</v>
      </c>
      <c r="I94">
        <f t="shared" si="21"/>
        <v>0.35777257563738307</v>
      </c>
      <c r="J94">
        <f t="shared" si="22"/>
        <v>-0.48102052781072824</v>
      </c>
      <c r="K94">
        <f t="shared" si="23"/>
        <v>-0.17346305654641836</v>
      </c>
      <c r="L94">
        <f t="shared" si="24"/>
        <v>-0.14550328643148289</v>
      </c>
      <c r="M94">
        <f t="shared" si="25"/>
        <v>7.8174874488012663E-2</v>
      </c>
      <c r="N94">
        <f t="shared" si="26"/>
        <v>0.13409441471788755</v>
      </c>
      <c r="O94">
        <f t="shared" si="27"/>
        <v>-5.7044358567976735E-3</v>
      </c>
    </row>
    <row r="95" spans="1:15" x14ac:dyDescent="0.3">
      <c r="A95">
        <v>37530</v>
      </c>
      <c r="B95" s="7">
        <v>100.3</v>
      </c>
      <c r="C95">
        <f t="shared" si="15"/>
        <v>3.2255334258140617E-2</v>
      </c>
      <c r="D95">
        <f t="shared" si="16"/>
        <v>5.0215104373077211E-2</v>
      </c>
      <c r="E95">
        <f t="shared" si="17"/>
        <v>6.8174874488016346E-2</v>
      </c>
      <c r="F95">
        <f t="shared" si="18"/>
        <v>0.10409441471788954</v>
      </c>
      <c r="G95">
        <f t="shared" si="19"/>
        <v>6.8174874488016346E-2</v>
      </c>
      <c r="H95">
        <f t="shared" si="20"/>
        <v>3.2255334258140617E-2</v>
      </c>
      <c r="I95">
        <f t="shared" si="21"/>
        <v>8.6134644602952948E-2</v>
      </c>
      <c r="J95">
        <f t="shared" si="22"/>
        <v>0.22981280552245334</v>
      </c>
      <c r="K95">
        <f t="shared" si="23"/>
        <v>-0.30898029792567505</v>
      </c>
      <c r="L95">
        <f t="shared" si="24"/>
        <v>-0.11142282666135978</v>
      </c>
      <c r="M95">
        <f t="shared" si="25"/>
        <v>-9.3463056546423173E-2</v>
      </c>
      <c r="N95">
        <f t="shared" si="26"/>
        <v>5.0215104373077211E-2</v>
      </c>
      <c r="O95">
        <f t="shared" si="27"/>
        <v>8.6134644602952948E-2</v>
      </c>
    </row>
    <row r="96" spans="1:15" x14ac:dyDescent="0.3">
      <c r="A96">
        <v>37561</v>
      </c>
      <c r="B96" s="7">
        <v>100.3</v>
      </c>
      <c r="C96">
        <f t="shared" si="15"/>
        <v>3.2255334258140617E-2</v>
      </c>
      <c r="D96">
        <f t="shared" si="16"/>
        <v>3.2255334258140617E-2</v>
      </c>
      <c r="E96">
        <f t="shared" si="17"/>
        <v>5.0215104373077211E-2</v>
      </c>
      <c r="F96">
        <f t="shared" si="18"/>
        <v>6.8174874488016346E-2</v>
      </c>
      <c r="G96">
        <f t="shared" si="19"/>
        <v>0.10409441471788954</v>
      </c>
      <c r="H96">
        <f t="shared" si="20"/>
        <v>6.8174874488016346E-2</v>
      </c>
      <c r="I96">
        <f t="shared" si="21"/>
        <v>3.2255334258140617E-2</v>
      </c>
      <c r="J96">
        <f t="shared" si="22"/>
        <v>8.6134644602952948E-2</v>
      </c>
      <c r="K96">
        <f t="shared" si="23"/>
        <v>0.22981280552245334</v>
      </c>
      <c r="L96">
        <f t="shared" si="24"/>
        <v>-0.30898029792567505</v>
      </c>
      <c r="M96">
        <f t="shared" si="25"/>
        <v>-0.11142282666135978</v>
      </c>
      <c r="N96">
        <f t="shared" si="26"/>
        <v>-9.3463056546423173E-2</v>
      </c>
      <c r="O96">
        <f t="shared" si="27"/>
        <v>5.0215104373077211E-2</v>
      </c>
    </row>
    <row r="97" spans="1:15" x14ac:dyDescent="0.3">
      <c r="A97">
        <v>37591</v>
      </c>
      <c r="B97" s="7">
        <v>100.3</v>
      </c>
      <c r="C97">
        <f t="shared" si="15"/>
        <v>3.2255334258140617E-2</v>
      </c>
      <c r="D97">
        <f t="shared" si="16"/>
        <v>3.2255334258140617E-2</v>
      </c>
      <c r="E97">
        <f t="shared" si="17"/>
        <v>3.2255334258140617E-2</v>
      </c>
      <c r="F97">
        <f t="shared" si="18"/>
        <v>5.0215104373077211E-2</v>
      </c>
      <c r="G97">
        <f t="shared" si="19"/>
        <v>6.8174874488016346E-2</v>
      </c>
      <c r="H97">
        <f t="shared" si="20"/>
        <v>0.10409441471788954</v>
      </c>
      <c r="I97">
        <f t="shared" si="21"/>
        <v>6.8174874488016346E-2</v>
      </c>
      <c r="J97">
        <f t="shared" si="22"/>
        <v>3.2255334258140617E-2</v>
      </c>
      <c r="K97">
        <f t="shared" si="23"/>
        <v>8.6134644602952948E-2</v>
      </c>
      <c r="L97">
        <f t="shared" si="24"/>
        <v>0.22981280552245334</v>
      </c>
      <c r="M97">
        <f t="shared" si="25"/>
        <v>-0.30898029792567505</v>
      </c>
      <c r="N97">
        <f t="shared" si="26"/>
        <v>-0.11142282666135978</v>
      </c>
      <c r="O97">
        <f t="shared" si="27"/>
        <v>-9.3463056546423173E-2</v>
      </c>
    </row>
    <row r="98" spans="1:15" x14ac:dyDescent="0.3">
      <c r="A98">
        <v>37622</v>
      </c>
      <c r="B98" s="7">
        <v>100.9</v>
      </c>
      <c r="C98">
        <f t="shared" si="15"/>
        <v>0.17673809287889644</v>
      </c>
      <c r="D98">
        <f t="shared" si="16"/>
        <v>-7.5503286431486585E-2</v>
      </c>
      <c r="E98">
        <f t="shared" si="17"/>
        <v>-7.5503286431486585E-2</v>
      </c>
      <c r="F98">
        <f t="shared" si="18"/>
        <v>-7.5503286431486585E-2</v>
      </c>
      <c r="G98">
        <f t="shared" si="19"/>
        <v>-0.11754351631654744</v>
      </c>
      <c r="H98">
        <f t="shared" si="20"/>
        <v>-0.15958374620161425</v>
      </c>
      <c r="I98">
        <f t="shared" si="21"/>
        <v>-0.24366420597173596</v>
      </c>
      <c r="J98">
        <f t="shared" si="22"/>
        <v>-0.15958374620161425</v>
      </c>
      <c r="K98">
        <f t="shared" si="23"/>
        <v>-7.5503286431486585E-2</v>
      </c>
      <c r="L98">
        <f t="shared" si="24"/>
        <v>-0.20162397608667512</v>
      </c>
      <c r="M98">
        <f t="shared" si="25"/>
        <v>-0.53794581516717987</v>
      </c>
      <c r="N98">
        <f t="shared" si="26"/>
        <v>0.72326108138471734</v>
      </c>
      <c r="O98">
        <f t="shared" si="27"/>
        <v>0.26081855264901815</v>
      </c>
    </row>
    <row r="99" spans="1:15" x14ac:dyDescent="0.3">
      <c r="A99">
        <v>37653</v>
      </c>
      <c r="B99" s="7">
        <v>102.2</v>
      </c>
      <c r="C99">
        <f t="shared" si="15"/>
        <v>2.9597840698905311</v>
      </c>
      <c r="D99">
        <f t="shared" si="16"/>
        <v>0.72326108138471734</v>
      </c>
      <c r="E99">
        <f t="shared" si="17"/>
        <v>-0.30898029792567505</v>
      </c>
      <c r="F99">
        <f t="shared" si="18"/>
        <v>-0.30898029792567505</v>
      </c>
      <c r="G99">
        <f t="shared" si="19"/>
        <v>-0.30898029792567505</v>
      </c>
      <c r="H99">
        <f t="shared" si="20"/>
        <v>-0.48102052781072824</v>
      </c>
      <c r="I99">
        <f t="shared" si="21"/>
        <v>-0.65306075769580585</v>
      </c>
      <c r="J99">
        <f t="shared" si="22"/>
        <v>-0.99714121746591222</v>
      </c>
      <c r="K99">
        <f t="shared" si="23"/>
        <v>-0.65306075769580585</v>
      </c>
      <c r="L99">
        <f t="shared" si="24"/>
        <v>-0.30898029792567505</v>
      </c>
      <c r="M99">
        <f t="shared" si="25"/>
        <v>-0.82510098758085904</v>
      </c>
      <c r="N99">
        <f t="shared" si="26"/>
        <v>-2.2014228266613576</v>
      </c>
      <c r="O99">
        <f t="shared" si="27"/>
        <v>2.9597840698905311</v>
      </c>
    </row>
    <row r="100" spans="1:15" x14ac:dyDescent="0.3">
      <c r="A100">
        <v>37681</v>
      </c>
      <c r="B100" s="7">
        <v>99.4</v>
      </c>
      <c r="C100">
        <f t="shared" si="15"/>
        <v>1.1655311963269992</v>
      </c>
      <c r="D100">
        <f t="shared" si="16"/>
        <v>-1.857342366891227</v>
      </c>
      <c r="E100">
        <f t="shared" si="17"/>
        <v>-0.45386535539705219</v>
      </c>
      <c r="F100">
        <f t="shared" si="18"/>
        <v>0.19389326529257758</v>
      </c>
      <c r="G100">
        <f t="shared" si="19"/>
        <v>0.19389326529257758</v>
      </c>
      <c r="H100">
        <f t="shared" si="20"/>
        <v>0.19389326529257758</v>
      </c>
      <c r="I100">
        <f t="shared" si="21"/>
        <v>0.30185303540750824</v>
      </c>
      <c r="J100">
        <f t="shared" si="22"/>
        <v>0.40981280552245419</v>
      </c>
      <c r="K100">
        <f t="shared" si="23"/>
        <v>0.6257323457523154</v>
      </c>
      <c r="L100">
        <f t="shared" si="24"/>
        <v>0.40981280552245419</v>
      </c>
      <c r="M100">
        <f t="shared" si="25"/>
        <v>0.19389326529257758</v>
      </c>
      <c r="N100">
        <f t="shared" si="26"/>
        <v>0.51777257563738477</v>
      </c>
      <c r="O100">
        <f t="shared" si="27"/>
        <v>1.3814507365568758</v>
      </c>
    </row>
    <row r="101" spans="1:15" x14ac:dyDescent="0.3">
      <c r="A101">
        <v>37712</v>
      </c>
      <c r="B101" s="7">
        <v>100</v>
      </c>
      <c r="C101">
        <f t="shared" si="15"/>
        <v>0.23001395494776355</v>
      </c>
      <c r="D101">
        <f t="shared" si="16"/>
        <v>0.51777257563738477</v>
      </c>
      <c r="E101">
        <f t="shared" si="17"/>
        <v>-0.82510098758085904</v>
      </c>
      <c r="F101">
        <f t="shared" si="18"/>
        <v>-0.20162397608667512</v>
      </c>
      <c r="G101">
        <f t="shared" si="19"/>
        <v>8.6134644602952948E-2</v>
      </c>
      <c r="H101">
        <f t="shared" si="20"/>
        <v>8.6134644602952948E-2</v>
      </c>
      <c r="I101">
        <f t="shared" si="21"/>
        <v>8.6134644602952948E-2</v>
      </c>
      <c r="J101">
        <f t="shared" si="22"/>
        <v>0.13409441471788755</v>
      </c>
      <c r="K101">
        <f t="shared" si="23"/>
        <v>0.18205418483282895</v>
      </c>
      <c r="L101">
        <f t="shared" si="24"/>
        <v>0.27797372506269818</v>
      </c>
      <c r="M101">
        <f t="shared" si="25"/>
        <v>0.18205418483282895</v>
      </c>
      <c r="N101">
        <f t="shared" si="26"/>
        <v>8.6134644602952948E-2</v>
      </c>
      <c r="O101">
        <f t="shared" si="27"/>
        <v>0.23001395494776355</v>
      </c>
    </row>
    <row r="102" spans="1:15" x14ac:dyDescent="0.3">
      <c r="A102">
        <v>37742</v>
      </c>
      <c r="B102" s="7">
        <v>99.9</v>
      </c>
      <c r="C102">
        <f t="shared" si="15"/>
        <v>0.3359334951776316</v>
      </c>
      <c r="D102">
        <f t="shared" si="16"/>
        <v>0.27797372506269818</v>
      </c>
      <c r="E102">
        <f t="shared" si="17"/>
        <v>0.6257323457523154</v>
      </c>
      <c r="F102">
        <f t="shared" si="18"/>
        <v>-0.99714121746591222</v>
      </c>
      <c r="G102">
        <f t="shared" si="19"/>
        <v>-0.24366420597173596</v>
      </c>
      <c r="H102">
        <f t="shared" si="20"/>
        <v>0.10409441471788954</v>
      </c>
      <c r="I102">
        <f t="shared" si="21"/>
        <v>0.10409441471788954</v>
      </c>
      <c r="J102">
        <f t="shared" si="22"/>
        <v>0.10409441471788954</v>
      </c>
      <c r="K102">
        <f t="shared" si="23"/>
        <v>0.162054184832823</v>
      </c>
      <c r="L102">
        <f t="shared" si="24"/>
        <v>0.22001395494776471</v>
      </c>
      <c r="M102">
        <f t="shared" si="25"/>
        <v>0.3359334951776316</v>
      </c>
      <c r="N102">
        <f t="shared" si="26"/>
        <v>0.22001395494776471</v>
      </c>
      <c r="O102">
        <f t="shared" si="27"/>
        <v>0.10409441471788954</v>
      </c>
    </row>
    <row r="103" spans="1:15" x14ac:dyDescent="0.3">
      <c r="A103">
        <v>37773</v>
      </c>
      <c r="B103" s="7">
        <v>99.7</v>
      </c>
      <c r="C103">
        <f t="shared" si="15"/>
        <v>0.60777257563738307</v>
      </c>
      <c r="D103">
        <f t="shared" si="16"/>
        <v>0.45185303540750682</v>
      </c>
      <c r="E103">
        <f t="shared" si="17"/>
        <v>0.37389326529257416</v>
      </c>
      <c r="F103">
        <f t="shared" si="18"/>
        <v>0.84165188598219198</v>
      </c>
      <c r="G103">
        <f t="shared" si="19"/>
        <v>-1.341221677236043</v>
      </c>
      <c r="H103">
        <f t="shared" si="20"/>
        <v>-0.32774466574186362</v>
      </c>
      <c r="I103">
        <f t="shared" si="21"/>
        <v>0.14001395494776528</v>
      </c>
      <c r="J103">
        <f t="shared" si="22"/>
        <v>0.14001395494776528</v>
      </c>
      <c r="K103">
        <f t="shared" si="23"/>
        <v>0.14001395494776528</v>
      </c>
      <c r="L103">
        <f t="shared" si="24"/>
        <v>0.21797372506269788</v>
      </c>
      <c r="M103">
        <f t="shared" si="25"/>
        <v>0.29593349517764156</v>
      </c>
      <c r="N103">
        <f t="shared" si="26"/>
        <v>0.45185303540750682</v>
      </c>
      <c r="O103">
        <f t="shared" si="27"/>
        <v>0.29593349517764156</v>
      </c>
    </row>
    <row r="104" spans="1:15" x14ac:dyDescent="0.3">
      <c r="A104">
        <v>37803</v>
      </c>
      <c r="B104" s="7">
        <v>99.7</v>
      </c>
      <c r="C104">
        <f t="shared" si="15"/>
        <v>0.60777257563738307</v>
      </c>
      <c r="D104">
        <f t="shared" si="16"/>
        <v>0.60777257563738307</v>
      </c>
      <c r="E104">
        <f t="shared" si="17"/>
        <v>0.45185303540750682</v>
      </c>
      <c r="F104">
        <f t="shared" si="18"/>
        <v>0.37389326529257416</v>
      </c>
      <c r="G104">
        <f t="shared" si="19"/>
        <v>0.84165188598219198</v>
      </c>
      <c r="H104">
        <f t="shared" si="20"/>
        <v>-1.341221677236043</v>
      </c>
      <c r="I104">
        <f t="shared" si="21"/>
        <v>-0.32774466574186362</v>
      </c>
      <c r="J104">
        <f t="shared" si="22"/>
        <v>0.14001395494776528</v>
      </c>
      <c r="K104">
        <f t="shared" si="23"/>
        <v>0.14001395494776528</v>
      </c>
      <c r="L104">
        <f t="shared" si="24"/>
        <v>0.14001395494776528</v>
      </c>
      <c r="M104">
        <f t="shared" si="25"/>
        <v>0.21797372506269788</v>
      </c>
      <c r="N104">
        <f t="shared" si="26"/>
        <v>0.29593349517764156</v>
      </c>
      <c r="O104">
        <f t="shared" si="27"/>
        <v>0.45185303540750682</v>
      </c>
    </row>
    <row r="105" spans="1:15" x14ac:dyDescent="0.3">
      <c r="A105">
        <v>37834</v>
      </c>
      <c r="B105" s="7">
        <v>99.9</v>
      </c>
      <c r="C105">
        <f t="shared" si="15"/>
        <v>0.3359334951776316</v>
      </c>
      <c r="D105">
        <f t="shared" si="16"/>
        <v>0.45185303540750682</v>
      </c>
      <c r="E105">
        <f t="shared" si="17"/>
        <v>0.45185303540750682</v>
      </c>
      <c r="F105">
        <f t="shared" si="18"/>
        <v>0.3359334951776316</v>
      </c>
      <c r="G105">
        <f t="shared" si="19"/>
        <v>0.27797372506269818</v>
      </c>
      <c r="H105">
        <f t="shared" si="20"/>
        <v>0.6257323457523154</v>
      </c>
      <c r="I105">
        <f t="shared" si="21"/>
        <v>-0.99714121746591222</v>
      </c>
      <c r="J105">
        <f t="shared" si="22"/>
        <v>-0.24366420597173596</v>
      </c>
      <c r="K105">
        <f t="shared" si="23"/>
        <v>0.10409441471788954</v>
      </c>
      <c r="L105">
        <f t="shared" si="24"/>
        <v>0.10409441471788954</v>
      </c>
      <c r="M105">
        <f t="shared" si="25"/>
        <v>0.10409441471788954</v>
      </c>
      <c r="N105">
        <f t="shared" si="26"/>
        <v>0.162054184832823</v>
      </c>
      <c r="O105">
        <f t="shared" si="27"/>
        <v>0.22001395494776471</v>
      </c>
    </row>
    <row r="106" spans="1:15" x14ac:dyDescent="0.3">
      <c r="A106">
        <v>37865</v>
      </c>
      <c r="B106" s="7">
        <v>100.1</v>
      </c>
      <c r="C106">
        <f t="shared" si="15"/>
        <v>0.14409441471789322</v>
      </c>
      <c r="D106">
        <f t="shared" si="16"/>
        <v>0.22001395494776471</v>
      </c>
      <c r="E106">
        <f t="shared" si="17"/>
        <v>0.29593349517764156</v>
      </c>
      <c r="F106">
        <f t="shared" si="18"/>
        <v>0.29593349517764156</v>
      </c>
      <c r="G106">
        <f t="shared" si="19"/>
        <v>0.22001395494776471</v>
      </c>
      <c r="H106">
        <f t="shared" si="20"/>
        <v>0.18205418483282895</v>
      </c>
      <c r="I106">
        <f t="shared" si="21"/>
        <v>0.40981280552245419</v>
      </c>
      <c r="J106">
        <f t="shared" si="22"/>
        <v>-0.65306075769580585</v>
      </c>
      <c r="K106">
        <f t="shared" si="23"/>
        <v>-0.15958374620161425</v>
      </c>
      <c r="L106">
        <f t="shared" si="24"/>
        <v>6.8174874488016346E-2</v>
      </c>
      <c r="M106">
        <f t="shared" si="25"/>
        <v>6.8174874488016346E-2</v>
      </c>
      <c r="N106">
        <f t="shared" si="26"/>
        <v>6.8174874488016346E-2</v>
      </c>
      <c r="O106">
        <f t="shared" si="27"/>
        <v>0.10613464460295209</v>
      </c>
    </row>
    <row r="107" spans="1:15" x14ac:dyDescent="0.3">
      <c r="A107">
        <v>37895</v>
      </c>
      <c r="B107" s="7">
        <v>99.8</v>
      </c>
      <c r="C107">
        <f t="shared" si="15"/>
        <v>0.46185303540751677</v>
      </c>
      <c r="D107">
        <f t="shared" si="16"/>
        <v>0.25797372506270583</v>
      </c>
      <c r="E107">
        <f t="shared" si="17"/>
        <v>0.39389326529257335</v>
      </c>
      <c r="F107">
        <f t="shared" si="18"/>
        <v>0.52981280552245047</v>
      </c>
      <c r="G107">
        <f t="shared" si="19"/>
        <v>0.52981280552245047</v>
      </c>
      <c r="H107">
        <f t="shared" si="20"/>
        <v>0.39389326529257335</v>
      </c>
      <c r="I107">
        <f t="shared" si="21"/>
        <v>0.32593349517763959</v>
      </c>
      <c r="J107">
        <f t="shared" si="22"/>
        <v>0.73369211586726135</v>
      </c>
      <c r="K107">
        <f t="shared" si="23"/>
        <v>-1.1691814473509898</v>
      </c>
      <c r="L107">
        <f t="shared" si="24"/>
        <v>-0.28570443585680277</v>
      </c>
      <c r="M107">
        <f t="shared" si="25"/>
        <v>0.12205418483282868</v>
      </c>
      <c r="N107">
        <f t="shared" si="26"/>
        <v>0.12205418483282868</v>
      </c>
      <c r="O107">
        <f t="shared" si="27"/>
        <v>0.12205418483282868</v>
      </c>
    </row>
    <row r="108" spans="1:15" x14ac:dyDescent="0.3">
      <c r="A108">
        <v>37926</v>
      </c>
      <c r="B108" s="7">
        <v>100.6</v>
      </c>
      <c r="C108">
        <f t="shared" si="15"/>
        <v>1.449671356851426E-2</v>
      </c>
      <c r="D108">
        <f t="shared" si="16"/>
        <v>-8.1825125511982233E-2</v>
      </c>
      <c r="E108">
        <f t="shared" si="17"/>
        <v>-4.5704435856796261E-2</v>
      </c>
      <c r="F108">
        <f t="shared" si="18"/>
        <v>-6.97848956269191E-2</v>
      </c>
      <c r="G108">
        <f t="shared" si="19"/>
        <v>-9.3865355397043646E-2</v>
      </c>
      <c r="H108">
        <f t="shared" si="20"/>
        <v>-9.3865355397043646E-2</v>
      </c>
      <c r="I108">
        <f t="shared" si="21"/>
        <v>-6.97848956269191E-2</v>
      </c>
      <c r="J108">
        <f t="shared" si="22"/>
        <v>-5.774466574185768E-2</v>
      </c>
      <c r="K108">
        <f t="shared" si="23"/>
        <v>-0.1299860450522296</v>
      </c>
      <c r="L108">
        <f t="shared" si="24"/>
        <v>0.20714039172950893</v>
      </c>
      <c r="M108">
        <f t="shared" si="25"/>
        <v>5.0617403223701937E-2</v>
      </c>
      <c r="N108">
        <f t="shared" si="26"/>
        <v>-2.1623976086671708E-2</v>
      </c>
      <c r="O108">
        <f t="shared" si="27"/>
        <v>-2.1623976086671708E-2</v>
      </c>
    </row>
    <row r="109" spans="1:15" x14ac:dyDescent="0.3">
      <c r="A109">
        <v>37956</v>
      </c>
      <c r="B109" s="7">
        <v>100.8</v>
      </c>
      <c r="C109">
        <f t="shared" si="15"/>
        <v>0.1026576331087645</v>
      </c>
      <c r="D109">
        <f t="shared" si="16"/>
        <v>3.8577173338638811E-2</v>
      </c>
      <c r="E109">
        <f t="shared" si="17"/>
        <v>-0.21774466574185938</v>
      </c>
      <c r="F109">
        <f t="shared" si="18"/>
        <v>-0.12162397608667314</v>
      </c>
      <c r="G109">
        <f t="shared" si="19"/>
        <v>-0.18570443585679428</v>
      </c>
      <c r="H109">
        <f t="shared" si="20"/>
        <v>-0.24978489562691994</v>
      </c>
      <c r="I109">
        <f t="shared" si="21"/>
        <v>-0.24978489562691994</v>
      </c>
      <c r="J109">
        <f t="shared" si="22"/>
        <v>-0.18570443585679428</v>
      </c>
      <c r="K109">
        <f t="shared" si="23"/>
        <v>-0.15366420597173369</v>
      </c>
      <c r="L109">
        <f t="shared" si="24"/>
        <v>-0.34590558528210619</v>
      </c>
      <c r="M109">
        <f t="shared" si="25"/>
        <v>0.55122085149963973</v>
      </c>
      <c r="N109">
        <f t="shared" si="26"/>
        <v>0.1346978629938296</v>
      </c>
      <c r="O109">
        <f t="shared" si="27"/>
        <v>-5.7543516316547444E-2</v>
      </c>
    </row>
    <row r="110" spans="1:15" x14ac:dyDescent="0.3">
      <c r="A110">
        <v>37987</v>
      </c>
      <c r="B110" s="7">
        <v>101.1</v>
      </c>
      <c r="C110">
        <f t="shared" si="15"/>
        <v>0.38489901241913532</v>
      </c>
      <c r="D110">
        <f t="shared" si="16"/>
        <v>0.19877832276395074</v>
      </c>
      <c r="E110">
        <f t="shared" si="17"/>
        <v>7.4697862993824776E-2</v>
      </c>
      <c r="F110">
        <f t="shared" si="18"/>
        <v>-0.42162397608667029</v>
      </c>
      <c r="G110">
        <f t="shared" si="19"/>
        <v>-0.23550328643148574</v>
      </c>
      <c r="H110">
        <f t="shared" si="20"/>
        <v>-0.35958374620160288</v>
      </c>
      <c r="I110">
        <f t="shared" si="21"/>
        <v>-0.48366420597172888</v>
      </c>
      <c r="J110">
        <f t="shared" si="22"/>
        <v>-0.48366420597172888</v>
      </c>
      <c r="K110">
        <f t="shared" si="23"/>
        <v>-0.35958374620160288</v>
      </c>
      <c r="L110">
        <f t="shared" si="24"/>
        <v>-0.2975435163165443</v>
      </c>
      <c r="M110">
        <f t="shared" si="25"/>
        <v>-0.66978489562691346</v>
      </c>
      <c r="N110">
        <f t="shared" si="26"/>
        <v>1.0673415411548237</v>
      </c>
      <c r="O110">
        <f t="shared" si="27"/>
        <v>0.26081855264901815</v>
      </c>
    </row>
    <row r="111" spans="1:15" x14ac:dyDescent="0.3">
      <c r="A111">
        <v>38018</v>
      </c>
      <c r="B111" s="7">
        <v>103</v>
      </c>
      <c r="C111">
        <f t="shared" si="15"/>
        <v>6.3524277480515243</v>
      </c>
      <c r="D111">
        <f t="shared" si="16"/>
        <v>1.5636633802353188</v>
      </c>
      <c r="E111">
        <f t="shared" si="17"/>
        <v>0.80754269058013795</v>
      </c>
      <c r="F111">
        <f t="shared" si="18"/>
        <v>0.30346223081000545</v>
      </c>
      <c r="G111">
        <f t="shared" si="19"/>
        <v>-1.7128596082704888</v>
      </c>
      <c r="H111">
        <f t="shared" si="20"/>
        <v>-0.95673891861530791</v>
      </c>
      <c r="I111">
        <f t="shared" si="21"/>
        <v>-1.4608193783854047</v>
      </c>
      <c r="J111">
        <f t="shared" si="22"/>
        <v>-1.9648998381555371</v>
      </c>
      <c r="K111">
        <f t="shared" si="23"/>
        <v>-1.9648998381555371</v>
      </c>
      <c r="L111">
        <f t="shared" si="24"/>
        <v>-1.4608193783854047</v>
      </c>
      <c r="M111">
        <f t="shared" si="25"/>
        <v>-1.2087791485003563</v>
      </c>
      <c r="N111">
        <f t="shared" si="26"/>
        <v>-2.721020527810718</v>
      </c>
      <c r="O111">
        <f t="shared" si="27"/>
        <v>4.3361059089710299</v>
      </c>
    </row>
    <row r="112" spans="1:15" x14ac:dyDescent="0.3">
      <c r="A112">
        <v>38047</v>
      </c>
      <c r="B112" s="7">
        <v>100.8</v>
      </c>
      <c r="C112">
        <f t="shared" si="15"/>
        <v>0.1026576331087645</v>
      </c>
      <c r="D112">
        <f t="shared" si="16"/>
        <v>0.80754269058013795</v>
      </c>
      <c r="E112">
        <f t="shared" si="17"/>
        <v>0.19877832276395074</v>
      </c>
      <c r="F112">
        <f t="shared" si="18"/>
        <v>0.1026576331087645</v>
      </c>
      <c r="G112">
        <f t="shared" si="19"/>
        <v>3.8577173338638811E-2</v>
      </c>
      <c r="H112">
        <f t="shared" si="20"/>
        <v>-0.21774466574185938</v>
      </c>
      <c r="I112">
        <f t="shared" si="21"/>
        <v>-0.12162397608667314</v>
      </c>
      <c r="J112">
        <f t="shared" si="22"/>
        <v>-0.18570443585679428</v>
      </c>
      <c r="K112">
        <f t="shared" si="23"/>
        <v>-0.24978489562691994</v>
      </c>
      <c r="L112">
        <f t="shared" si="24"/>
        <v>-0.24978489562691994</v>
      </c>
      <c r="M112">
        <f t="shared" si="25"/>
        <v>-0.18570443585679428</v>
      </c>
      <c r="N112">
        <f t="shared" si="26"/>
        <v>-0.15366420597173369</v>
      </c>
      <c r="O112">
        <f t="shared" si="27"/>
        <v>-0.34590558528210619</v>
      </c>
    </row>
    <row r="113" spans="1:15" x14ac:dyDescent="0.3">
      <c r="A113">
        <v>38078</v>
      </c>
      <c r="B113" s="7">
        <v>100.5</v>
      </c>
      <c r="C113">
        <f t="shared" si="15"/>
        <v>4.1625379839028444E-4</v>
      </c>
      <c r="D113">
        <f t="shared" si="16"/>
        <v>6.5369434535782426E-3</v>
      </c>
      <c r="E113">
        <f t="shared" si="17"/>
        <v>5.1422000924957086E-2</v>
      </c>
      <c r="F113">
        <f t="shared" si="18"/>
        <v>1.2657633108766201E-2</v>
      </c>
      <c r="G113">
        <f t="shared" si="19"/>
        <v>6.5369434535782426E-3</v>
      </c>
      <c r="H113">
        <f t="shared" si="20"/>
        <v>2.4564836834528405E-3</v>
      </c>
      <c r="I113">
        <f t="shared" si="21"/>
        <v>-1.3865355397048479E-2</v>
      </c>
      <c r="J113">
        <f t="shared" si="22"/>
        <v>-7.7446657418605196E-3</v>
      </c>
      <c r="K113">
        <f t="shared" si="23"/>
        <v>-1.1825125511985632E-2</v>
      </c>
      <c r="L113">
        <f t="shared" si="24"/>
        <v>-1.5905585282111036E-2</v>
      </c>
      <c r="M113">
        <f t="shared" si="25"/>
        <v>-1.5905585282111036E-2</v>
      </c>
      <c r="N113">
        <f t="shared" si="26"/>
        <v>-1.1825125511985632E-2</v>
      </c>
      <c r="O113">
        <f t="shared" si="27"/>
        <v>-9.784895626923076E-3</v>
      </c>
    </row>
    <row r="114" spans="1:15" x14ac:dyDescent="0.3">
      <c r="A114">
        <v>38108</v>
      </c>
      <c r="B114" s="7">
        <v>100.9</v>
      </c>
      <c r="C114">
        <f t="shared" si="15"/>
        <v>0.17673809287889644</v>
      </c>
      <c r="D114">
        <f t="shared" si="16"/>
        <v>8.5771733386410896E-3</v>
      </c>
      <c r="E114">
        <f t="shared" si="17"/>
        <v>0.1346978629938296</v>
      </c>
      <c r="F114">
        <f t="shared" si="18"/>
        <v>1.0595829204652221</v>
      </c>
      <c r="G114">
        <f t="shared" si="19"/>
        <v>0.26081855264901815</v>
      </c>
      <c r="H114">
        <f t="shared" si="20"/>
        <v>0.1346978629938296</v>
      </c>
      <c r="I114">
        <f t="shared" si="21"/>
        <v>5.0617403223701937E-2</v>
      </c>
      <c r="J114">
        <f t="shared" si="22"/>
        <v>-0.28570443585680277</v>
      </c>
      <c r="K114">
        <f t="shared" si="23"/>
        <v>-0.15958374620161425</v>
      </c>
      <c r="L114">
        <f t="shared" si="24"/>
        <v>-0.24366420597173596</v>
      </c>
      <c r="M114">
        <f t="shared" si="25"/>
        <v>-0.32774466574186362</v>
      </c>
      <c r="N114">
        <f t="shared" si="26"/>
        <v>-0.32774466574186362</v>
      </c>
      <c r="O114">
        <f t="shared" si="27"/>
        <v>-0.24366420597173596</v>
      </c>
    </row>
    <row r="115" spans="1:15" x14ac:dyDescent="0.3">
      <c r="A115">
        <v>38139</v>
      </c>
      <c r="B115" s="7">
        <v>100.8</v>
      </c>
      <c r="C115">
        <f t="shared" si="15"/>
        <v>0.1026576331087645</v>
      </c>
      <c r="D115">
        <f t="shared" si="16"/>
        <v>0.1346978629938296</v>
      </c>
      <c r="E115">
        <f t="shared" si="17"/>
        <v>6.5369434535782426E-3</v>
      </c>
      <c r="F115">
        <f t="shared" si="18"/>
        <v>0.1026576331087645</v>
      </c>
      <c r="G115">
        <f t="shared" si="19"/>
        <v>0.80754269058013795</v>
      </c>
      <c r="H115">
        <f t="shared" si="20"/>
        <v>0.19877832276395074</v>
      </c>
      <c r="I115">
        <f t="shared" si="21"/>
        <v>0.1026576331087645</v>
      </c>
      <c r="J115">
        <f t="shared" si="22"/>
        <v>3.8577173338638811E-2</v>
      </c>
      <c r="K115">
        <f t="shared" si="23"/>
        <v>-0.21774466574185938</v>
      </c>
      <c r="L115">
        <f t="shared" si="24"/>
        <v>-0.12162397608667314</v>
      </c>
      <c r="M115">
        <f t="shared" si="25"/>
        <v>-0.18570443585679428</v>
      </c>
      <c r="N115">
        <f t="shared" si="26"/>
        <v>-0.24978489562691994</v>
      </c>
      <c r="O115">
        <f t="shared" si="27"/>
        <v>-0.24978489562691994</v>
      </c>
    </row>
    <row r="116" spans="1:15" x14ac:dyDescent="0.3">
      <c r="A116">
        <v>38169</v>
      </c>
      <c r="B116" s="7">
        <v>100.5</v>
      </c>
      <c r="C116">
        <f t="shared" si="15"/>
        <v>4.1625379839028444E-4</v>
      </c>
      <c r="D116">
        <f t="shared" si="16"/>
        <v>6.5369434535782426E-3</v>
      </c>
      <c r="E116">
        <f t="shared" si="17"/>
        <v>8.5771733386410896E-3</v>
      </c>
      <c r="F116">
        <f t="shared" si="18"/>
        <v>4.1625379839028444E-4</v>
      </c>
      <c r="G116">
        <f t="shared" si="19"/>
        <v>6.5369434535782426E-3</v>
      </c>
      <c r="H116">
        <f t="shared" si="20"/>
        <v>5.1422000924957086E-2</v>
      </c>
      <c r="I116">
        <f t="shared" si="21"/>
        <v>1.2657633108766201E-2</v>
      </c>
      <c r="J116">
        <f t="shared" si="22"/>
        <v>6.5369434535782426E-3</v>
      </c>
      <c r="K116">
        <f t="shared" si="23"/>
        <v>2.4564836834528405E-3</v>
      </c>
      <c r="L116">
        <f t="shared" si="24"/>
        <v>-1.3865355397048479E-2</v>
      </c>
      <c r="M116">
        <f t="shared" si="25"/>
        <v>-7.7446657418605196E-3</v>
      </c>
      <c r="N116">
        <f t="shared" si="26"/>
        <v>-1.1825125511985632E-2</v>
      </c>
      <c r="O116">
        <f t="shared" si="27"/>
        <v>-1.5905585282111036E-2</v>
      </c>
    </row>
    <row r="117" spans="1:15" x14ac:dyDescent="0.3">
      <c r="A117">
        <v>38200</v>
      </c>
      <c r="B117" s="7">
        <v>100.6</v>
      </c>
      <c r="C117">
        <f t="shared" si="15"/>
        <v>1.449671356851426E-2</v>
      </c>
      <c r="D117">
        <f t="shared" si="16"/>
        <v>2.4564836834528405E-3</v>
      </c>
      <c r="E117">
        <f t="shared" si="17"/>
        <v>3.8577173338638811E-2</v>
      </c>
      <c r="F117">
        <f t="shared" si="18"/>
        <v>5.0617403223701937E-2</v>
      </c>
      <c r="G117">
        <f t="shared" si="19"/>
        <v>2.4564836834528405E-3</v>
      </c>
      <c r="H117">
        <f t="shared" si="20"/>
        <v>3.8577173338638811E-2</v>
      </c>
      <c r="I117">
        <f t="shared" si="21"/>
        <v>0.30346223081000545</v>
      </c>
      <c r="J117">
        <f t="shared" si="22"/>
        <v>7.4697862993824776E-2</v>
      </c>
      <c r="K117">
        <f t="shared" si="23"/>
        <v>3.8577173338638811E-2</v>
      </c>
      <c r="L117">
        <f t="shared" si="24"/>
        <v>1.449671356851426E-2</v>
      </c>
      <c r="M117">
        <f t="shared" si="25"/>
        <v>-8.1825125511982233E-2</v>
      </c>
      <c r="N117">
        <f t="shared" si="26"/>
        <v>-4.5704435856796261E-2</v>
      </c>
      <c r="O117">
        <f t="shared" si="27"/>
        <v>-6.97848956269191E-2</v>
      </c>
    </row>
    <row r="118" spans="1:15" x14ac:dyDescent="0.3">
      <c r="A118">
        <v>38231</v>
      </c>
      <c r="B118" s="7">
        <v>100.3</v>
      </c>
      <c r="C118">
        <f t="shared" si="15"/>
        <v>3.2255334258140617E-2</v>
      </c>
      <c r="D118">
        <f t="shared" si="16"/>
        <v>-2.1623976086671708E-2</v>
      </c>
      <c r="E118">
        <f t="shared" si="17"/>
        <v>-3.664205971735118E-3</v>
      </c>
      <c r="F118">
        <f t="shared" si="18"/>
        <v>-5.7543516316547444E-2</v>
      </c>
      <c r="G118">
        <f t="shared" si="19"/>
        <v>-7.5503286431486585E-2</v>
      </c>
      <c r="H118">
        <f t="shared" si="20"/>
        <v>-3.664205971735118E-3</v>
      </c>
      <c r="I118">
        <f t="shared" si="21"/>
        <v>-5.7543516316547444E-2</v>
      </c>
      <c r="J118">
        <f t="shared" si="22"/>
        <v>-0.45265845884517542</v>
      </c>
      <c r="K118">
        <f t="shared" si="23"/>
        <v>-0.11142282666135978</v>
      </c>
      <c r="L118">
        <f t="shared" si="24"/>
        <v>-5.7543516316547444E-2</v>
      </c>
      <c r="M118">
        <f t="shared" si="25"/>
        <v>-2.1623976086671708E-2</v>
      </c>
      <c r="N118">
        <f t="shared" si="26"/>
        <v>0.12205418483282868</v>
      </c>
      <c r="O118">
        <f t="shared" si="27"/>
        <v>6.8174874488016346E-2</v>
      </c>
    </row>
    <row r="119" spans="1:15" x14ac:dyDescent="0.3">
      <c r="A119">
        <v>38261</v>
      </c>
      <c r="B119" s="7">
        <v>100</v>
      </c>
      <c r="C119">
        <f t="shared" si="15"/>
        <v>0.23001395494776355</v>
      </c>
      <c r="D119">
        <f t="shared" si="16"/>
        <v>8.6134644602952948E-2</v>
      </c>
      <c r="E119">
        <f t="shared" si="17"/>
        <v>-5.774466574185768E-2</v>
      </c>
      <c r="F119">
        <f t="shared" si="18"/>
        <v>-9.784895626923076E-3</v>
      </c>
      <c r="G119">
        <f t="shared" si="19"/>
        <v>-0.15366420597173369</v>
      </c>
      <c r="H119">
        <f t="shared" si="20"/>
        <v>-0.20162397608667512</v>
      </c>
      <c r="I119">
        <f t="shared" si="21"/>
        <v>-9.784895626923076E-3</v>
      </c>
      <c r="J119">
        <f t="shared" si="22"/>
        <v>-0.15366420597173369</v>
      </c>
      <c r="K119">
        <f t="shared" si="23"/>
        <v>-1.2087791485003563</v>
      </c>
      <c r="L119">
        <f t="shared" si="24"/>
        <v>-0.2975435163165443</v>
      </c>
      <c r="M119">
        <f t="shared" si="25"/>
        <v>-0.15366420597173369</v>
      </c>
      <c r="N119">
        <f t="shared" si="26"/>
        <v>-5.774466574185768E-2</v>
      </c>
      <c r="O119">
        <f t="shared" si="27"/>
        <v>0.32593349517763959</v>
      </c>
    </row>
    <row r="120" spans="1:15" x14ac:dyDescent="0.3">
      <c r="A120">
        <v>38292</v>
      </c>
      <c r="B120" s="7">
        <v>100.2</v>
      </c>
      <c r="C120">
        <f t="shared" si="15"/>
        <v>7.8174874488012663E-2</v>
      </c>
      <c r="D120">
        <f t="shared" si="16"/>
        <v>0.13409441471788755</v>
      </c>
      <c r="E120">
        <f t="shared" si="17"/>
        <v>5.0215104373077211E-2</v>
      </c>
      <c r="F120">
        <f t="shared" si="18"/>
        <v>-3.3664205971733127E-2</v>
      </c>
      <c r="G120">
        <f t="shared" si="19"/>
        <v>-5.7044358567976735E-3</v>
      </c>
      <c r="H120">
        <f t="shared" si="20"/>
        <v>-8.9583746201608014E-2</v>
      </c>
      <c r="I120">
        <f t="shared" si="21"/>
        <v>-0.11754351631654744</v>
      </c>
      <c r="J120">
        <f t="shared" si="22"/>
        <v>-5.7044358567976735E-3</v>
      </c>
      <c r="K120">
        <f t="shared" si="23"/>
        <v>-8.9583746201608014E-2</v>
      </c>
      <c r="L120">
        <f t="shared" si="24"/>
        <v>-0.70469868873022379</v>
      </c>
      <c r="M120">
        <f t="shared" si="25"/>
        <v>-0.17346305654641836</v>
      </c>
      <c r="N120">
        <f t="shared" si="26"/>
        <v>-8.9583746201608014E-2</v>
      </c>
      <c r="O120">
        <f t="shared" si="27"/>
        <v>-3.3664205971733127E-2</v>
      </c>
    </row>
    <row r="121" spans="1:15" x14ac:dyDescent="0.3">
      <c r="A121">
        <v>38322</v>
      </c>
      <c r="B121" s="7">
        <v>100.6</v>
      </c>
      <c r="C121">
        <f t="shared" si="15"/>
        <v>1.449671356851426E-2</v>
      </c>
      <c r="D121">
        <f t="shared" si="16"/>
        <v>-3.3664205971733127E-2</v>
      </c>
      <c r="E121">
        <f t="shared" si="17"/>
        <v>-5.774466574185768E-2</v>
      </c>
      <c r="F121">
        <f t="shared" si="18"/>
        <v>-2.1623976086671708E-2</v>
      </c>
      <c r="G121">
        <f t="shared" si="19"/>
        <v>1.449671356851426E-2</v>
      </c>
      <c r="H121">
        <f t="shared" si="20"/>
        <v>2.4564836834528405E-3</v>
      </c>
      <c r="I121">
        <f t="shared" si="21"/>
        <v>3.8577173338638811E-2</v>
      </c>
      <c r="J121">
        <f t="shared" si="22"/>
        <v>5.0617403223701937E-2</v>
      </c>
      <c r="K121">
        <f t="shared" si="23"/>
        <v>2.4564836834528405E-3</v>
      </c>
      <c r="L121">
        <f t="shared" si="24"/>
        <v>3.8577173338638811E-2</v>
      </c>
      <c r="M121">
        <f t="shared" si="25"/>
        <v>0.30346223081000545</v>
      </c>
      <c r="N121">
        <f t="shared" si="26"/>
        <v>7.4697862993824776E-2</v>
      </c>
      <c r="O121">
        <f t="shared" si="27"/>
        <v>3.8577173338638811E-2</v>
      </c>
    </row>
    <row r="122" spans="1:15" x14ac:dyDescent="0.3">
      <c r="A122">
        <v>38353</v>
      </c>
      <c r="B122" s="7">
        <v>101.1</v>
      </c>
      <c r="C122">
        <f t="shared" si="15"/>
        <v>0.38489901241913532</v>
      </c>
      <c r="D122">
        <f t="shared" si="16"/>
        <v>7.4697862993824776E-2</v>
      </c>
      <c r="E122">
        <f t="shared" si="17"/>
        <v>-0.17346305654641836</v>
      </c>
      <c r="F122">
        <f t="shared" si="18"/>
        <v>-0.2975435163165443</v>
      </c>
      <c r="G122">
        <f t="shared" si="19"/>
        <v>-0.11142282666135978</v>
      </c>
      <c r="H122">
        <f t="shared" si="20"/>
        <v>7.4697862993824776E-2</v>
      </c>
      <c r="I122">
        <f t="shared" si="21"/>
        <v>1.2657633108766201E-2</v>
      </c>
      <c r="J122">
        <f t="shared" si="22"/>
        <v>0.19877832276395074</v>
      </c>
      <c r="K122">
        <f t="shared" si="23"/>
        <v>0.26081855264901815</v>
      </c>
      <c r="L122">
        <f t="shared" si="24"/>
        <v>1.2657633108766201E-2</v>
      </c>
      <c r="M122">
        <f t="shared" si="25"/>
        <v>0.19877832276395074</v>
      </c>
      <c r="N122">
        <f t="shared" si="26"/>
        <v>1.5636633802353188</v>
      </c>
      <c r="O122">
        <f t="shared" si="27"/>
        <v>0.38489901241913532</v>
      </c>
    </row>
    <row r="123" spans="1:15" x14ac:dyDescent="0.3">
      <c r="A123">
        <v>38384</v>
      </c>
      <c r="B123" s="7">
        <v>102.5</v>
      </c>
      <c r="C123">
        <f t="shared" si="15"/>
        <v>4.0820254492008976</v>
      </c>
      <c r="D123">
        <f t="shared" si="16"/>
        <v>1.2534622308100083</v>
      </c>
      <c r="E123">
        <f t="shared" si="17"/>
        <v>0.2432610813846949</v>
      </c>
      <c r="F123">
        <f t="shared" si="18"/>
        <v>-0.56489983815553857</v>
      </c>
      <c r="G123">
        <f t="shared" si="19"/>
        <v>-0.96898029792566964</v>
      </c>
      <c r="H123">
        <f t="shared" si="20"/>
        <v>-0.36285960827048735</v>
      </c>
      <c r="I123">
        <f t="shared" si="21"/>
        <v>0.2432610813846949</v>
      </c>
      <c r="J123">
        <f t="shared" si="22"/>
        <v>4.1220851499643725E-2</v>
      </c>
      <c r="K123">
        <f t="shared" si="23"/>
        <v>0.64734154115482601</v>
      </c>
      <c r="L123">
        <f t="shared" si="24"/>
        <v>0.84938177103990586</v>
      </c>
      <c r="M123">
        <f t="shared" si="25"/>
        <v>4.1220851499643725E-2</v>
      </c>
      <c r="N123">
        <f t="shared" si="26"/>
        <v>0.64734154115482601</v>
      </c>
      <c r="O123">
        <f t="shared" si="27"/>
        <v>5.092226598626211</v>
      </c>
    </row>
    <row r="124" spans="1:15" x14ac:dyDescent="0.3">
      <c r="A124">
        <v>38412</v>
      </c>
      <c r="B124" s="7">
        <v>100.1</v>
      </c>
      <c r="C124">
        <f t="shared" si="15"/>
        <v>0.14409441471789322</v>
      </c>
      <c r="D124">
        <f t="shared" si="16"/>
        <v>-0.76694006804061843</v>
      </c>
      <c r="E124">
        <f t="shared" si="17"/>
        <v>-0.23550328643148574</v>
      </c>
      <c r="F124">
        <f t="shared" si="18"/>
        <v>-4.5704435856796261E-2</v>
      </c>
      <c r="G124">
        <f t="shared" si="19"/>
        <v>0.10613464460295209</v>
      </c>
      <c r="H124">
        <f t="shared" si="20"/>
        <v>0.18205418483282895</v>
      </c>
      <c r="I124">
        <f t="shared" si="21"/>
        <v>6.8174874488016346E-2</v>
      </c>
      <c r="J124">
        <f t="shared" si="22"/>
        <v>-4.5704435856796261E-2</v>
      </c>
      <c r="K124">
        <f t="shared" si="23"/>
        <v>-7.7446657418605196E-3</v>
      </c>
      <c r="L124">
        <f t="shared" si="24"/>
        <v>-0.12162397608667314</v>
      </c>
      <c r="M124">
        <f t="shared" si="25"/>
        <v>-0.15958374620161425</v>
      </c>
      <c r="N124">
        <f t="shared" si="26"/>
        <v>-7.7446657418605196E-3</v>
      </c>
      <c r="O124">
        <f t="shared" si="27"/>
        <v>-0.12162397608667314</v>
      </c>
    </row>
    <row r="125" spans="1:15" x14ac:dyDescent="0.3">
      <c r="A125">
        <v>38443</v>
      </c>
      <c r="B125" s="7">
        <v>100.6</v>
      </c>
      <c r="C125">
        <f t="shared" si="15"/>
        <v>1.449671356851426E-2</v>
      </c>
      <c r="D125">
        <f t="shared" si="16"/>
        <v>-4.5704435856796261E-2</v>
      </c>
      <c r="E125">
        <f t="shared" si="17"/>
        <v>0.2432610813846949</v>
      </c>
      <c r="F125">
        <f t="shared" si="18"/>
        <v>7.4697862993824776E-2</v>
      </c>
      <c r="G125">
        <f t="shared" si="19"/>
        <v>1.449671356851426E-2</v>
      </c>
      <c r="H125">
        <f t="shared" si="20"/>
        <v>-3.3664205971733127E-2</v>
      </c>
      <c r="I125">
        <f t="shared" si="21"/>
        <v>-5.774466574185768E-2</v>
      </c>
      <c r="J125">
        <f t="shared" si="22"/>
        <v>-2.1623976086671708E-2</v>
      </c>
      <c r="K125">
        <f t="shared" si="23"/>
        <v>1.449671356851426E-2</v>
      </c>
      <c r="L125">
        <f t="shared" si="24"/>
        <v>2.4564836834528405E-3</v>
      </c>
      <c r="M125">
        <f t="shared" si="25"/>
        <v>3.8577173338638811E-2</v>
      </c>
      <c r="N125">
        <f t="shared" si="26"/>
        <v>5.0617403223701937E-2</v>
      </c>
      <c r="O125">
        <f t="shared" si="27"/>
        <v>2.4564836834528405E-3</v>
      </c>
    </row>
    <row r="126" spans="1:15" x14ac:dyDescent="0.3">
      <c r="A126">
        <v>38473</v>
      </c>
      <c r="B126" s="7">
        <v>100.5</v>
      </c>
      <c r="C126">
        <f t="shared" si="15"/>
        <v>4.1625379839028444E-4</v>
      </c>
      <c r="D126">
        <f t="shared" si="16"/>
        <v>2.4564836834528405E-3</v>
      </c>
      <c r="E126">
        <f t="shared" si="17"/>
        <v>-7.7446657418605196E-3</v>
      </c>
      <c r="F126">
        <f t="shared" si="18"/>
        <v>4.1220851499643725E-2</v>
      </c>
      <c r="G126">
        <f t="shared" si="19"/>
        <v>1.2657633108766201E-2</v>
      </c>
      <c r="H126">
        <f t="shared" si="20"/>
        <v>2.4564836834528405E-3</v>
      </c>
      <c r="I126">
        <f t="shared" si="21"/>
        <v>-5.7044358567976735E-3</v>
      </c>
      <c r="J126">
        <f t="shared" si="22"/>
        <v>-9.784895626923076E-3</v>
      </c>
      <c r="K126">
        <f t="shared" si="23"/>
        <v>-3.664205971735118E-3</v>
      </c>
      <c r="L126">
        <f t="shared" si="24"/>
        <v>2.4564836834528405E-3</v>
      </c>
      <c r="M126">
        <f t="shared" si="25"/>
        <v>4.1625379839028444E-4</v>
      </c>
      <c r="N126">
        <f t="shared" si="26"/>
        <v>6.5369434535782426E-3</v>
      </c>
      <c r="O126">
        <f t="shared" si="27"/>
        <v>8.5771733386410896E-3</v>
      </c>
    </row>
    <row r="127" spans="1:15" x14ac:dyDescent="0.3">
      <c r="A127">
        <v>38504</v>
      </c>
      <c r="B127" s="7">
        <v>100.4</v>
      </c>
      <c r="C127">
        <f t="shared" si="15"/>
        <v>6.3357940282640357E-3</v>
      </c>
      <c r="D127">
        <f t="shared" si="16"/>
        <v>-1.6239760866722716E-3</v>
      </c>
      <c r="E127">
        <f t="shared" si="17"/>
        <v>-9.5837462016085794E-3</v>
      </c>
      <c r="F127">
        <f t="shared" si="18"/>
        <v>3.021510437307522E-2</v>
      </c>
      <c r="G127">
        <f t="shared" si="19"/>
        <v>-0.16081937838540747</v>
      </c>
      <c r="H127">
        <f t="shared" si="20"/>
        <v>-4.9382596776292378E-2</v>
      </c>
      <c r="I127">
        <f t="shared" si="21"/>
        <v>-9.5837462016085794E-3</v>
      </c>
      <c r="J127">
        <f t="shared" si="22"/>
        <v>2.225533425813778E-2</v>
      </c>
      <c r="K127">
        <f t="shared" si="23"/>
        <v>3.8174874488011525E-2</v>
      </c>
      <c r="L127">
        <f t="shared" si="24"/>
        <v>1.4295564143201473E-2</v>
      </c>
      <c r="M127">
        <f t="shared" si="25"/>
        <v>-9.5837462016085794E-3</v>
      </c>
      <c r="N127">
        <f t="shared" si="26"/>
        <v>-1.6239760866722716E-3</v>
      </c>
      <c r="O127">
        <f t="shared" si="27"/>
        <v>-2.5503286431482326E-2</v>
      </c>
    </row>
    <row r="128" spans="1:15" x14ac:dyDescent="0.3">
      <c r="A128">
        <v>38534</v>
      </c>
      <c r="B128" s="7">
        <v>100.4</v>
      </c>
      <c r="C128">
        <f t="shared" si="15"/>
        <v>6.3357940282640357E-3</v>
      </c>
      <c r="D128">
        <f t="shared" si="16"/>
        <v>6.3357940282640357E-3</v>
      </c>
      <c r="E128">
        <f t="shared" si="17"/>
        <v>-1.6239760866722716E-3</v>
      </c>
      <c r="F128">
        <f t="shared" si="18"/>
        <v>-9.5837462016085794E-3</v>
      </c>
      <c r="G128">
        <f t="shared" si="19"/>
        <v>3.021510437307522E-2</v>
      </c>
      <c r="H128">
        <f t="shared" si="20"/>
        <v>-0.16081937838540747</v>
      </c>
      <c r="I128">
        <f t="shared" si="21"/>
        <v>-4.9382596776292378E-2</v>
      </c>
      <c r="J128">
        <f t="shared" si="22"/>
        <v>-9.5837462016085794E-3</v>
      </c>
      <c r="K128">
        <f t="shared" si="23"/>
        <v>2.225533425813778E-2</v>
      </c>
      <c r="L128">
        <f t="shared" si="24"/>
        <v>3.8174874488011525E-2</v>
      </c>
      <c r="M128">
        <f t="shared" si="25"/>
        <v>1.4295564143201473E-2</v>
      </c>
      <c r="N128">
        <f t="shared" si="26"/>
        <v>-9.5837462016085794E-3</v>
      </c>
      <c r="O128">
        <f t="shared" si="27"/>
        <v>-1.6239760866722716E-3</v>
      </c>
    </row>
    <row r="129" spans="1:15" x14ac:dyDescent="0.3">
      <c r="A129">
        <v>38565</v>
      </c>
      <c r="B129" s="7">
        <v>100.4</v>
      </c>
      <c r="C129">
        <f t="shared" si="15"/>
        <v>6.3357940282640357E-3</v>
      </c>
      <c r="D129">
        <f t="shared" si="16"/>
        <v>6.3357940282640357E-3</v>
      </c>
      <c r="E129">
        <f t="shared" si="17"/>
        <v>6.3357940282640357E-3</v>
      </c>
      <c r="F129">
        <f t="shared" si="18"/>
        <v>-1.6239760866722716E-3</v>
      </c>
      <c r="G129">
        <f t="shared" si="19"/>
        <v>-9.5837462016085794E-3</v>
      </c>
      <c r="H129">
        <f t="shared" si="20"/>
        <v>3.021510437307522E-2</v>
      </c>
      <c r="I129">
        <f t="shared" si="21"/>
        <v>-0.16081937838540747</v>
      </c>
      <c r="J129">
        <f t="shared" si="22"/>
        <v>-4.9382596776292378E-2</v>
      </c>
      <c r="K129">
        <f t="shared" si="23"/>
        <v>-9.5837462016085794E-3</v>
      </c>
      <c r="L129">
        <f t="shared" si="24"/>
        <v>2.225533425813778E-2</v>
      </c>
      <c r="M129">
        <f t="shared" si="25"/>
        <v>3.8174874488011525E-2</v>
      </c>
      <c r="N129">
        <f t="shared" si="26"/>
        <v>1.4295564143201473E-2</v>
      </c>
      <c r="O129">
        <f t="shared" si="27"/>
        <v>-9.5837462016085794E-3</v>
      </c>
    </row>
    <row r="130" spans="1:15" x14ac:dyDescent="0.3">
      <c r="A130">
        <v>38596</v>
      </c>
      <c r="B130" s="7">
        <v>100.8</v>
      </c>
      <c r="C130">
        <f t="shared" si="15"/>
        <v>0.1026576331087645</v>
      </c>
      <c r="D130">
        <f t="shared" si="16"/>
        <v>-2.5503286431482326E-2</v>
      </c>
      <c r="E130">
        <f t="shared" si="17"/>
        <v>-2.5503286431482326E-2</v>
      </c>
      <c r="F130">
        <f t="shared" si="18"/>
        <v>-2.5503286431482326E-2</v>
      </c>
      <c r="G130">
        <f t="shared" si="19"/>
        <v>6.5369434535782426E-3</v>
      </c>
      <c r="H130">
        <f t="shared" si="20"/>
        <v>3.8577173338638811E-2</v>
      </c>
      <c r="I130">
        <f t="shared" si="21"/>
        <v>-0.12162397608667314</v>
      </c>
      <c r="J130">
        <f t="shared" si="22"/>
        <v>0.64734154115482601</v>
      </c>
      <c r="K130">
        <f t="shared" si="23"/>
        <v>0.19877832276395074</v>
      </c>
      <c r="L130">
        <f t="shared" si="24"/>
        <v>3.8577173338638811E-2</v>
      </c>
      <c r="M130">
        <f t="shared" si="25"/>
        <v>-8.9583746201608014E-2</v>
      </c>
      <c r="N130">
        <f t="shared" si="26"/>
        <v>-0.15366420597173369</v>
      </c>
      <c r="O130">
        <f t="shared" si="27"/>
        <v>-5.7543516316547444E-2</v>
      </c>
    </row>
    <row r="131" spans="1:15" x14ac:dyDescent="0.3">
      <c r="A131">
        <v>38626</v>
      </c>
      <c r="B131" s="7">
        <v>100.4</v>
      </c>
      <c r="C131">
        <f t="shared" ref="C131:C194" si="28">($B131-AVERAGE($B$2:$B$349))*($B131-AVERAGE($B$2:$B$349))</f>
        <v>6.3357940282640357E-3</v>
      </c>
      <c r="D131">
        <f t="shared" si="16"/>
        <v>-2.5503286431482326E-2</v>
      </c>
      <c r="E131">
        <f t="shared" si="17"/>
        <v>6.3357940282640357E-3</v>
      </c>
      <c r="F131">
        <f t="shared" si="18"/>
        <v>6.3357940282640357E-3</v>
      </c>
      <c r="G131">
        <f t="shared" si="19"/>
        <v>6.3357940282640357E-3</v>
      </c>
      <c r="H131">
        <f t="shared" si="20"/>
        <v>-1.6239760866722716E-3</v>
      </c>
      <c r="I131">
        <f t="shared" si="21"/>
        <v>-9.5837462016085794E-3</v>
      </c>
      <c r="J131">
        <f t="shared" si="22"/>
        <v>3.021510437307522E-2</v>
      </c>
      <c r="K131">
        <f t="shared" si="23"/>
        <v>-0.16081937838540747</v>
      </c>
      <c r="L131">
        <f t="shared" si="24"/>
        <v>-4.9382596776292378E-2</v>
      </c>
      <c r="M131">
        <f t="shared" si="25"/>
        <v>-9.5837462016085794E-3</v>
      </c>
      <c r="N131">
        <f t="shared" si="26"/>
        <v>2.225533425813778E-2</v>
      </c>
      <c r="O131">
        <f t="shared" si="27"/>
        <v>3.8174874488011525E-2</v>
      </c>
    </row>
    <row r="132" spans="1:15" x14ac:dyDescent="0.3">
      <c r="A132">
        <v>38657</v>
      </c>
      <c r="B132" s="7">
        <v>100.4</v>
      </c>
      <c r="C132">
        <f t="shared" si="28"/>
        <v>6.3357940282640357E-3</v>
      </c>
      <c r="D132">
        <f t="shared" ref="D132:D195" si="29">($B132-AVERAGE($B$2:$B$349))*($B131-AVERAGE($B$2:$B$349))</f>
        <v>6.3357940282640357E-3</v>
      </c>
      <c r="E132">
        <f t="shared" si="17"/>
        <v>-2.5503286431482326E-2</v>
      </c>
      <c r="F132">
        <f t="shared" si="18"/>
        <v>6.3357940282640357E-3</v>
      </c>
      <c r="G132">
        <f t="shared" si="19"/>
        <v>6.3357940282640357E-3</v>
      </c>
      <c r="H132">
        <f t="shared" si="20"/>
        <v>6.3357940282640357E-3</v>
      </c>
      <c r="I132">
        <f t="shared" si="21"/>
        <v>-1.6239760866722716E-3</v>
      </c>
      <c r="J132">
        <f t="shared" si="22"/>
        <v>-9.5837462016085794E-3</v>
      </c>
      <c r="K132">
        <f t="shared" si="23"/>
        <v>3.021510437307522E-2</v>
      </c>
      <c r="L132">
        <f t="shared" si="24"/>
        <v>-0.16081937838540747</v>
      </c>
      <c r="M132">
        <f t="shared" si="25"/>
        <v>-4.9382596776292378E-2</v>
      </c>
      <c r="N132">
        <f t="shared" si="26"/>
        <v>-9.5837462016085794E-3</v>
      </c>
      <c r="O132">
        <f t="shared" si="27"/>
        <v>2.225533425813778E-2</v>
      </c>
    </row>
    <row r="133" spans="1:15" x14ac:dyDescent="0.3">
      <c r="A133">
        <v>38687</v>
      </c>
      <c r="B133" s="7">
        <v>100.8</v>
      </c>
      <c r="C133">
        <f t="shared" si="28"/>
        <v>0.1026576331087645</v>
      </c>
      <c r="D133">
        <f t="shared" si="29"/>
        <v>-2.5503286431482326E-2</v>
      </c>
      <c r="E133">
        <f t="shared" ref="E133:E196" si="30">($B133-AVERAGE($B$2:$B$349))*($B131-AVERAGE($B$2:$B$349))</f>
        <v>-2.5503286431482326E-2</v>
      </c>
      <c r="F133">
        <f t="shared" si="18"/>
        <v>0.1026576331087645</v>
      </c>
      <c r="G133">
        <f t="shared" si="19"/>
        <v>-2.5503286431482326E-2</v>
      </c>
      <c r="H133">
        <f t="shared" si="20"/>
        <v>-2.5503286431482326E-2</v>
      </c>
      <c r="I133">
        <f t="shared" si="21"/>
        <v>-2.5503286431482326E-2</v>
      </c>
      <c r="J133">
        <f t="shared" si="22"/>
        <v>6.5369434535782426E-3</v>
      </c>
      <c r="K133">
        <f t="shared" si="23"/>
        <v>3.8577173338638811E-2</v>
      </c>
      <c r="L133">
        <f t="shared" si="24"/>
        <v>-0.12162397608667314</v>
      </c>
      <c r="M133">
        <f t="shared" si="25"/>
        <v>0.64734154115482601</v>
      </c>
      <c r="N133">
        <f t="shared" si="26"/>
        <v>0.19877832276395074</v>
      </c>
      <c r="O133">
        <f t="shared" si="27"/>
        <v>3.8577173338638811E-2</v>
      </c>
    </row>
    <row r="134" spans="1:15" x14ac:dyDescent="0.3">
      <c r="A134">
        <v>38718</v>
      </c>
      <c r="B134" s="7">
        <v>101.2</v>
      </c>
      <c r="C134">
        <f t="shared" si="28"/>
        <v>0.51897947218927176</v>
      </c>
      <c r="D134">
        <f t="shared" si="29"/>
        <v>0.23081855264901588</v>
      </c>
      <c r="E134">
        <f t="shared" si="30"/>
        <v>-5.7342366891229811E-2</v>
      </c>
      <c r="F134">
        <f t="shared" ref="F134:F197" si="31">($B134-AVERAGE($B$2:$B$349))*($B131-AVERAGE($B$2:$B$349))</f>
        <v>-5.7342366891229811E-2</v>
      </c>
      <c r="G134">
        <f t="shared" si="19"/>
        <v>0.23081855264901588</v>
      </c>
      <c r="H134">
        <f t="shared" si="20"/>
        <v>-5.7342366891229811E-2</v>
      </c>
      <c r="I134">
        <f t="shared" si="21"/>
        <v>-5.7342366891229811E-2</v>
      </c>
      <c r="J134">
        <f t="shared" si="22"/>
        <v>-5.7342366891229811E-2</v>
      </c>
      <c r="K134">
        <f t="shared" si="23"/>
        <v>1.4697862993829048E-2</v>
      </c>
      <c r="L134">
        <f t="shared" si="24"/>
        <v>8.673809287888791E-2</v>
      </c>
      <c r="M134">
        <f t="shared" si="25"/>
        <v>-0.27346305654642689</v>
      </c>
      <c r="N134">
        <f t="shared" si="26"/>
        <v>1.4555024606950882</v>
      </c>
      <c r="O134">
        <f t="shared" si="27"/>
        <v>0.44693924230420268</v>
      </c>
    </row>
    <row r="135" spans="1:15" x14ac:dyDescent="0.3">
      <c r="A135">
        <v>38749</v>
      </c>
      <c r="B135" s="7">
        <v>102.1</v>
      </c>
      <c r="C135">
        <f t="shared" si="28"/>
        <v>2.6257036101203775</v>
      </c>
      <c r="D135">
        <f t="shared" si="29"/>
        <v>1.1673415411548322</v>
      </c>
      <c r="E135">
        <f t="shared" si="30"/>
        <v>0.51918062161457468</v>
      </c>
      <c r="F135">
        <f t="shared" si="31"/>
        <v>-0.12898029792565996</v>
      </c>
      <c r="G135">
        <f t="shared" ref="G135:G198" si="32">($B135-AVERAGE($B$2:$B$349))*($B131-AVERAGE($B$2:$B$349))</f>
        <v>-0.12898029792565996</v>
      </c>
      <c r="H135">
        <f t="shared" si="20"/>
        <v>0.51918062161457468</v>
      </c>
      <c r="I135">
        <f t="shared" si="21"/>
        <v>-0.12898029792565996</v>
      </c>
      <c r="J135">
        <f t="shared" si="22"/>
        <v>-0.12898029792565996</v>
      </c>
      <c r="K135">
        <f t="shared" si="23"/>
        <v>-0.12898029792565996</v>
      </c>
      <c r="L135">
        <f t="shared" si="24"/>
        <v>3.305993195939292E-2</v>
      </c>
      <c r="M135">
        <f t="shared" si="25"/>
        <v>0.19510016184444581</v>
      </c>
      <c r="N135">
        <f t="shared" si="26"/>
        <v>-0.61510098758086473</v>
      </c>
      <c r="O135">
        <f t="shared" si="27"/>
        <v>3.273864529660635</v>
      </c>
    </row>
    <row r="136" spans="1:15" x14ac:dyDescent="0.3">
      <c r="A136">
        <v>38777</v>
      </c>
      <c r="B136" s="7">
        <v>99.5</v>
      </c>
      <c r="C136">
        <f t="shared" si="28"/>
        <v>0.95961165609713683</v>
      </c>
      <c r="D136">
        <f t="shared" si="29"/>
        <v>-1.5873423668912281</v>
      </c>
      <c r="E136">
        <f t="shared" si="30"/>
        <v>-0.70570443585680054</v>
      </c>
      <c r="F136">
        <f t="shared" si="31"/>
        <v>-0.31386535539704563</v>
      </c>
      <c r="G136">
        <f t="shared" si="32"/>
        <v>7.7973725062695329E-2</v>
      </c>
      <c r="H136">
        <f t="shared" ref="H136:H199" si="33">($B136-AVERAGE($B$2:$B$349))*($B131-AVERAGE($B$2:$B$349))</f>
        <v>7.7973725062695329E-2</v>
      </c>
      <c r="I136">
        <f t="shared" si="21"/>
        <v>-0.31386535539704563</v>
      </c>
      <c r="J136">
        <f t="shared" si="22"/>
        <v>7.7973725062695329E-2</v>
      </c>
      <c r="K136">
        <f t="shared" si="23"/>
        <v>7.7973725062695329E-2</v>
      </c>
      <c r="L136">
        <f t="shared" si="24"/>
        <v>7.7973725062695329E-2</v>
      </c>
      <c r="M136">
        <f t="shared" si="25"/>
        <v>-1.9986045052236438E-2</v>
      </c>
      <c r="N136">
        <f t="shared" si="26"/>
        <v>-0.11794581516716819</v>
      </c>
      <c r="O136">
        <f t="shared" si="27"/>
        <v>0.37185303540751846</v>
      </c>
    </row>
    <row r="137" spans="1:15" x14ac:dyDescent="0.3">
      <c r="A137">
        <v>38808</v>
      </c>
      <c r="B137" s="7">
        <v>100.2</v>
      </c>
      <c r="C137">
        <f t="shared" si="28"/>
        <v>7.8174874488012663E-2</v>
      </c>
      <c r="D137">
        <f t="shared" si="29"/>
        <v>0.27389326529257274</v>
      </c>
      <c r="E137">
        <f t="shared" si="30"/>
        <v>-0.4530607576957888</v>
      </c>
      <c r="F137">
        <f t="shared" si="31"/>
        <v>-0.20142282666135777</v>
      </c>
      <c r="G137">
        <f t="shared" si="32"/>
        <v>-8.9583746201608014E-2</v>
      </c>
      <c r="H137">
        <f t="shared" si="33"/>
        <v>2.225533425813778E-2</v>
      </c>
      <c r="I137">
        <f t="shared" ref="I137:I200" si="34">($B137-AVERAGE($B$2:$B$349))*($B131-AVERAGE($B$2:$B$349))</f>
        <v>2.225533425813778E-2</v>
      </c>
      <c r="J137">
        <f t="shared" si="22"/>
        <v>-8.9583746201608014E-2</v>
      </c>
      <c r="K137">
        <f t="shared" si="23"/>
        <v>2.225533425813778E-2</v>
      </c>
      <c r="L137">
        <f t="shared" si="24"/>
        <v>2.225533425813778E-2</v>
      </c>
      <c r="M137">
        <f t="shared" si="25"/>
        <v>2.225533425813778E-2</v>
      </c>
      <c r="N137">
        <f t="shared" si="26"/>
        <v>-5.7044358567976735E-3</v>
      </c>
      <c r="O137">
        <f t="shared" si="27"/>
        <v>-3.3664205971733127E-2</v>
      </c>
    </row>
    <row r="138" spans="1:15" x14ac:dyDescent="0.3">
      <c r="A138">
        <v>38838</v>
      </c>
      <c r="B138" s="7">
        <v>100.6</v>
      </c>
      <c r="C138">
        <f t="shared" si="28"/>
        <v>1.449671356851426E-2</v>
      </c>
      <c r="D138">
        <f t="shared" si="29"/>
        <v>-3.3664205971733127E-2</v>
      </c>
      <c r="E138">
        <f t="shared" si="30"/>
        <v>-0.11794581516716819</v>
      </c>
      <c r="F138">
        <f t="shared" si="31"/>
        <v>0.19510016184444581</v>
      </c>
      <c r="G138">
        <f t="shared" si="32"/>
        <v>8.673809287888791E-2</v>
      </c>
      <c r="H138">
        <f t="shared" si="33"/>
        <v>3.8577173338638811E-2</v>
      </c>
      <c r="I138">
        <f t="shared" si="34"/>
        <v>-9.5837462016085794E-3</v>
      </c>
      <c r="J138">
        <f t="shared" ref="J138:J201" si="35">($B138-AVERAGE($B$2:$B$349))*($B131-AVERAGE($B$2:$B$349))</f>
        <v>-9.5837462016085794E-3</v>
      </c>
      <c r="K138">
        <f t="shared" si="23"/>
        <v>3.8577173338638811E-2</v>
      </c>
      <c r="L138">
        <f t="shared" si="24"/>
        <v>-9.5837462016085794E-3</v>
      </c>
      <c r="M138">
        <f t="shared" si="25"/>
        <v>-9.5837462016085794E-3</v>
      </c>
      <c r="N138">
        <f t="shared" si="26"/>
        <v>-9.5837462016085794E-3</v>
      </c>
      <c r="O138">
        <f t="shared" si="27"/>
        <v>2.4564836834528405E-3</v>
      </c>
    </row>
    <row r="139" spans="1:15" x14ac:dyDescent="0.3">
      <c r="A139">
        <v>38869</v>
      </c>
      <c r="B139" s="7">
        <v>100.4</v>
      </c>
      <c r="C139">
        <f t="shared" si="28"/>
        <v>6.3357940282640357E-3</v>
      </c>
      <c r="D139">
        <f t="shared" si="29"/>
        <v>-9.5837462016085794E-3</v>
      </c>
      <c r="E139">
        <f t="shared" si="30"/>
        <v>2.225533425813778E-2</v>
      </c>
      <c r="F139">
        <f t="shared" si="31"/>
        <v>7.7973725062695329E-2</v>
      </c>
      <c r="G139">
        <f t="shared" si="32"/>
        <v>-0.12898029792565996</v>
      </c>
      <c r="H139">
        <f t="shared" si="33"/>
        <v>-5.7342366891229811E-2</v>
      </c>
      <c r="I139">
        <f t="shared" si="34"/>
        <v>-2.5503286431482326E-2</v>
      </c>
      <c r="J139">
        <f t="shared" si="35"/>
        <v>6.3357940282640357E-3</v>
      </c>
      <c r="K139">
        <f t="shared" ref="K139:K202" si="36">($B139-AVERAGE($B$2:$B$349))*($B131-AVERAGE($B$2:$B$349))</f>
        <v>6.3357940282640357E-3</v>
      </c>
      <c r="L139">
        <f t="shared" si="24"/>
        <v>-2.5503286431482326E-2</v>
      </c>
      <c r="M139">
        <f t="shared" si="25"/>
        <v>6.3357940282640357E-3</v>
      </c>
      <c r="N139">
        <f t="shared" si="26"/>
        <v>6.3357940282640357E-3</v>
      </c>
      <c r="O139">
        <f t="shared" si="27"/>
        <v>6.3357940282640357E-3</v>
      </c>
    </row>
    <row r="140" spans="1:15" x14ac:dyDescent="0.3">
      <c r="A140">
        <v>38899</v>
      </c>
      <c r="B140" s="7">
        <v>100.4</v>
      </c>
      <c r="C140">
        <f t="shared" si="28"/>
        <v>6.3357940282640357E-3</v>
      </c>
      <c r="D140">
        <f t="shared" si="29"/>
        <v>6.3357940282640357E-3</v>
      </c>
      <c r="E140">
        <f t="shared" si="30"/>
        <v>-9.5837462016085794E-3</v>
      </c>
      <c r="F140">
        <f t="shared" si="31"/>
        <v>2.225533425813778E-2</v>
      </c>
      <c r="G140">
        <f t="shared" si="32"/>
        <v>7.7973725062695329E-2</v>
      </c>
      <c r="H140">
        <f t="shared" si="33"/>
        <v>-0.12898029792565996</v>
      </c>
      <c r="I140">
        <f t="shared" si="34"/>
        <v>-5.7342366891229811E-2</v>
      </c>
      <c r="J140">
        <f t="shared" si="35"/>
        <v>-2.5503286431482326E-2</v>
      </c>
      <c r="K140">
        <f t="shared" si="36"/>
        <v>6.3357940282640357E-3</v>
      </c>
      <c r="L140">
        <f t="shared" ref="L140:L203" si="37">($B140-AVERAGE($B$2:$B$349))*($B131-AVERAGE($B$2:$B$349))</f>
        <v>6.3357940282640357E-3</v>
      </c>
      <c r="M140">
        <f t="shared" si="25"/>
        <v>-2.5503286431482326E-2</v>
      </c>
      <c r="N140">
        <f t="shared" si="26"/>
        <v>6.3357940282640357E-3</v>
      </c>
      <c r="O140">
        <f t="shared" si="27"/>
        <v>6.3357940282640357E-3</v>
      </c>
    </row>
    <row r="141" spans="1:15" x14ac:dyDescent="0.3">
      <c r="A141">
        <v>38930</v>
      </c>
      <c r="B141" s="7">
        <v>100.4</v>
      </c>
      <c r="C141">
        <f t="shared" si="28"/>
        <v>6.3357940282640357E-3</v>
      </c>
      <c r="D141">
        <f t="shared" si="29"/>
        <v>6.3357940282640357E-3</v>
      </c>
      <c r="E141">
        <f t="shared" si="30"/>
        <v>6.3357940282640357E-3</v>
      </c>
      <c r="F141">
        <f t="shared" si="31"/>
        <v>-9.5837462016085794E-3</v>
      </c>
      <c r="G141">
        <f t="shared" si="32"/>
        <v>2.225533425813778E-2</v>
      </c>
      <c r="H141">
        <f t="shared" si="33"/>
        <v>7.7973725062695329E-2</v>
      </c>
      <c r="I141">
        <f t="shared" si="34"/>
        <v>-0.12898029792565996</v>
      </c>
      <c r="J141">
        <f t="shared" si="35"/>
        <v>-5.7342366891229811E-2</v>
      </c>
      <c r="K141">
        <f t="shared" si="36"/>
        <v>-2.5503286431482326E-2</v>
      </c>
      <c r="L141">
        <f t="shared" si="37"/>
        <v>6.3357940282640357E-3</v>
      </c>
      <c r="M141">
        <f t="shared" ref="M141:M204" si="38">($B141-AVERAGE($B$2:$B$349))*($B131-AVERAGE($B$2:$B$349))</f>
        <v>6.3357940282640357E-3</v>
      </c>
      <c r="N141">
        <f t="shared" si="26"/>
        <v>-2.5503286431482326E-2</v>
      </c>
      <c r="O141">
        <f t="shared" si="27"/>
        <v>6.3357940282640357E-3</v>
      </c>
    </row>
    <row r="142" spans="1:15" x14ac:dyDescent="0.3">
      <c r="A142">
        <v>38961</v>
      </c>
      <c r="B142" s="7">
        <v>100.3</v>
      </c>
      <c r="C142">
        <f t="shared" si="28"/>
        <v>3.2255334258140617E-2</v>
      </c>
      <c r="D142">
        <f t="shared" si="29"/>
        <v>1.4295564143201473E-2</v>
      </c>
      <c r="E142">
        <f t="shared" si="30"/>
        <v>1.4295564143201473E-2</v>
      </c>
      <c r="F142">
        <f t="shared" si="31"/>
        <v>1.4295564143201473E-2</v>
      </c>
      <c r="G142">
        <f t="shared" si="32"/>
        <v>-2.1623976086671708E-2</v>
      </c>
      <c r="H142">
        <f t="shared" si="33"/>
        <v>5.0215104373077211E-2</v>
      </c>
      <c r="I142">
        <f t="shared" si="34"/>
        <v>0.17593349517764101</v>
      </c>
      <c r="J142">
        <f t="shared" si="35"/>
        <v>-0.2910205278107359</v>
      </c>
      <c r="K142">
        <f t="shared" si="36"/>
        <v>-0.1293825967762989</v>
      </c>
      <c r="L142">
        <f t="shared" si="37"/>
        <v>-5.7543516316547444E-2</v>
      </c>
      <c r="M142">
        <f t="shared" si="38"/>
        <v>1.4295564143201473E-2</v>
      </c>
      <c r="N142">
        <f t="shared" ref="N142:N205" si="39">($B142-AVERAGE($B$2:$B$349))*($B131-AVERAGE($B$2:$B$349))</f>
        <v>1.4295564143201473E-2</v>
      </c>
      <c r="O142">
        <f t="shared" si="27"/>
        <v>-5.7543516316547444E-2</v>
      </c>
    </row>
    <row r="143" spans="1:15" x14ac:dyDescent="0.3">
      <c r="A143">
        <v>38991</v>
      </c>
      <c r="B143" s="7">
        <v>100.2</v>
      </c>
      <c r="C143">
        <f t="shared" si="28"/>
        <v>7.8174874488012663E-2</v>
      </c>
      <c r="D143">
        <f t="shared" si="29"/>
        <v>5.0215104373077211E-2</v>
      </c>
      <c r="E143">
        <f t="shared" si="30"/>
        <v>2.225533425813778E-2</v>
      </c>
      <c r="F143">
        <f t="shared" si="31"/>
        <v>2.225533425813778E-2</v>
      </c>
      <c r="G143">
        <f t="shared" si="32"/>
        <v>2.225533425813778E-2</v>
      </c>
      <c r="H143">
        <f t="shared" si="33"/>
        <v>-3.3664205971733127E-2</v>
      </c>
      <c r="I143">
        <f t="shared" si="34"/>
        <v>7.8174874488012663E-2</v>
      </c>
      <c r="J143">
        <f t="shared" si="35"/>
        <v>0.27389326529257274</v>
      </c>
      <c r="K143">
        <f t="shared" si="36"/>
        <v>-0.4530607576957888</v>
      </c>
      <c r="L143">
        <f t="shared" si="37"/>
        <v>-0.20142282666135777</v>
      </c>
      <c r="M143">
        <f t="shared" si="38"/>
        <v>-8.9583746201608014E-2</v>
      </c>
      <c r="N143">
        <f t="shared" si="39"/>
        <v>2.225533425813778E-2</v>
      </c>
      <c r="O143">
        <f t="shared" ref="O143:O206" si="40">($B143-AVERAGE($B$2:$B$349))*($B131-AVERAGE($B$2:$B$349))</f>
        <v>2.225533425813778E-2</v>
      </c>
    </row>
    <row r="144" spans="1:15" x14ac:dyDescent="0.3">
      <c r="A144">
        <v>39022</v>
      </c>
      <c r="B144" s="7">
        <v>100.6</v>
      </c>
      <c r="C144">
        <f t="shared" si="28"/>
        <v>1.449671356851426E-2</v>
      </c>
      <c r="D144">
        <f t="shared" si="29"/>
        <v>-3.3664205971733127E-2</v>
      </c>
      <c r="E144">
        <f t="shared" si="30"/>
        <v>-2.1623976086671708E-2</v>
      </c>
      <c r="F144">
        <f t="shared" si="31"/>
        <v>-9.5837462016085794E-3</v>
      </c>
      <c r="G144">
        <f t="shared" si="32"/>
        <v>-9.5837462016085794E-3</v>
      </c>
      <c r="H144">
        <f t="shared" si="33"/>
        <v>-9.5837462016085794E-3</v>
      </c>
      <c r="I144">
        <f t="shared" si="34"/>
        <v>1.449671356851426E-2</v>
      </c>
      <c r="J144">
        <f t="shared" si="35"/>
        <v>-3.3664205971733127E-2</v>
      </c>
      <c r="K144">
        <f t="shared" si="36"/>
        <v>-0.11794581516716819</v>
      </c>
      <c r="L144">
        <f t="shared" si="37"/>
        <v>0.19510016184444581</v>
      </c>
      <c r="M144">
        <f t="shared" si="38"/>
        <v>8.673809287888791E-2</v>
      </c>
      <c r="N144">
        <f t="shared" si="39"/>
        <v>3.8577173338638811E-2</v>
      </c>
      <c r="O144">
        <f t="shared" si="40"/>
        <v>-9.5837462016085794E-3</v>
      </c>
    </row>
    <row r="145" spans="1:15" x14ac:dyDescent="0.3">
      <c r="A145">
        <v>39052</v>
      </c>
      <c r="B145" s="7">
        <v>100.5</v>
      </c>
      <c r="C145">
        <f t="shared" si="28"/>
        <v>4.1625379839028444E-4</v>
      </c>
      <c r="D145">
        <f t="shared" si="29"/>
        <v>2.4564836834528405E-3</v>
      </c>
      <c r="E145">
        <f t="shared" si="30"/>
        <v>-5.7044358567976735E-3</v>
      </c>
      <c r="F145">
        <f t="shared" si="31"/>
        <v>-3.664205971735118E-3</v>
      </c>
      <c r="G145">
        <f t="shared" si="32"/>
        <v>-1.6239760866722716E-3</v>
      </c>
      <c r="H145">
        <f t="shared" si="33"/>
        <v>-1.6239760866722716E-3</v>
      </c>
      <c r="I145">
        <f t="shared" si="34"/>
        <v>-1.6239760866722716E-3</v>
      </c>
      <c r="J145">
        <f t="shared" si="35"/>
        <v>2.4564836834528405E-3</v>
      </c>
      <c r="K145">
        <f t="shared" si="36"/>
        <v>-5.7044358567976735E-3</v>
      </c>
      <c r="L145">
        <f t="shared" si="37"/>
        <v>-1.9986045052236438E-2</v>
      </c>
      <c r="M145">
        <f t="shared" si="38"/>
        <v>3.305993195939292E-2</v>
      </c>
      <c r="N145">
        <f t="shared" si="39"/>
        <v>1.4697862993829048E-2</v>
      </c>
      <c r="O145">
        <f t="shared" si="40"/>
        <v>6.5369434535782426E-3</v>
      </c>
    </row>
    <row r="146" spans="1:15" x14ac:dyDescent="0.3">
      <c r="A146">
        <v>39083</v>
      </c>
      <c r="B146" s="7">
        <v>101.1</v>
      </c>
      <c r="C146">
        <f t="shared" si="28"/>
        <v>0.38489901241913532</v>
      </c>
      <c r="D146">
        <f t="shared" si="29"/>
        <v>1.2657633108766201E-2</v>
      </c>
      <c r="E146">
        <f t="shared" si="30"/>
        <v>7.4697862993824776E-2</v>
      </c>
      <c r="F146">
        <f t="shared" si="31"/>
        <v>-0.17346305654641836</v>
      </c>
      <c r="G146">
        <f t="shared" si="32"/>
        <v>-0.11142282666135978</v>
      </c>
      <c r="H146">
        <f t="shared" si="33"/>
        <v>-4.9382596776292378E-2</v>
      </c>
      <c r="I146">
        <f t="shared" si="34"/>
        <v>-4.9382596776292378E-2</v>
      </c>
      <c r="J146">
        <f t="shared" si="35"/>
        <v>-4.9382596776292378E-2</v>
      </c>
      <c r="K146">
        <f t="shared" si="36"/>
        <v>7.4697862993824776E-2</v>
      </c>
      <c r="L146">
        <f t="shared" si="37"/>
        <v>-0.17346305654641836</v>
      </c>
      <c r="M146">
        <f t="shared" si="38"/>
        <v>-0.60774466574185482</v>
      </c>
      <c r="N146">
        <f t="shared" si="39"/>
        <v>1.0053013112697564</v>
      </c>
      <c r="O146">
        <f t="shared" si="40"/>
        <v>0.44693924230420268</v>
      </c>
    </row>
    <row r="147" spans="1:15" x14ac:dyDescent="0.3">
      <c r="A147">
        <v>39114</v>
      </c>
      <c r="B147" s="7">
        <v>102.2</v>
      </c>
      <c r="C147">
        <f t="shared" si="28"/>
        <v>2.9597840698905311</v>
      </c>
      <c r="D147">
        <f t="shared" si="29"/>
        <v>1.0673415411548237</v>
      </c>
      <c r="E147">
        <f t="shared" si="30"/>
        <v>3.5100161844455767E-2</v>
      </c>
      <c r="F147">
        <f t="shared" si="31"/>
        <v>0.20714039172950893</v>
      </c>
      <c r="G147">
        <f t="shared" si="32"/>
        <v>-0.48102052781072824</v>
      </c>
      <c r="H147">
        <f t="shared" si="33"/>
        <v>-0.30898029792567505</v>
      </c>
      <c r="I147">
        <f t="shared" si="34"/>
        <v>-0.13694006804059741</v>
      </c>
      <c r="J147">
        <f t="shared" si="35"/>
        <v>-0.13694006804059741</v>
      </c>
      <c r="K147">
        <f t="shared" si="36"/>
        <v>-0.13694006804059741</v>
      </c>
      <c r="L147">
        <f t="shared" si="37"/>
        <v>0.20714039172950893</v>
      </c>
      <c r="M147">
        <f t="shared" si="38"/>
        <v>-0.48102052781072824</v>
      </c>
      <c r="N147">
        <f t="shared" si="39"/>
        <v>-1.6853021370061738</v>
      </c>
      <c r="O147">
        <f t="shared" si="40"/>
        <v>2.7877438400054535</v>
      </c>
    </row>
    <row r="148" spans="1:15" x14ac:dyDescent="0.3">
      <c r="A148">
        <v>39142</v>
      </c>
      <c r="B148" s="7">
        <v>99.8</v>
      </c>
      <c r="C148">
        <f t="shared" si="28"/>
        <v>0.46185303540751677</v>
      </c>
      <c r="D148">
        <f t="shared" si="29"/>
        <v>-1.1691814473509898</v>
      </c>
      <c r="E148">
        <f t="shared" si="30"/>
        <v>-0.42162397608667029</v>
      </c>
      <c r="F148">
        <f t="shared" si="31"/>
        <v>-1.3865355397048479E-2</v>
      </c>
      <c r="G148">
        <f t="shared" si="32"/>
        <v>-8.1825125511982233E-2</v>
      </c>
      <c r="H148">
        <f t="shared" si="33"/>
        <v>0.19001395494776244</v>
      </c>
      <c r="I148">
        <f t="shared" si="34"/>
        <v>0.12205418483282868</v>
      </c>
      <c r="J148">
        <f t="shared" si="35"/>
        <v>5.4094414717885272E-2</v>
      </c>
      <c r="K148">
        <f t="shared" si="36"/>
        <v>5.4094414717885272E-2</v>
      </c>
      <c r="L148">
        <f t="shared" si="37"/>
        <v>5.4094414717885272E-2</v>
      </c>
      <c r="M148">
        <f t="shared" si="38"/>
        <v>-8.1825125511982233E-2</v>
      </c>
      <c r="N148">
        <f t="shared" si="39"/>
        <v>0.19001395494776244</v>
      </c>
      <c r="O148">
        <f t="shared" si="40"/>
        <v>0.66573234575232765</v>
      </c>
    </row>
    <row r="149" spans="1:15" x14ac:dyDescent="0.3">
      <c r="A149">
        <v>39173</v>
      </c>
      <c r="B149" s="7">
        <v>100.5</v>
      </c>
      <c r="C149">
        <f t="shared" si="28"/>
        <v>4.1625379839028444E-4</v>
      </c>
      <c r="D149">
        <f t="shared" si="29"/>
        <v>-1.3865355397048479E-2</v>
      </c>
      <c r="E149">
        <f t="shared" si="30"/>
        <v>3.5100161844455767E-2</v>
      </c>
      <c r="F149">
        <f t="shared" si="31"/>
        <v>1.2657633108766201E-2</v>
      </c>
      <c r="G149">
        <f t="shared" si="32"/>
        <v>4.1625379839028444E-4</v>
      </c>
      <c r="H149">
        <f t="shared" si="33"/>
        <v>2.4564836834528405E-3</v>
      </c>
      <c r="I149">
        <f t="shared" si="34"/>
        <v>-5.7044358567976735E-3</v>
      </c>
      <c r="J149">
        <f t="shared" si="35"/>
        <v>-3.664205971735118E-3</v>
      </c>
      <c r="K149">
        <f t="shared" si="36"/>
        <v>-1.6239760866722716E-3</v>
      </c>
      <c r="L149">
        <f t="shared" si="37"/>
        <v>-1.6239760866722716E-3</v>
      </c>
      <c r="M149">
        <f t="shared" si="38"/>
        <v>-1.6239760866722716E-3</v>
      </c>
      <c r="N149">
        <f t="shared" si="39"/>
        <v>2.4564836834528405E-3</v>
      </c>
      <c r="O149">
        <f t="shared" si="40"/>
        <v>-5.7044358567976735E-3</v>
      </c>
    </row>
    <row r="150" spans="1:15" x14ac:dyDescent="0.3">
      <c r="A150">
        <v>39203</v>
      </c>
      <c r="B150" s="7">
        <v>100.8</v>
      </c>
      <c r="C150">
        <f t="shared" si="28"/>
        <v>0.1026576331087645</v>
      </c>
      <c r="D150">
        <f t="shared" si="29"/>
        <v>6.5369434535782426E-3</v>
      </c>
      <c r="E150">
        <f t="shared" si="30"/>
        <v>-0.21774466574185938</v>
      </c>
      <c r="F150">
        <f t="shared" si="31"/>
        <v>0.55122085149963973</v>
      </c>
      <c r="G150">
        <f t="shared" si="32"/>
        <v>0.19877832276395074</v>
      </c>
      <c r="H150">
        <f t="shared" si="33"/>
        <v>6.5369434535782426E-3</v>
      </c>
      <c r="I150">
        <f t="shared" si="34"/>
        <v>3.8577173338638811E-2</v>
      </c>
      <c r="J150">
        <f t="shared" si="35"/>
        <v>-8.9583746201608014E-2</v>
      </c>
      <c r="K150">
        <f t="shared" si="36"/>
        <v>-5.7543516316547444E-2</v>
      </c>
      <c r="L150">
        <f t="shared" si="37"/>
        <v>-2.5503286431482326E-2</v>
      </c>
      <c r="M150">
        <f t="shared" si="38"/>
        <v>-2.5503286431482326E-2</v>
      </c>
      <c r="N150">
        <f t="shared" si="39"/>
        <v>-2.5503286431482326E-2</v>
      </c>
      <c r="O150">
        <f t="shared" si="40"/>
        <v>3.8577173338638811E-2</v>
      </c>
    </row>
    <row r="151" spans="1:15" x14ac:dyDescent="0.3">
      <c r="A151">
        <v>39234</v>
      </c>
      <c r="B151" s="7">
        <v>100.9</v>
      </c>
      <c r="C151">
        <f t="shared" si="28"/>
        <v>0.17673809287889644</v>
      </c>
      <c r="D151">
        <f t="shared" si="29"/>
        <v>0.1346978629938296</v>
      </c>
      <c r="E151">
        <f t="shared" si="30"/>
        <v>8.5771733386410896E-3</v>
      </c>
      <c r="F151">
        <f t="shared" si="31"/>
        <v>-0.28570443585680277</v>
      </c>
      <c r="G151">
        <f t="shared" si="32"/>
        <v>0.72326108138471734</v>
      </c>
      <c r="H151">
        <f t="shared" si="33"/>
        <v>0.26081855264901815</v>
      </c>
      <c r="I151">
        <f t="shared" si="34"/>
        <v>8.5771733386410896E-3</v>
      </c>
      <c r="J151">
        <f t="shared" si="35"/>
        <v>5.0617403223701937E-2</v>
      </c>
      <c r="K151">
        <f t="shared" si="36"/>
        <v>-0.11754351631654744</v>
      </c>
      <c r="L151">
        <f t="shared" si="37"/>
        <v>-7.5503286431486585E-2</v>
      </c>
      <c r="M151">
        <f t="shared" si="38"/>
        <v>-3.3463056546419762E-2</v>
      </c>
      <c r="N151">
        <f t="shared" si="39"/>
        <v>-3.3463056546419762E-2</v>
      </c>
      <c r="O151">
        <f t="shared" si="40"/>
        <v>-3.3463056546419762E-2</v>
      </c>
    </row>
    <row r="152" spans="1:15" x14ac:dyDescent="0.3">
      <c r="A152">
        <v>39264</v>
      </c>
      <c r="B152" s="7">
        <v>100.9</v>
      </c>
      <c r="C152">
        <f t="shared" si="28"/>
        <v>0.17673809287889644</v>
      </c>
      <c r="D152">
        <f t="shared" si="29"/>
        <v>0.17673809287889644</v>
      </c>
      <c r="E152">
        <f t="shared" si="30"/>
        <v>0.1346978629938296</v>
      </c>
      <c r="F152">
        <f t="shared" si="31"/>
        <v>8.5771733386410896E-3</v>
      </c>
      <c r="G152">
        <f t="shared" si="32"/>
        <v>-0.28570443585680277</v>
      </c>
      <c r="H152">
        <f t="shared" si="33"/>
        <v>0.72326108138471734</v>
      </c>
      <c r="I152">
        <f t="shared" si="34"/>
        <v>0.26081855264901815</v>
      </c>
      <c r="J152">
        <f t="shared" si="35"/>
        <v>8.5771733386410896E-3</v>
      </c>
      <c r="K152">
        <f t="shared" si="36"/>
        <v>5.0617403223701937E-2</v>
      </c>
      <c r="L152">
        <f t="shared" si="37"/>
        <v>-0.11754351631654744</v>
      </c>
      <c r="M152">
        <f t="shared" si="38"/>
        <v>-7.5503286431486585E-2</v>
      </c>
      <c r="N152">
        <f t="shared" si="39"/>
        <v>-3.3463056546419762E-2</v>
      </c>
      <c r="O152">
        <f t="shared" si="40"/>
        <v>-3.3463056546419762E-2</v>
      </c>
    </row>
    <row r="153" spans="1:15" x14ac:dyDescent="0.3">
      <c r="A153">
        <v>39295</v>
      </c>
      <c r="B153" s="7">
        <v>100.6</v>
      </c>
      <c r="C153">
        <f t="shared" si="28"/>
        <v>1.449671356851426E-2</v>
      </c>
      <c r="D153">
        <f t="shared" si="29"/>
        <v>5.0617403223701937E-2</v>
      </c>
      <c r="E153">
        <f t="shared" si="30"/>
        <v>5.0617403223701937E-2</v>
      </c>
      <c r="F153">
        <f t="shared" si="31"/>
        <v>3.8577173338638811E-2</v>
      </c>
      <c r="G153">
        <f t="shared" si="32"/>
        <v>2.4564836834528405E-3</v>
      </c>
      <c r="H153">
        <f t="shared" si="33"/>
        <v>-8.1825125511982233E-2</v>
      </c>
      <c r="I153">
        <f t="shared" si="34"/>
        <v>0.20714039172950893</v>
      </c>
      <c r="J153">
        <f t="shared" si="35"/>
        <v>7.4697862993824776E-2</v>
      </c>
      <c r="K153">
        <f t="shared" si="36"/>
        <v>2.4564836834528405E-3</v>
      </c>
      <c r="L153">
        <f t="shared" si="37"/>
        <v>1.449671356851426E-2</v>
      </c>
      <c r="M153">
        <f t="shared" si="38"/>
        <v>-3.3664205971733127E-2</v>
      </c>
      <c r="N153">
        <f t="shared" si="39"/>
        <v>-2.1623976086671708E-2</v>
      </c>
      <c r="O153">
        <f t="shared" si="40"/>
        <v>-9.5837462016085794E-3</v>
      </c>
    </row>
    <row r="154" spans="1:15" x14ac:dyDescent="0.3">
      <c r="A154">
        <v>39326</v>
      </c>
      <c r="B154" s="7">
        <v>100.5</v>
      </c>
      <c r="C154">
        <f t="shared" si="28"/>
        <v>4.1625379839028444E-4</v>
      </c>
      <c r="D154">
        <f t="shared" si="29"/>
        <v>2.4564836834528405E-3</v>
      </c>
      <c r="E154">
        <f t="shared" si="30"/>
        <v>8.5771733386410896E-3</v>
      </c>
      <c r="F154">
        <f t="shared" si="31"/>
        <v>8.5771733386410896E-3</v>
      </c>
      <c r="G154">
        <f t="shared" si="32"/>
        <v>6.5369434535782426E-3</v>
      </c>
      <c r="H154">
        <f t="shared" si="33"/>
        <v>4.1625379839028444E-4</v>
      </c>
      <c r="I154">
        <f t="shared" si="34"/>
        <v>-1.3865355397048479E-2</v>
      </c>
      <c r="J154">
        <f t="shared" si="35"/>
        <v>3.5100161844455767E-2</v>
      </c>
      <c r="K154">
        <f t="shared" si="36"/>
        <v>1.2657633108766201E-2</v>
      </c>
      <c r="L154">
        <f t="shared" si="37"/>
        <v>4.1625379839028444E-4</v>
      </c>
      <c r="M154">
        <f t="shared" si="38"/>
        <v>2.4564836834528405E-3</v>
      </c>
      <c r="N154">
        <f t="shared" si="39"/>
        <v>-5.7044358567976735E-3</v>
      </c>
      <c r="O154">
        <f t="shared" si="40"/>
        <v>-3.664205971735118E-3</v>
      </c>
    </row>
    <row r="155" spans="1:15" x14ac:dyDescent="0.3">
      <c r="A155">
        <v>39356</v>
      </c>
      <c r="B155" s="7">
        <v>100.7</v>
      </c>
      <c r="C155">
        <f t="shared" si="28"/>
        <v>4.8577173338642227E-2</v>
      </c>
      <c r="D155">
        <f t="shared" si="29"/>
        <v>4.4967135685156871E-3</v>
      </c>
      <c r="E155">
        <f t="shared" si="30"/>
        <v>2.6536943453577391E-2</v>
      </c>
      <c r="F155">
        <f t="shared" si="31"/>
        <v>9.2657633108768761E-2</v>
      </c>
      <c r="G155">
        <f t="shared" si="32"/>
        <v>9.2657633108768761E-2</v>
      </c>
      <c r="H155">
        <f t="shared" si="33"/>
        <v>7.0617403223703926E-2</v>
      </c>
      <c r="I155">
        <f t="shared" si="34"/>
        <v>4.4967135685156871E-3</v>
      </c>
      <c r="J155">
        <f t="shared" si="35"/>
        <v>-0.14978489562692562</v>
      </c>
      <c r="K155">
        <f t="shared" si="36"/>
        <v>0.37918062161458654</v>
      </c>
      <c r="L155">
        <f t="shared" si="37"/>
        <v>0.13673809287889216</v>
      </c>
      <c r="M155">
        <f t="shared" si="38"/>
        <v>4.4967135685156871E-3</v>
      </c>
      <c r="N155">
        <f t="shared" si="39"/>
        <v>2.6536943453577391E-2</v>
      </c>
      <c r="O155">
        <f t="shared" si="40"/>
        <v>-6.1623976086672555E-2</v>
      </c>
    </row>
    <row r="156" spans="1:15" x14ac:dyDescent="0.3">
      <c r="A156">
        <v>39387</v>
      </c>
      <c r="B156" s="7">
        <v>101.2</v>
      </c>
      <c r="C156">
        <f t="shared" si="28"/>
        <v>0.51897947218927176</v>
      </c>
      <c r="D156">
        <f t="shared" si="29"/>
        <v>0.15877832276395701</v>
      </c>
      <c r="E156">
        <f t="shared" si="30"/>
        <v>1.4697862993829048E-2</v>
      </c>
      <c r="F156">
        <f t="shared" si="31"/>
        <v>8.673809287888791E-2</v>
      </c>
      <c r="G156">
        <f t="shared" si="32"/>
        <v>0.30285878253408499</v>
      </c>
      <c r="H156">
        <f t="shared" si="33"/>
        <v>0.30285878253408499</v>
      </c>
      <c r="I156">
        <f t="shared" si="34"/>
        <v>0.23081855264901588</v>
      </c>
      <c r="J156">
        <f t="shared" si="35"/>
        <v>1.4697862993829048E-2</v>
      </c>
      <c r="K156">
        <f t="shared" si="36"/>
        <v>-0.48958374620161371</v>
      </c>
      <c r="L156">
        <f t="shared" si="37"/>
        <v>1.2393817710399013</v>
      </c>
      <c r="M156">
        <f t="shared" si="38"/>
        <v>0.44693924230420268</v>
      </c>
      <c r="N156">
        <f t="shared" si="39"/>
        <v>1.4697862993829048E-2</v>
      </c>
      <c r="O156">
        <f t="shared" si="40"/>
        <v>8.673809287888791E-2</v>
      </c>
    </row>
    <row r="157" spans="1:15" x14ac:dyDescent="0.3">
      <c r="A157">
        <v>39417</v>
      </c>
      <c r="B157" s="7">
        <v>102.9</v>
      </c>
      <c r="C157">
        <f t="shared" si="28"/>
        <v>5.8583472882814265</v>
      </c>
      <c r="D157">
        <f t="shared" si="29"/>
        <v>1.7436633802353441</v>
      </c>
      <c r="E157">
        <f t="shared" si="30"/>
        <v>0.53346223081002786</v>
      </c>
      <c r="F157">
        <f t="shared" si="31"/>
        <v>4.938177103989453E-2</v>
      </c>
      <c r="G157">
        <f t="shared" si="32"/>
        <v>0.29142200092494402</v>
      </c>
      <c r="H157">
        <f t="shared" si="33"/>
        <v>1.0175426905801612</v>
      </c>
      <c r="I157">
        <f t="shared" si="34"/>
        <v>1.0175426905801612</v>
      </c>
      <c r="J157">
        <f t="shared" si="35"/>
        <v>0.77550246069507733</v>
      </c>
      <c r="K157">
        <f t="shared" si="36"/>
        <v>4.938177103989453E-2</v>
      </c>
      <c r="L157">
        <f t="shared" si="37"/>
        <v>-1.6448998381555551</v>
      </c>
      <c r="M157">
        <f t="shared" si="38"/>
        <v>4.1640656790859767</v>
      </c>
      <c r="N157">
        <f t="shared" si="39"/>
        <v>1.5016231503502602</v>
      </c>
      <c r="O157">
        <f t="shared" si="40"/>
        <v>4.938177103989453E-2</v>
      </c>
    </row>
    <row r="158" spans="1:15" x14ac:dyDescent="0.3">
      <c r="A158">
        <v>39448</v>
      </c>
      <c r="B158" s="7">
        <v>102.4</v>
      </c>
      <c r="C158">
        <f t="shared" si="28"/>
        <v>3.6879449894307936</v>
      </c>
      <c r="D158">
        <f t="shared" si="29"/>
        <v>4.6481461388561103</v>
      </c>
      <c r="E158">
        <f t="shared" si="30"/>
        <v>1.3834622308100293</v>
      </c>
      <c r="F158">
        <f t="shared" si="31"/>
        <v>0.42326108138471313</v>
      </c>
      <c r="G158">
        <f t="shared" si="32"/>
        <v>3.9180621614581169E-2</v>
      </c>
      <c r="H158">
        <f t="shared" si="33"/>
        <v>0.23122085149963351</v>
      </c>
      <c r="I158">
        <f t="shared" si="34"/>
        <v>0.80734154115484502</v>
      </c>
      <c r="J158">
        <f t="shared" si="35"/>
        <v>0.80734154115484502</v>
      </c>
      <c r="K158">
        <f t="shared" si="36"/>
        <v>0.61530131126976539</v>
      </c>
      <c r="L158">
        <f t="shared" si="37"/>
        <v>3.9180621614581169E-2</v>
      </c>
      <c r="M158">
        <f t="shared" si="38"/>
        <v>-1.305100987580867</v>
      </c>
      <c r="N158">
        <f t="shared" si="39"/>
        <v>3.3038645296606619</v>
      </c>
      <c r="O158">
        <f t="shared" si="40"/>
        <v>1.1914220009249497</v>
      </c>
    </row>
    <row r="159" spans="1:15" x14ac:dyDescent="0.3">
      <c r="A159">
        <v>39479</v>
      </c>
      <c r="B159" s="7">
        <v>103.6</v>
      </c>
      <c r="C159">
        <f t="shared" si="28"/>
        <v>9.7369105066722401</v>
      </c>
      <c r="D159">
        <f t="shared" si="29"/>
        <v>5.9924277480515311</v>
      </c>
      <c r="E159">
        <f t="shared" si="30"/>
        <v>7.5526288974768416</v>
      </c>
      <c r="F159">
        <f t="shared" si="31"/>
        <v>2.2479449894307768</v>
      </c>
      <c r="G159">
        <f t="shared" si="32"/>
        <v>0.68774384000546607</v>
      </c>
      <c r="H159">
        <f t="shared" si="33"/>
        <v>6.3663380235333009E-2</v>
      </c>
      <c r="I159">
        <f t="shared" si="34"/>
        <v>0.3757036101203774</v>
      </c>
      <c r="J159">
        <f t="shared" si="35"/>
        <v>1.3118242997755991</v>
      </c>
      <c r="K159">
        <f t="shared" si="36"/>
        <v>1.3118242997755991</v>
      </c>
      <c r="L159">
        <f t="shared" si="37"/>
        <v>0.9997840698905105</v>
      </c>
      <c r="M159">
        <f t="shared" si="38"/>
        <v>6.3663380235333009E-2</v>
      </c>
      <c r="N159">
        <f t="shared" si="39"/>
        <v>-2.1206182289601108</v>
      </c>
      <c r="O159">
        <f t="shared" si="40"/>
        <v>5.3683472882813978</v>
      </c>
    </row>
    <row r="160" spans="1:15" x14ac:dyDescent="0.3">
      <c r="A160">
        <v>39508</v>
      </c>
      <c r="B160" s="7">
        <v>103</v>
      </c>
      <c r="C160">
        <f t="shared" si="28"/>
        <v>6.3524277480515243</v>
      </c>
      <c r="D160">
        <f t="shared" si="29"/>
        <v>7.8646691273618856</v>
      </c>
      <c r="E160">
        <f t="shared" si="30"/>
        <v>4.8401863687411621</v>
      </c>
      <c r="F160">
        <f t="shared" si="31"/>
        <v>6.1003875181664755</v>
      </c>
      <c r="G160">
        <f t="shared" si="32"/>
        <v>1.8157036101204029</v>
      </c>
      <c r="H160">
        <f t="shared" si="33"/>
        <v>0.55550246069508957</v>
      </c>
      <c r="I160">
        <f t="shared" si="34"/>
        <v>5.1422000924957086E-2</v>
      </c>
      <c r="J160">
        <f t="shared" si="35"/>
        <v>0.30346223081000545</v>
      </c>
      <c r="K160">
        <f t="shared" si="36"/>
        <v>1.0595829204652221</v>
      </c>
      <c r="L160">
        <f t="shared" si="37"/>
        <v>1.0595829204652221</v>
      </c>
      <c r="M160">
        <f t="shared" si="38"/>
        <v>0.80754269058013795</v>
      </c>
      <c r="N160">
        <f t="shared" si="39"/>
        <v>5.1422000924957086E-2</v>
      </c>
      <c r="O160">
        <f t="shared" si="40"/>
        <v>-1.7128596082704888</v>
      </c>
    </row>
    <row r="161" spans="1:15" x14ac:dyDescent="0.3">
      <c r="A161">
        <v>39539</v>
      </c>
      <c r="B161" s="7">
        <v>102.2</v>
      </c>
      <c r="C161">
        <f t="shared" si="28"/>
        <v>2.9597840698905311</v>
      </c>
      <c r="D161">
        <f t="shared" si="29"/>
        <v>4.3361059089710299</v>
      </c>
      <c r="E161">
        <f t="shared" si="30"/>
        <v>5.3683472882813978</v>
      </c>
      <c r="F161">
        <f t="shared" si="31"/>
        <v>3.3038645296606619</v>
      </c>
      <c r="G161">
        <f t="shared" si="32"/>
        <v>4.1640656790859767</v>
      </c>
      <c r="H161">
        <f t="shared" si="33"/>
        <v>1.2393817710399013</v>
      </c>
      <c r="I161">
        <f t="shared" si="34"/>
        <v>0.37918062161458654</v>
      </c>
      <c r="J161">
        <f t="shared" si="35"/>
        <v>3.5100161844455767E-2</v>
      </c>
      <c r="K161">
        <f t="shared" si="36"/>
        <v>0.20714039172950893</v>
      </c>
      <c r="L161">
        <f t="shared" si="37"/>
        <v>0.72326108138471734</v>
      </c>
      <c r="M161">
        <f t="shared" si="38"/>
        <v>0.72326108138471734</v>
      </c>
      <c r="N161">
        <f t="shared" si="39"/>
        <v>0.55122085149963973</v>
      </c>
      <c r="O161">
        <f t="shared" si="40"/>
        <v>3.5100161844455767E-2</v>
      </c>
    </row>
    <row r="162" spans="1:15" x14ac:dyDescent="0.3">
      <c r="A162">
        <v>39569</v>
      </c>
      <c r="B162" s="7">
        <v>103.9</v>
      </c>
      <c r="C162">
        <f t="shared" si="28"/>
        <v>11.69915188598269</v>
      </c>
      <c r="D162">
        <f t="shared" si="29"/>
        <v>5.8844679779366063</v>
      </c>
      <c r="E162">
        <f t="shared" si="30"/>
        <v>8.6207898170171031</v>
      </c>
      <c r="F162">
        <f t="shared" si="31"/>
        <v>10.673031196327463</v>
      </c>
      <c r="G162">
        <f t="shared" si="32"/>
        <v>6.5685484377067427</v>
      </c>
      <c r="H162">
        <f t="shared" si="33"/>
        <v>8.278749587132058</v>
      </c>
      <c r="I162">
        <f t="shared" si="34"/>
        <v>2.4640656790859738</v>
      </c>
      <c r="J162">
        <f t="shared" si="35"/>
        <v>0.75386452966065742</v>
      </c>
      <c r="K162">
        <f t="shared" si="36"/>
        <v>6.9784069890521258E-2</v>
      </c>
      <c r="L162">
        <f t="shared" si="37"/>
        <v>0.41182429977556506</v>
      </c>
      <c r="M162">
        <f t="shared" si="38"/>
        <v>1.4379449894307936</v>
      </c>
      <c r="N162">
        <f t="shared" si="39"/>
        <v>1.4379449894307936</v>
      </c>
      <c r="O162">
        <f t="shared" si="40"/>
        <v>1.0959047595457012</v>
      </c>
    </row>
    <row r="163" spans="1:15" x14ac:dyDescent="0.3">
      <c r="A163">
        <v>39600</v>
      </c>
      <c r="B163" s="7">
        <v>102.1</v>
      </c>
      <c r="C163">
        <f t="shared" si="28"/>
        <v>2.6257036101203775</v>
      </c>
      <c r="D163">
        <f t="shared" si="29"/>
        <v>5.5424277480515141</v>
      </c>
      <c r="E163">
        <f t="shared" si="30"/>
        <v>2.7877438400054535</v>
      </c>
      <c r="F163">
        <f t="shared" si="31"/>
        <v>4.0840656790859455</v>
      </c>
      <c r="G163">
        <f t="shared" si="32"/>
        <v>5.0563070583963086</v>
      </c>
      <c r="H163">
        <f t="shared" si="33"/>
        <v>3.1118242997755821</v>
      </c>
      <c r="I163">
        <f t="shared" si="34"/>
        <v>3.9220254492008926</v>
      </c>
      <c r="J163">
        <f t="shared" si="35"/>
        <v>1.1673415411548322</v>
      </c>
      <c r="K163">
        <f t="shared" si="36"/>
        <v>0.35714039172952172</v>
      </c>
      <c r="L163">
        <f t="shared" si="37"/>
        <v>3.305993195939292E-2</v>
      </c>
      <c r="M163">
        <f t="shared" si="38"/>
        <v>0.19510016184444581</v>
      </c>
      <c r="N163">
        <f t="shared" si="39"/>
        <v>0.6812208514996505</v>
      </c>
      <c r="O163">
        <f t="shared" si="40"/>
        <v>0.6812208514996505</v>
      </c>
    </row>
    <row r="164" spans="1:15" x14ac:dyDescent="0.3">
      <c r="A164">
        <v>39630</v>
      </c>
      <c r="B164" s="7">
        <v>101.1</v>
      </c>
      <c r="C164">
        <f t="shared" si="28"/>
        <v>0.38489901241913532</v>
      </c>
      <c r="D164">
        <f t="shared" si="29"/>
        <v>1.0053013112697564</v>
      </c>
      <c r="E164">
        <f t="shared" si="30"/>
        <v>2.1220254492008812</v>
      </c>
      <c r="F164">
        <f t="shared" si="31"/>
        <v>1.0673415411548237</v>
      </c>
      <c r="G164">
        <f t="shared" si="32"/>
        <v>1.5636633802353188</v>
      </c>
      <c r="H164">
        <f t="shared" si="33"/>
        <v>1.935904759545688</v>
      </c>
      <c r="I164">
        <f t="shared" si="34"/>
        <v>1.1914220009249497</v>
      </c>
      <c r="J164">
        <f t="shared" si="35"/>
        <v>1.5016231503502602</v>
      </c>
      <c r="K164">
        <f t="shared" si="36"/>
        <v>0.44693924230420268</v>
      </c>
      <c r="L164">
        <f t="shared" si="37"/>
        <v>0.13673809287889216</v>
      </c>
      <c r="M164">
        <f t="shared" si="38"/>
        <v>1.2657633108766201E-2</v>
      </c>
      <c r="N164">
        <f t="shared" si="39"/>
        <v>7.4697862993824776E-2</v>
      </c>
      <c r="O164">
        <f t="shared" si="40"/>
        <v>0.26081855264901815</v>
      </c>
    </row>
    <row r="165" spans="1:15" x14ac:dyDescent="0.3">
      <c r="A165">
        <v>39661</v>
      </c>
      <c r="B165" s="7">
        <v>101.6</v>
      </c>
      <c r="C165">
        <f t="shared" si="28"/>
        <v>1.2553013112697564</v>
      </c>
      <c r="D165">
        <f t="shared" si="29"/>
        <v>0.69510016184444579</v>
      </c>
      <c r="E165">
        <f t="shared" si="30"/>
        <v>1.8155024606950669</v>
      </c>
      <c r="F165">
        <f t="shared" si="31"/>
        <v>3.8322265986261974</v>
      </c>
      <c r="G165">
        <f t="shared" si="32"/>
        <v>1.9275426905801385</v>
      </c>
      <c r="H165">
        <f t="shared" si="33"/>
        <v>2.8238645296606322</v>
      </c>
      <c r="I165">
        <f t="shared" si="34"/>
        <v>3.4961059089709985</v>
      </c>
      <c r="J165">
        <f t="shared" si="35"/>
        <v>2.1516231503502659</v>
      </c>
      <c r="K165">
        <f t="shared" si="36"/>
        <v>2.7118242997755764</v>
      </c>
      <c r="L165">
        <f t="shared" si="37"/>
        <v>0.80714039172951746</v>
      </c>
      <c r="M165">
        <f t="shared" si="38"/>
        <v>0.24693924230420694</v>
      </c>
      <c r="N165">
        <f t="shared" si="39"/>
        <v>2.2858782534079563E-2</v>
      </c>
      <c r="O165">
        <f t="shared" si="40"/>
        <v>0.13489901241913529</v>
      </c>
    </row>
    <row r="166" spans="1:15" x14ac:dyDescent="0.3">
      <c r="A166">
        <v>39692</v>
      </c>
      <c r="B166" s="7">
        <v>100.2</v>
      </c>
      <c r="C166">
        <f t="shared" si="28"/>
        <v>7.8174874488012663E-2</v>
      </c>
      <c r="D166">
        <f t="shared" si="29"/>
        <v>-0.31326190712110358</v>
      </c>
      <c r="E166">
        <f t="shared" si="30"/>
        <v>-0.17346305654641836</v>
      </c>
      <c r="F166">
        <f t="shared" si="31"/>
        <v>-0.4530607576957888</v>
      </c>
      <c r="G166">
        <f t="shared" si="32"/>
        <v>-0.95633661976465878</v>
      </c>
      <c r="H166">
        <f t="shared" si="33"/>
        <v>-0.48102052781072824</v>
      </c>
      <c r="I166">
        <f t="shared" si="34"/>
        <v>-0.70469868873022379</v>
      </c>
      <c r="J166">
        <f t="shared" si="35"/>
        <v>-0.87245730941984445</v>
      </c>
      <c r="K166">
        <f t="shared" si="36"/>
        <v>-0.53694006804060312</v>
      </c>
      <c r="L166">
        <f t="shared" si="37"/>
        <v>-0.67673891861528834</v>
      </c>
      <c r="M166">
        <f t="shared" si="38"/>
        <v>-0.20142282666135777</v>
      </c>
      <c r="N166">
        <f t="shared" si="39"/>
        <v>-6.1623976086672555E-2</v>
      </c>
      <c r="O166">
        <f t="shared" si="40"/>
        <v>-5.7044358567976735E-3</v>
      </c>
    </row>
    <row r="167" spans="1:15" x14ac:dyDescent="0.3">
      <c r="A167">
        <v>39722</v>
      </c>
      <c r="B167" s="7">
        <v>99.8</v>
      </c>
      <c r="C167">
        <f t="shared" si="28"/>
        <v>0.46185303540751677</v>
      </c>
      <c r="D167">
        <f t="shared" si="29"/>
        <v>0.19001395494776244</v>
      </c>
      <c r="E167">
        <f t="shared" si="30"/>
        <v>-0.7614228266613583</v>
      </c>
      <c r="F167">
        <f t="shared" si="31"/>
        <v>-0.42162397608667029</v>
      </c>
      <c r="G167">
        <f t="shared" si="32"/>
        <v>-1.1012216772360464</v>
      </c>
      <c r="H167">
        <f t="shared" si="33"/>
        <v>-2.324497539304931</v>
      </c>
      <c r="I167">
        <f t="shared" si="34"/>
        <v>-1.1691814473509898</v>
      </c>
      <c r="J167">
        <f t="shared" si="35"/>
        <v>-1.7128596082704888</v>
      </c>
      <c r="K167">
        <f t="shared" si="36"/>
        <v>-2.1206182289601108</v>
      </c>
      <c r="L167">
        <f t="shared" si="37"/>
        <v>-1.305100987580867</v>
      </c>
      <c r="M167">
        <f t="shared" si="38"/>
        <v>-1.6448998381555551</v>
      </c>
      <c r="N167">
        <f t="shared" si="39"/>
        <v>-0.48958374620161371</v>
      </c>
      <c r="O167">
        <f t="shared" si="40"/>
        <v>-0.14978489562692562</v>
      </c>
    </row>
    <row r="168" spans="1:15" x14ac:dyDescent="0.3">
      <c r="A168">
        <v>39753</v>
      </c>
      <c r="B168" s="7">
        <v>99.2</v>
      </c>
      <c r="C168">
        <f t="shared" si="28"/>
        <v>1.6373702767867535</v>
      </c>
      <c r="D168">
        <f t="shared" si="29"/>
        <v>0.86961165609713853</v>
      </c>
      <c r="E168">
        <f t="shared" si="30"/>
        <v>0.35777257563738307</v>
      </c>
      <c r="F168">
        <f t="shared" si="31"/>
        <v>-1.4336642059717246</v>
      </c>
      <c r="G168">
        <f t="shared" si="32"/>
        <v>-0.7938653553970394</v>
      </c>
      <c r="H168">
        <f t="shared" si="33"/>
        <v>-2.0734630565464096</v>
      </c>
      <c r="I168">
        <f t="shared" si="34"/>
        <v>-4.376738918615291</v>
      </c>
      <c r="J168">
        <f t="shared" si="35"/>
        <v>-2.2014228266613576</v>
      </c>
      <c r="K168">
        <f t="shared" si="36"/>
        <v>-3.2251009875808503</v>
      </c>
      <c r="L168">
        <f t="shared" si="37"/>
        <v>-3.9928596082704653</v>
      </c>
      <c r="M168">
        <f t="shared" si="38"/>
        <v>-2.4573423668912353</v>
      </c>
      <c r="N168">
        <f t="shared" si="39"/>
        <v>-3.0971412174659205</v>
      </c>
      <c r="O168">
        <f t="shared" si="40"/>
        <v>-0.92182512551198736</v>
      </c>
    </row>
    <row r="169" spans="1:15" x14ac:dyDescent="0.3">
      <c r="A169">
        <v>39783</v>
      </c>
      <c r="B169" s="7">
        <v>99.3</v>
      </c>
      <c r="C169">
        <f t="shared" si="28"/>
        <v>1.3914507365568929</v>
      </c>
      <c r="D169">
        <f t="shared" si="29"/>
        <v>1.5094105066718237</v>
      </c>
      <c r="E169">
        <f t="shared" si="30"/>
        <v>0.80165188598220483</v>
      </c>
      <c r="F169">
        <f t="shared" si="31"/>
        <v>0.32981280552244763</v>
      </c>
      <c r="G169">
        <f t="shared" si="32"/>
        <v>-1.3216239760866688</v>
      </c>
      <c r="H169">
        <f t="shared" si="33"/>
        <v>-0.73182512551198076</v>
      </c>
      <c r="I169">
        <f t="shared" si="34"/>
        <v>-1.9114228266613569</v>
      </c>
      <c r="J169">
        <f t="shared" si="35"/>
        <v>-4.0346986887302476</v>
      </c>
      <c r="K169">
        <f t="shared" si="36"/>
        <v>-2.0293825967763044</v>
      </c>
      <c r="L169">
        <f t="shared" si="37"/>
        <v>-2.9730607576958024</v>
      </c>
      <c r="M169">
        <f t="shared" si="38"/>
        <v>-3.6808193783854213</v>
      </c>
      <c r="N169">
        <f t="shared" si="39"/>
        <v>-2.265302137006183</v>
      </c>
      <c r="O169">
        <f t="shared" si="40"/>
        <v>-2.8551009875808711</v>
      </c>
    </row>
    <row r="170" spans="1:15" x14ac:dyDescent="0.3">
      <c r="A170">
        <v>39814</v>
      </c>
      <c r="B170" s="7">
        <v>100.3</v>
      </c>
      <c r="C170">
        <f t="shared" si="28"/>
        <v>3.2255334258140617E-2</v>
      </c>
      <c r="D170">
        <f t="shared" si="29"/>
        <v>0.21185303540751674</v>
      </c>
      <c r="E170">
        <f t="shared" si="30"/>
        <v>0.22981280552245334</v>
      </c>
      <c r="F170">
        <f t="shared" si="31"/>
        <v>0.12205418483282868</v>
      </c>
      <c r="G170">
        <f t="shared" si="32"/>
        <v>5.0215104373077211E-2</v>
      </c>
      <c r="H170">
        <f t="shared" si="33"/>
        <v>-0.20122167723604784</v>
      </c>
      <c r="I170">
        <f t="shared" si="34"/>
        <v>-0.11142282666135978</v>
      </c>
      <c r="J170">
        <f t="shared" si="35"/>
        <v>-0.2910205278107359</v>
      </c>
      <c r="K170">
        <f t="shared" si="36"/>
        <v>-0.61429638987961499</v>
      </c>
      <c r="L170">
        <f t="shared" si="37"/>
        <v>-0.30898029792567505</v>
      </c>
      <c r="M170">
        <f t="shared" si="38"/>
        <v>-0.45265845884517542</v>
      </c>
      <c r="N170">
        <f t="shared" si="39"/>
        <v>-0.56041707953480002</v>
      </c>
      <c r="O170">
        <f t="shared" si="40"/>
        <v>-0.34489983815555075</v>
      </c>
    </row>
    <row r="171" spans="1:15" x14ac:dyDescent="0.3">
      <c r="A171">
        <v>39845</v>
      </c>
      <c r="B171" s="7">
        <v>101.2</v>
      </c>
      <c r="C171">
        <f t="shared" si="28"/>
        <v>0.51897947218927176</v>
      </c>
      <c r="D171">
        <f t="shared" si="29"/>
        <v>-0.1293825967762989</v>
      </c>
      <c r="E171">
        <f t="shared" si="30"/>
        <v>-0.84978489562692849</v>
      </c>
      <c r="F171">
        <f t="shared" si="31"/>
        <v>-0.92182512551198736</v>
      </c>
      <c r="G171">
        <f t="shared" si="32"/>
        <v>-0.48958374620161371</v>
      </c>
      <c r="H171">
        <f t="shared" si="33"/>
        <v>-0.20142282666135777</v>
      </c>
      <c r="I171">
        <f t="shared" si="34"/>
        <v>0.80714039172951746</v>
      </c>
      <c r="J171">
        <f t="shared" si="35"/>
        <v>0.44693924230420268</v>
      </c>
      <c r="K171">
        <f t="shared" si="36"/>
        <v>1.1673415411548322</v>
      </c>
      <c r="L171">
        <f t="shared" si="37"/>
        <v>2.4640656790859738</v>
      </c>
      <c r="M171">
        <f t="shared" si="38"/>
        <v>1.2393817710399013</v>
      </c>
      <c r="N171">
        <f t="shared" si="39"/>
        <v>1.8157036101204029</v>
      </c>
      <c r="O171">
        <f t="shared" si="40"/>
        <v>2.2479449894307768</v>
      </c>
    </row>
    <row r="172" spans="1:15" x14ac:dyDescent="0.3">
      <c r="A172">
        <v>39873</v>
      </c>
      <c r="B172" s="7">
        <v>99.8</v>
      </c>
      <c r="C172">
        <f t="shared" si="28"/>
        <v>0.46185303540751677</v>
      </c>
      <c r="D172">
        <f t="shared" si="29"/>
        <v>-0.48958374620161371</v>
      </c>
      <c r="E172">
        <f t="shared" si="30"/>
        <v>0.12205418483282868</v>
      </c>
      <c r="F172">
        <f t="shared" si="31"/>
        <v>0.80165188598220483</v>
      </c>
      <c r="G172">
        <f t="shared" si="32"/>
        <v>0.86961165609713853</v>
      </c>
      <c r="H172">
        <f t="shared" si="33"/>
        <v>0.46185303540751677</v>
      </c>
      <c r="I172">
        <f t="shared" si="34"/>
        <v>0.19001395494776244</v>
      </c>
      <c r="J172">
        <f t="shared" si="35"/>
        <v>-0.7614228266613583</v>
      </c>
      <c r="K172">
        <f t="shared" si="36"/>
        <v>-0.42162397608667029</v>
      </c>
      <c r="L172">
        <f t="shared" si="37"/>
        <v>-1.1012216772360464</v>
      </c>
      <c r="M172">
        <f t="shared" si="38"/>
        <v>-2.324497539304931</v>
      </c>
      <c r="N172">
        <f t="shared" si="39"/>
        <v>-1.1691814473509898</v>
      </c>
      <c r="O172">
        <f t="shared" si="40"/>
        <v>-1.7128596082704888</v>
      </c>
    </row>
    <row r="173" spans="1:15" x14ac:dyDescent="0.3">
      <c r="A173">
        <v>39904</v>
      </c>
      <c r="B173" s="7">
        <v>100.4</v>
      </c>
      <c r="C173">
        <f t="shared" si="28"/>
        <v>6.3357940282640357E-3</v>
      </c>
      <c r="D173">
        <f t="shared" si="29"/>
        <v>5.4094414717885272E-2</v>
      </c>
      <c r="E173">
        <f t="shared" si="30"/>
        <v>-5.7342366891229811E-2</v>
      </c>
      <c r="F173">
        <f t="shared" si="31"/>
        <v>1.4295564143201473E-2</v>
      </c>
      <c r="G173">
        <f t="shared" si="32"/>
        <v>9.389326529256907E-2</v>
      </c>
      <c r="H173">
        <f t="shared" si="33"/>
        <v>0.10185303540750537</v>
      </c>
      <c r="I173">
        <f t="shared" si="34"/>
        <v>5.4094414717885272E-2</v>
      </c>
      <c r="J173">
        <f t="shared" si="35"/>
        <v>2.225533425813778E-2</v>
      </c>
      <c r="K173">
        <f t="shared" si="36"/>
        <v>-8.9181447350976176E-2</v>
      </c>
      <c r="L173">
        <f t="shared" si="37"/>
        <v>-4.9382596776292378E-2</v>
      </c>
      <c r="M173">
        <f t="shared" si="38"/>
        <v>-0.12898029792565996</v>
      </c>
      <c r="N173">
        <f t="shared" si="39"/>
        <v>-0.27225615999452257</v>
      </c>
      <c r="O173">
        <f t="shared" si="40"/>
        <v>-0.13694006804059741</v>
      </c>
    </row>
    <row r="174" spans="1:15" x14ac:dyDescent="0.3">
      <c r="A174">
        <v>39934</v>
      </c>
      <c r="B174" s="7">
        <v>100.4</v>
      </c>
      <c r="C174">
        <f t="shared" si="28"/>
        <v>6.3357940282640357E-3</v>
      </c>
      <c r="D174">
        <f t="shared" si="29"/>
        <v>6.3357940282640357E-3</v>
      </c>
      <c r="E174">
        <f t="shared" si="30"/>
        <v>5.4094414717885272E-2</v>
      </c>
      <c r="F174">
        <f t="shared" si="31"/>
        <v>-5.7342366891229811E-2</v>
      </c>
      <c r="G174">
        <f t="shared" si="32"/>
        <v>1.4295564143201473E-2</v>
      </c>
      <c r="H174">
        <f t="shared" si="33"/>
        <v>9.389326529256907E-2</v>
      </c>
      <c r="I174">
        <f t="shared" si="34"/>
        <v>0.10185303540750537</v>
      </c>
      <c r="J174">
        <f t="shared" si="35"/>
        <v>5.4094414717885272E-2</v>
      </c>
      <c r="K174">
        <f t="shared" si="36"/>
        <v>2.225533425813778E-2</v>
      </c>
      <c r="L174">
        <f t="shared" si="37"/>
        <v>-8.9181447350976176E-2</v>
      </c>
      <c r="M174">
        <f t="shared" si="38"/>
        <v>-4.9382596776292378E-2</v>
      </c>
      <c r="N174">
        <f t="shared" si="39"/>
        <v>-0.12898029792565996</v>
      </c>
      <c r="O174">
        <f t="shared" si="40"/>
        <v>-0.27225615999452257</v>
      </c>
    </row>
    <row r="175" spans="1:15" x14ac:dyDescent="0.3">
      <c r="A175">
        <v>39965</v>
      </c>
      <c r="B175" s="7">
        <v>100.6</v>
      </c>
      <c r="C175">
        <f t="shared" si="28"/>
        <v>1.449671356851426E-2</v>
      </c>
      <c r="D175">
        <f t="shared" si="29"/>
        <v>-9.5837462016085794E-3</v>
      </c>
      <c r="E175">
        <f t="shared" si="30"/>
        <v>-9.5837462016085794E-3</v>
      </c>
      <c r="F175">
        <f t="shared" si="31"/>
        <v>-8.1825125511982233E-2</v>
      </c>
      <c r="G175">
        <f t="shared" si="32"/>
        <v>8.673809287888791E-2</v>
      </c>
      <c r="H175">
        <f t="shared" si="33"/>
        <v>-2.1623976086671708E-2</v>
      </c>
      <c r="I175">
        <f t="shared" si="34"/>
        <v>-0.14202627493729275</v>
      </c>
      <c r="J175">
        <f t="shared" si="35"/>
        <v>-0.15406650482235418</v>
      </c>
      <c r="K175">
        <f t="shared" si="36"/>
        <v>-8.1825125511982233E-2</v>
      </c>
      <c r="L175">
        <f t="shared" si="37"/>
        <v>-3.3664205971733127E-2</v>
      </c>
      <c r="M175">
        <f t="shared" si="38"/>
        <v>0.13489901241913529</v>
      </c>
      <c r="N175">
        <f t="shared" si="39"/>
        <v>7.4697862993824776E-2</v>
      </c>
      <c r="O175">
        <f t="shared" si="40"/>
        <v>0.19510016184444581</v>
      </c>
    </row>
    <row r="176" spans="1:15" x14ac:dyDescent="0.3">
      <c r="A176">
        <v>39995</v>
      </c>
      <c r="B176" s="7">
        <v>100.5</v>
      </c>
      <c r="C176">
        <f t="shared" si="28"/>
        <v>4.1625379839028444E-4</v>
      </c>
      <c r="D176">
        <f t="shared" si="29"/>
        <v>2.4564836834528405E-3</v>
      </c>
      <c r="E176">
        <f t="shared" si="30"/>
        <v>-1.6239760866722716E-3</v>
      </c>
      <c r="F176">
        <f t="shared" si="31"/>
        <v>-1.6239760866722716E-3</v>
      </c>
      <c r="G176">
        <f t="shared" si="32"/>
        <v>-1.3865355397048479E-2</v>
      </c>
      <c r="H176">
        <f t="shared" si="33"/>
        <v>1.4697862993829048E-2</v>
      </c>
      <c r="I176">
        <f t="shared" si="34"/>
        <v>-3.664205971735118E-3</v>
      </c>
      <c r="J176">
        <f t="shared" si="35"/>
        <v>-2.4066504822361837E-2</v>
      </c>
      <c r="K176">
        <f t="shared" si="36"/>
        <v>-2.6106734707424396E-2</v>
      </c>
      <c r="L176">
        <f t="shared" si="37"/>
        <v>-1.3865355397048479E-2</v>
      </c>
      <c r="M176">
        <f t="shared" si="38"/>
        <v>-5.7044358567976735E-3</v>
      </c>
      <c r="N176">
        <f t="shared" si="39"/>
        <v>2.2858782534079563E-2</v>
      </c>
      <c r="O176">
        <f t="shared" si="40"/>
        <v>1.2657633108766201E-2</v>
      </c>
    </row>
    <row r="177" spans="1:15" x14ac:dyDescent="0.3">
      <c r="A177">
        <v>40026</v>
      </c>
      <c r="B177" s="7">
        <v>100.2</v>
      </c>
      <c r="C177">
        <f t="shared" si="28"/>
        <v>7.8174874488012663E-2</v>
      </c>
      <c r="D177">
        <f t="shared" si="29"/>
        <v>-5.7044358567976735E-3</v>
      </c>
      <c r="E177">
        <f t="shared" si="30"/>
        <v>-3.3664205971733127E-2</v>
      </c>
      <c r="F177">
        <f t="shared" si="31"/>
        <v>2.225533425813778E-2</v>
      </c>
      <c r="G177">
        <f t="shared" si="32"/>
        <v>2.225533425813778E-2</v>
      </c>
      <c r="H177">
        <f t="shared" si="33"/>
        <v>0.19001395494776244</v>
      </c>
      <c r="I177">
        <f t="shared" si="34"/>
        <v>-0.20142282666135777</v>
      </c>
      <c r="J177">
        <f t="shared" si="35"/>
        <v>5.0215104373077211E-2</v>
      </c>
      <c r="K177">
        <f t="shared" si="36"/>
        <v>0.32981280552244763</v>
      </c>
      <c r="L177">
        <f t="shared" si="37"/>
        <v>0.35777257563738307</v>
      </c>
      <c r="M177">
        <f t="shared" si="38"/>
        <v>0.19001395494776244</v>
      </c>
      <c r="N177">
        <f t="shared" si="39"/>
        <v>7.8174874488012663E-2</v>
      </c>
      <c r="O177">
        <f t="shared" si="40"/>
        <v>-0.31326190712110358</v>
      </c>
    </row>
    <row r="178" spans="1:15" x14ac:dyDescent="0.3">
      <c r="A178">
        <v>40057</v>
      </c>
      <c r="B178" s="7">
        <v>100.6</v>
      </c>
      <c r="C178">
        <f t="shared" si="28"/>
        <v>1.449671356851426E-2</v>
      </c>
      <c r="D178">
        <f t="shared" si="29"/>
        <v>-3.3664205971733127E-2</v>
      </c>
      <c r="E178">
        <f t="shared" si="30"/>
        <v>2.4564836834528405E-3</v>
      </c>
      <c r="F178">
        <f t="shared" si="31"/>
        <v>1.449671356851426E-2</v>
      </c>
      <c r="G178">
        <f t="shared" si="32"/>
        <v>-9.5837462016085794E-3</v>
      </c>
      <c r="H178">
        <f t="shared" si="33"/>
        <v>-9.5837462016085794E-3</v>
      </c>
      <c r="I178">
        <f t="shared" si="34"/>
        <v>-8.1825125511982233E-2</v>
      </c>
      <c r="J178">
        <f t="shared" si="35"/>
        <v>8.673809287888791E-2</v>
      </c>
      <c r="K178">
        <f t="shared" si="36"/>
        <v>-2.1623976086671708E-2</v>
      </c>
      <c r="L178">
        <f t="shared" si="37"/>
        <v>-0.14202627493729275</v>
      </c>
      <c r="M178">
        <f t="shared" si="38"/>
        <v>-0.15406650482235418</v>
      </c>
      <c r="N178">
        <f t="shared" si="39"/>
        <v>-8.1825125511982233E-2</v>
      </c>
      <c r="O178">
        <f t="shared" si="40"/>
        <v>-3.3664205971733127E-2</v>
      </c>
    </row>
    <row r="179" spans="1:15" x14ac:dyDescent="0.3">
      <c r="A179">
        <v>40087</v>
      </c>
      <c r="B179" s="7">
        <v>100.4</v>
      </c>
      <c r="C179">
        <f t="shared" si="28"/>
        <v>6.3357940282640357E-3</v>
      </c>
      <c r="D179">
        <f t="shared" si="29"/>
        <v>-9.5837462016085794E-3</v>
      </c>
      <c r="E179">
        <f t="shared" si="30"/>
        <v>2.225533425813778E-2</v>
      </c>
      <c r="F179">
        <f t="shared" si="31"/>
        <v>-1.6239760866722716E-3</v>
      </c>
      <c r="G179">
        <f t="shared" si="32"/>
        <v>-9.5837462016085794E-3</v>
      </c>
      <c r="H179">
        <f t="shared" si="33"/>
        <v>6.3357940282640357E-3</v>
      </c>
      <c r="I179">
        <f t="shared" si="34"/>
        <v>6.3357940282640357E-3</v>
      </c>
      <c r="J179">
        <f t="shared" si="35"/>
        <v>5.4094414717885272E-2</v>
      </c>
      <c r="K179">
        <f t="shared" si="36"/>
        <v>-5.7342366891229811E-2</v>
      </c>
      <c r="L179">
        <f t="shared" si="37"/>
        <v>1.4295564143201473E-2</v>
      </c>
      <c r="M179">
        <f t="shared" si="38"/>
        <v>9.389326529256907E-2</v>
      </c>
      <c r="N179">
        <f t="shared" si="39"/>
        <v>0.10185303540750537</v>
      </c>
      <c r="O179">
        <f t="shared" si="40"/>
        <v>5.4094414717885272E-2</v>
      </c>
    </row>
    <row r="180" spans="1:15" x14ac:dyDescent="0.3">
      <c r="A180">
        <v>40118</v>
      </c>
      <c r="B180" s="7">
        <v>100.6</v>
      </c>
      <c r="C180">
        <f t="shared" si="28"/>
        <v>1.449671356851426E-2</v>
      </c>
      <c r="D180">
        <f t="shared" si="29"/>
        <v>-9.5837462016085794E-3</v>
      </c>
      <c r="E180">
        <f t="shared" si="30"/>
        <v>1.449671356851426E-2</v>
      </c>
      <c r="F180">
        <f t="shared" si="31"/>
        <v>-3.3664205971733127E-2</v>
      </c>
      <c r="G180">
        <f t="shared" si="32"/>
        <v>2.4564836834528405E-3</v>
      </c>
      <c r="H180">
        <f t="shared" si="33"/>
        <v>1.449671356851426E-2</v>
      </c>
      <c r="I180">
        <f t="shared" si="34"/>
        <v>-9.5837462016085794E-3</v>
      </c>
      <c r="J180">
        <f t="shared" si="35"/>
        <v>-9.5837462016085794E-3</v>
      </c>
      <c r="K180">
        <f t="shared" si="36"/>
        <v>-8.1825125511982233E-2</v>
      </c>
      <c r="L180">
        <f t="shared" si="37"/>
        <v>8.673809287888791E-2</v>
      </c>
      <c r="M180">
        <f t="shared" si="38"/>
        <v>-2.1623976086671708E-2</v>
      </c>
      <c r="N180">
        <f t="shared" si="39"/>
        <v>-0.14202627493729275</v>
      </c>
      <c r="O180">
        <f t="shared" si="40"/>
        <v>-0.15406650482235418</v>
      </c>
    </row>
    <row r="181" spans="1:15" x14ac:dyDescent="0.3">
      <c r="A181">
        <v>40148</v>
      </c>
      <c r="B181" s="7">
        <v>101.4</v>
      </c>
      <c r="C181">
        <f t="shared" si="28"/>
        <v>0.84714039172952882</v>
      </c>
      <c r="D181">
        <f t="shared" si="29"/>
        <v>0.11081855264901246</v>
      </c>
      <c r="E181">
        <f t="shared" si="30"/>
        <v>-7.3261907121103559E-2</v>
      </c>
      <c r="F181">
        <f t="shared" si="31"/>
        <v>0.11081855264901246</v>
      </c>
      <c r="G181">
        <f t="shared" si="32"/>
        <v>-0.25734236689123263</v>
      </c>
      <c r="H181">
        <f t="shared" si="33"/>
        <v>1.8778322763954448E-2</v>
      </c>
      <c r="I181">
        <f t="shared" si="34"/>
        <v>0.11081855264901246</v>
      </c>
      <c r="J181">
        <f t="shared" si="35"/>
        <v>-7.3261907121103559E-2</v>
      </c>
      <c r="K181">
        <f t="shared" si="36"/>
        <v>-7.3261907121103559E-2</v>
      </c>
      <c r="L181">
        <f t="shared" si="37"/>
        <v>-0.62550328643149089</v>
      </c>
      <c r="M181">
        <f t="shared" si="38"/>
        <v>0.66305993195939972</v>
      </c>
      <c r="N181">
        <f t="shared" si="39"/>
        <v>-0.16530213700617466</v>
      </c>
      <c r="O181">
        <f t="shared" si="40"/>
        <v>-1.0857044358568071</v>
      </c>
    </row>
    <row r="182" spans="1:15" x14ac:dyDescent="0.3">
      <c r="A182">
        <v>40179</v>
      </c>
      <c r="B182" s="7">
        <v>101.4</v>
      </c>
      <c r="C182">
        <f t="shared" si="28"/>
        <v>0.84714039172952882</v>
      </c>
      <c r="D182">
        <f t="shared" si="29"/>
        <v>0.84714039172952882</v>
      </c>
      <c r="E182">
        <f t="shared" si="30"/>
        <v>0.11081855264901246</v>
      </c>
      <c r="F182">
        <f t="shared" si="31"/>
        <v>-7.3261907121103559E-2</v>
      </c>
      <c r="G182">
        <f t="shared" si="32"/>
        <v>0.11081855264901246</v>
      </c>
      <c r="H182">
        <f t="shared" si="33"/>
        <v>-0.25734236689123263</v>
      </c>
      <c r="I182">
        <f t="shared" si="34"/>
        <v>1.8778322763954448E-2</v>
      </c>
      <c r="J182">
        <f t="shared" si="35"/>
        <v>0.11081855264901246</v>
      </c>
      <c r="K182">
        <f t="shared" si="36"/>
        <v>-7.3261907121103559E-2</v>
      </c>
      <c r="L182">
        <f t="shared" si="37"/>
        <v>-7.3261907121103559E-2</v>
      </c>
      <c r="M182">
        <f t="shared" si="38"/>
        <v>-0.62550328643149089</v>
      </c>
      <c r="N182">
        <f t="shared" si="39"/>
        <v>0.66305993195939972</v>
      </c>
      <c r="O182">
        <f t="shared" si="40"/>
        <v>-0.16530213700617466</v>
      </c>
    </row>
    <row r="183" spans="1:15" x14ac:dyDescent="0.3">
      <c r="A183">
        <v>40210</v>
      </c>
      <c r="B183" s="7">
        <v>102</v>
      </c>
      <c r="C183">
        <f t="shared" si="28"/>
        <v>2.3116231503502704</v>
      </c>
      <c r="D183">
        <f t="shared" si="29"/>
        <v>1.399381771039903</v>
      </c>
      <c r="E183">
        <f t="shared" si="30"/>
        <v>1.399381771039903</v>
      </c>
      <c r="F183">
        <f t="shared" si="31"/>
        <v>0.18305993195938439</v>
      </c>
      <c r="G183">
        <f t="shared" si="32"/>
        <v>-0.12102052781072366</v>
      </c>
      <c r="H183">
        <f t="shared" si="33"/>
        <v>0.18305993195938439</v>
      </c>
      <c r="I183">
        <f t="shared" si="34"/>
        <v>-0.42510098758085335</v>
      </c>
      <c r="J183">
        <f t="shared" si="35"/>
        <v>3.1019702074330364E-2</v>
      </c>
      <c r="K183">
        <f t="shared" si="36"/>
        <v>0.18305993195938439</v>
      </c>
      <c r="L183">
        <f t="shared" si="37"/>
        <v>-0.12102052781072366</v>
      </c>
      <c r="M183">
        <f t="shared" si="38"/>
        <v>-0.12102052781072366</v>
      </c>
      <c r="N183">
        <f t="shared" si="39"/>
        <v>-1.0332619071211127</v>
      </c>
      <c r="O183">
        <f t="shared" si="40"/>
        <v>1.0953013112697734</v>
      </c>
    </row>
    <row r="184" spans="1:15" x14ac:dyDescent="0.3">
      <c r="A184">
        <v>40238</v>
      </c>
      <c r="B184" s="7">
        <v>100.8</v>
      </c>
      <c r="C184">
        <f t="shared" si="28"/>
        <v>0.1026576331087645</v>
      </c>
      <c r="D184">
        <f t="shared" si="29"/>
        <v>0.48714039172951407</v>
      </c>
      <c r="E184">
        <f t="shared" si="30"/>
        <v>0.29489901241914157</v>
      </c>
      <c r="F184">
        <f t="shared" si="31"/>
        <v>0.29489901241914157</v>
      </c>
      <c r="G184">
        <f t="shared" si="32"/>
        <v>3.8577173338638811E-2</v>
      </c>
      <c r="H184">
        <f t="shared" si="33"/>
        <v>-2.5503286431482326E-2</v>
      </c>
      <c r="I184">
        <f t="shared" si="34"/>
        <v>3.8577173338638811E-2</v>
      </c>
      <c r="J184">
        <f t="shared" si="35"/>
        <v>-8.9583746201608014E-2</v>
      </c>
      <c r="K184">
        <f t="shared" si="36"/>
        <v>6.5369434535782426E-3</v>
      </c>
      <c r="L184">
        <f t="shared" si="37"/>
        <v>3.8577173338638811E-2</v>
      </c>
      <c r="M184">
        <f t="shared" si="38"/>
        <v>-2.5503286431482326E-2</v>
      </c>
      <c r="N184">
        <f t="shared" si="39"/>
        <v>-2.5503286431482326E-2</v>
      </c>
      <c r="O184">
        <f t="shared" si="40"/>
        <v>-0.21774466574185938</v>
      </c>
    </row>
    <row r="185" spans="1:15" x14ac:dyDescent="0.3">
      <c r="A185">
        <v>40269</v>
      </c>
      <c r="B185" s="7">
        <v>100.1</v>
      </c>
      <c r="C185">
        <f t="shared" si="28"/>
        <v>0.14409441471789322</v>
      </c>
      <c r="D185">
        <f t="shared" si="29"/>
        <v>-0.12162397608667314</v>
      </c>
      <c r="E185">
        <f t="shared" si="30"/>
        <v>-0.57714121746592895</v>
      </c>
      <c r="F185">
        <f t="shared" si="31"/>
        <v>-0.34938259677630373</v>
      </c>
      <c r="G185">
        <f t="shared" si="32"/>
        <v>-0.34938259677630373</v>
      </c>
      <c r="H185">
        <f t="shared" si="33"/>
        <v>-4.5704435856796261E-2</v>
      </c>
      <c r="I185">
        <f t="shared" si="34"/>
        <v>3.021510437307522E-2</v>
      </c>
      <c r="J185">
        <f t="shared" si="35"/>
        <v>-4.5704435856796261E-2</v>
      </c>
      <c r="K185">
        <f t="shared" si="36"/>
        <v>0.10613464460295209</v>
      </c>
      <c r="L185">
        <f t="shared" si="37"/>
        <v>-7.7446657418605196E-3</v>
      </c>
      <c r="M185">
        <f t="shared" si="38"/>
        <v>-4.5704435856796261E-2</v>
      </c>
      <c r="N185">
        <f t="shared" si="39"/>
        <v>3.021510437307522E-2</v>
      </c>
      <c r="O185">
        <f t="shared" si="40"/>
        <v>3.021510437307522E-2</v>
      </c>
    </row>
    <row r="186" spans="1:15" x14ac:dyDescent="0.3">
      <c r="A186">
        <v>40299</v>
      </c>
      <c r="B186" s="7">
        <v>100.3</v>
      </c>
      <c r="C186">
        <f t="shared" si="28"/>
        <v>3.2255334258140617E-2</v>
      </c>
      <c r="D186">
        <f t="shared" si="29"/>
        <v>6.8174874488016346E-2</v>
      </c>
      <c r="E186">
        <f t="shared" si="30"/>
        <v>-5.7543516316547444E-2</v>
      </c>
      <c r="F186">
        <f t="shared" si="31"/>
        <v>-0.27306075769579929</v>
      </c>
      <c r="G186">
        <f t="shared" si="32"/>
        <v>-0.16530213700617466</v>
      </c>
      <c r="H186">
        <f t="shared" si="33"/>
        <v>-0.16530213700617466</v>
      </c>
      <c r="I186">
        <f t="shared" si="34"/>
        <v>-2.1623976086671708E-2</v>
      </c>
      <c r="J186">
        <f t="shared" si="35"/>
        <v>1.4295564143201473E-2</v>
      </c>
      <c r="K186">
        <f t="shared" si="36"/>
        <v>-2.1623976086671708E-2</v>
      </c>
      <c r="L186">
        <f t="shared" si="37"/>
        <v>5.0215104373077211E-2</v>
      </c>
      <c r="M186">
        <f t="shared" si="38"/>
        <v>-3.664205971735118E-3</v>
      </c>
      <c r="N186">
        <f t="shared" si="39"/>
        <v>-2.1623976086671708E-2</v>
      </c>
      <c r="O186">
        <f t="shared" si="40"/>
        <v>1.4295564143201473E-2</v>
      </c>
    </row>
    <row r="187" spans="1:15" x14ac:dyDescent="0.3">
      <c r="A187">
        <v>40330</v>
      </c>
      <c r="B187" s="7">
        <v>100.2</v>
      </c>
      <c r="C187">
        <f t="shared" si="28"/>
        <v>7.8174874488012663E-2</v>
      </c>
      <c r="D187">
        <f t="shared" si="29"/>
        <v>5.0215104373077211E-2</v>
      </c>
      <c r="E187">
        <f t="shared" si="30"/>
        <v>0.10613464460295209</v>
      </c>
      <c r="F187">
        <f t="shared" si="31"/>
        <v>-8.9583746201608014E-2</v>
      </c>
      <c r="G187">
        <f t="shared" si="32"/>
        <v>-0.42510098758085335</v>
      </c>
      <c r="H187">
        <f t="shared" si="33"/>
        <v>-0.25734236689123263</v>
      </c>
      <c r="I187">
        <f t="shared" si="34"/>
        <v>-0.25734236689123263</v>
      </c>
      <c r="J187">
        <f t="shared" si="35"/>
        <v>-3.3664205971733127E-2</v>
      </c>
      <c r="K187">
        <f t="shared" si="36"/>
        <v>2.225533425813778E-2</v>
      </c>
      <c r="L187">
        <f t="shared" si="37"/>
        <v>-3.3664205971733127E-2</v>
      </c>
      <c r="M187">
        <f t="shared" si="38"/>
        <v>7.8174874488012663E-2</v>
      </c>
      <c r="N187">
        <f t="shared" si="39"/>
        <v>-5.7044358567976735E-3</v>
      </c>
      <c r="O187">
        <f t="shared" si="40"/>
        <v>-3.3664205971733127E-2</v>
      </c>
    </row>
    <row r="188" spans="1:15" x14ac:dyDescent="0.3">
      <c r="A188">
        <v>40360</v>
      </c>
      <c r="B188" s="7">
        <v>100.1</v>
      </c>
      <c r="C188">
        <f t="shared" si="28"/>
        <v>0.14409441471789322</v>
      </c>
      <c r="D188">
        <f t="shared" si="29"/>
        <v>0.10613464460295209</v>
      </c>
      <c r="E188">
        <f t="shared" si="30"/>
        <v>6.8174874488016346E-2</v>
      </c>
      <c r="F188">
        <f t="shared" si="31"/>
        <v>0.14409441471789322</v>
      </c>
      <c r="G188">
        <f t="shared" si="32"/>
        <v>-0.12162397608667314</v>
      </c>
      <c r="H188">
        <f t="shared" si="33"/>
        <v>-0.57714121746592895</v>
      </c>
      <c r="I188">
        <f t="shared" si="34"/>
        <v>-0.34938259677630373</v>
      </c>
      <c r="J188">
        <f t="shared" si="35"/>
        <v>-0.34938259677630373</v>
      </c>
      <c r="K188">
        <f t="shared" si="36"/>
        <v>-4.5704435856796261E-2</v>
      </c>
      <c r="L188">
        <f t="shared" si="37"/>
        <v>3.021510437307522E-2</v>
      </c>
      <c r="M188">
        <f t="shared" si="38"/>
        <v>-4.5704435856796261E-2</v>
      </c>
      <c r="N188">
        <f t="shared" si="39"/>
        <v>0.10613464460295209</v>
      </c>
      <c r="O188">
        <f t="shared" si="40"/>
        <v>-7.7446657418605196E-3</v>
      </c>
    </row>
    <row r="189" spans="1:15" x14ac:dyDescent="0.3">
      <c r="A189">
        <v>40391</v>
      </c>
      <c r="B189" s="7">
        <v>100.2</v>
      </c>
      <c r="C189">
        <f t="shared" si="28"/>
        <v>7.8174874488012663E-2</v>
      </c>
      <c r="D189">
        <f t="shared" si="29"/>
        <v>0.10613464460295209</v>
      </c>
      <c r="E189">
        <f t="shared" si="30"/>
        <v>7.8174874488012663E-2</v>
      </c>
      <c r="F189">
        <f t="shared" si="31"/>
        <v>5.0215104373077211E-2</v>
      </c>
      <c r="G189">
        <f t="shared" si="32"/>
        <v>0.10613464460295209</v>
      </c>
      <c r="H189">
        <f t="shared" si="33"/>
        <v>-8.9583746201608014E-2</v>
      </c>
      <c r="I189">
        <f t="shared" si="34"/>
        <v>-0.42510098758085335</v>
      </c>
      <c r="J189">
        <f t="shared" si="35"/>
        <v>-0.25734236689123263</v>
      </c>
      <c r="K189">
        <f t="shared" si="36"/>
        <v>-0.25734236689123263</v>
      </c>
      <c r="L189">
        <f t="shared" si="37"/>
        <v>-3.3664205971733127E-2</v>
      </c>
      <c r="M189">
        <f t="shared" si="38"/>
        <v>2.225533425813778E-2</v>
      </c>
      <c r="N189">
        <f t="shared" si="39"/>
        <v>-3.3664205971733127E-2</v>
      </c>
      <c r="O189">
        <f t="shared" si="40"/>
        <v>7.8174874488012663E-2</v>
      </c>
    </row>
    <row r="190" spans="1:15" x14ac:dyDescent="0.3">
      <c r="A190">
        <v>40422</v>
      </c>
      <c r="B190" s="7">
        <v>101.3</v>
      </c>
      <c r="C190">
        <f t="shared" si="28"/>
        <v>0.6730599319593884</v>
      </c>
      <c r="D190">
        <f t="shared" si="29"/>
        <v>-0.22938259677629322</v>
      </c>
      <c r="E190">
        <f t="shared" si="30"/>
        <v>-0.31142282666136262</v>
      </c>
      <c r="F190">
        <f t="shared" si="31"/>
        <v>-0.22938259677629322</v>
      </c>
      <c r="G190">
        <f t="shared" si="32"/>
        <v>-0.1473423668912355</v>
      </c>
      <c r="H190">
        <f t="shared" si="33"/>
        <v>-0.31142282666136262</v>
      </c>
      <c r="I190">
        <f t="shared" si="34"/>
        <v>0.26285878253407646</v>
      </c>
      <c r="J190">
        <f t="shared" si="35"/>
        <v>1.2473415411548274</v>
      </c>
      <c r="K190">
        <f t="shared" si="36"/>
        <v>0.75510016184445772</v>
      </c>
      <c r="L190">
        <f t="shared" si="37"/>
        <v>0.75510016184445772</v>
      </c>
      <c r="M190">
        <f t="shared" si="38"/>
        <v>9.8778322763949322E-2</v>
      </c>
      <c r="N190">
        <f t="shared" si="39"/>
        <v>-6.5302137006166119E-2</v>
      </c>
      <c r="O190">
        <f t="shared" si="40"/>
        <v>9.8778322763949322E-2</v>
      </c>
    </row>
    <row r="191" spans="1:15" x14ac:dyDescent="0.3">
      <c r="A191">
        <v>40452</v>
      </c>
      <c r="B191" s="7">
        <v>101.1</v>
      </c>
      <c r="C191">
        <f t="shared" si="28"/>
        <v>0.38489901241913532</v>
      </c>
      <c r="D191">
        <f t="shared" si="29"/>
        <v>0.50897947218926132</v>
      </c>
      <c r="E191">
        <f t="shared" si="30"/>
        <v>-0.17346305654641836</v>
      </c>
      <c r="F191">
        <f t="shared" si="31"/>
        <v>-0.23550328643148574</v>
      </c>
      <c r="G191">
        <f t="shared" si="32"/>
        <v>-0.17346305654641836</v>
      </c>
      <c r="H191">
        <f t="shared" si="33"/>
        <v>-0.11142282666135978</v>
      </c>
      <c r="I191">
        <f t="shared" si="34"/>
        <v>-0.23550328643148574</v>
      </c>
      <c r="J191">
        <f t="shared" si="35"/>
        <v>0.19877832276395074</v>
      </c>
      <c r="K191">
        <f t="shared" si="36"/>
        <v>0.94326108138469777</v>
      </c>
      <c r="L191">
        <f t="shared" si="37"/>
        <v>0.57101970207432862</v>
      </c>
      <c r="M191">
        <f t="shared" si="38"/>
        <v>0.57101970207432862</v>
      </c>
      <c r="N191">
        <f t="shared" si="39"/>
        <v>7.4697862993824776E-2</v>
      </c>
      <c r="O191">
        <f t="shared" si="40"/>
        <v>-4.9382596776292378E-2</v>
      </c>
    </row>
    <row r="192" spans="1:15" x14ac:dyDescent="0.3">
      <c r="A192">
        <v>40483</v>
      </c>
      <c r="B192" s="7">
        <v>101.9</v>
      </c>
      <c r="C192">
        <f t="shared" si="28"/>
        <v>2.0175426905801612</v>
      </c>
      <c r="D192">
        <f t="shared" si="29"/>
        <v>0.88122085149963914</v>
      </c>
      <c r="E192">
        <f t="shared" si="30"/>
        <v>1.1653013112697697</v>
      </c>
      <c r="F192">
        <f t="shared" si="31"/>
        <v>-0.39714121746591785</v>
      </c>
      <c r="G192">
        <f t="shared" si="32"/>
        <v>-0.53918144735099327</v>
      </c>
      <c r="H192">
        <f t="shared" si="33"/>
        <v>-0.39714121746591785</v>
      </c>
      <c r="I192">
        <f t="shared" si="34"/>
        <v>-0.25510098758086269</v>
      </c>
      <c r="J192">
        <f t="shared" si="35"/>
        <v>-0.53918144735099327</v>
      </c>
      <c r="K192">
        <f t="shared" si="36"/>
        <v>0.45510016184445351</v>
      </c>
      <c r="L192">
        <f t="shared" si="37"/>
        <v>2.1595829204652164</v>
      </c>
      <c r="M192">
        <f t="shared" si="38"/>
        <v>1.307341541154845</v>
      </c>
      <c r="N192">
        <f t="shared" si="39"/>
        <v>1.307341541154845</v>
      </c>
      <c r="O192">
        <f t="shared" si="40"/>
        <v>0.17101970207432299</v>
      </c>
    </row>
    <row r="193" spans="1:15" x14ac:dyDescent="0.3">
      <c r="A193">
        <v>40513</v>
      </c>
      <c r="B193" s="7">
        <v>102</v>
      </c>
      <c r="C193">
        <f t="shared" si="28"/>
        <v>2.3116231503502704</v>
      </c>
      <c r="D193">
        <f t="shared" si="29"/>
        <v>2.1595829204652164</v>
      </c>
      <c r="E193">
        <f t="shared" si="30"/>
        <v>0.94326108138469777</v>
      </c>
      <c r="F193">
        <f t="shared" si="31"/>
        <v>1.2473415411548274</v>
      </c>
      <c r="G193">
        <f t="shared" si="32"/>
        <v>-0.42510098758085335</v>
      </c>
      <c r="H193">
        <f t="shared" si="33"/>
        <v>-0.57714121746592895</v>
      </c>
      <c r="I193">
        <f t="shared" si="34"/>
        <v>-0.42510098758085335</v>
      </c>
      <c r="J193">
        <f t="shared" si="35"/>
        <v>-0.27306075769579929</v>
      </c>
      <c r="K193">
        <f t="shared" si="36"/>
        <v>-0.57714121746592895</v>
      </c>
      <c r="L193">
        <f t="shared" si="37"/>
        <v>0.48714039172951407</v>
      </c>
      <c r="M193">
        <f t="shared" si="38"/>
        <v>2.3116231503502704</v>
      </c>
      <c r="N193">
        <f t="shared" si="39"/>
        <v>1.399381771039903</v>
      </c>
      <c r="O193">
        <f t="shared" si="40"/>
        <v>1.399381771039903</v>
      </c>
    </row>
    <row r="194" spans="1:15" x14ac:dyDescent="0.3">
      <c r="A194">
        <v>40544</v>
      </c>
      <c r="B194" s="7">
        <v>101.7</v>
      </c>
      <c r="C194">
        <f t="shared" si="28"/>
        <v>1.4893817710399013</v>
      </c>
      <c r="D194">
        <f t="shared" si="29"/>
        <v>1.8555024606950867</v>
      </c>
      <c r="E194">
        <f t="shared" si="30"/>
        <v>1.7334622308100307</v>
      </c>
      <c r="F194">
        <f t="shared" si="31"/>
        <v>0.7571403917295132</v>
      </c>
      <c r="G194">
        <f t="shared" si="32"/>
        <v>1.0012208514996426</v>
      </c>
      <c r="H194">
        <f t="shared" si="33"/>
        <v>-0.34122167723604302</v>
      </c>
      <c r="I194">
        <f t="shared" si="34"/>
        <v>-0.46326190712111637</v>
      </c>
      <c r="J194">
        <f t="shared" si="35"/>
        <v>-0.34122167723604302</v>
      </c>
      <c r="K194">
        <f t="shared" si="36"/>
        <v>-0.21918144735098696</v>
      </c>
      <c r="L194">
        <f t="shared" si="37"/>
        <v>-0.46326190712111637</v>
      </c>
      <c r="M194">
        <f t="shared" si="38"/>
        <v>0.39101970207432779</v>
      </c>
      <c r="N194">
        <f t="shared" si="39"/>
        <v>1.8555024606950867</v>
      </c>
      <c r="O194">
        <f t="shared" si="40"/>
        <v>1.1232610813847159</v>
      </c>
    </row>
    <row r="195" spans="1:15" x14ac:dyDescent="0.3">
      <c r="A195">
        <v>40575</v>
      </c>
      <c r="B195" s="7">
        <v>102.1</v>
      </c>
      <c r="C195">
        <f t="shared" ref="C195:C258" si="41">($B195-AVERAGE($B$2:$B$349))*($B195-AVERAGE($B$2:$B$349))</f>
        <v>2.6257036101203775</v>
      </c>
      <c r="D195">
        <f t="shared" si="29"/>
        <v>1.9775426905801428</v>
      </c>
      <c r="E195">
        <f t="shared" si="30"/>
        <v>2.4636633802353245</v>
      </c>
      <c r="F195">
        <f t="shared" si="31"/>
        <v>2.3016231503502715</v>
      </c>
      <c r="G195">
        <f t="shared" si="32"/>
        <v>1.0053013112697564</v>
      </c>
      <c r="H195">
        <f t="shared" si="33"/>
        <v>1.3293817710398852</v>
      </c>
      <c r="I195">
        <f t="shared" si="34"/>
        <v>-0.4530607576957888</v>
      </c>
      <c r="J195">
        <f t="shared" si="35"/>
        <v>-0.61510098758086473</v>
      </c>
      <c r="K195">
        <f t="shared" si="36"/>
        <v>-0.4530607576957888</v>
      </c>
      <c r="L195">
        <f t="shared" si="37"/>
        <v>-0.2910205278107359</v>
      </c>
      <c r="M195">
        <f t="shared" si="38"/>
        <v>-0.61510098758086473</v>
      </c>
      <c r="N195">
        <f t="shared" si="39"/>
        <v>0.51918062161457468</v>
      </c>
      <c r="O195">
        <f t="shared" si="40"/>
        <v>2.4636633802353245</v>
      </c>
    </row>
    <row r="196" spans="1:15" x14ac:dyDescent="0.3">
      <c r="A196">
        <v>40603</v>
      </c>
      <c r="B196" s="7">
        <v>102.2</v>
      </c>
      <c r="C196">
        <f t="shared" si="41"/>
        <v>2.9597840698905311</v>
      </c>
      <c r="D196">
        <f t="shared" ref="D196:D259" si="42">($B196-AVERAGE($B$2:$B$349))*($B195-AVERAGE($B$2:$B$349))</f>
        <v>2.7877438400054535</v>
      </c>
      <c r="E196">
        <f t="shared" si="30"/>
        <v>2.0995829204652163</v>
      </c>
      <c r="F196">
        <f t="shared" si="31"/>
        <v>2.6157036101204003</v>
      </c>
      <c r="G196">
        <f t="shared" si="32"/>
        <v>2.4436633802353471</v>
      </c>
      <c r="H196">
        <f t="shared" si="33"/>
        <v>1.0673415411548237</v>
      </c>
      <c r="I196">
        <f t="shared" si="34"/>
        <v>1.4114220009249545</v>
      </c>
      <c r="J196">
        <f t="shared" si="35"/>
        <v>-0.48102052781072824</v>
      </c>
      <c r="K196">
        <f t="shared" si="36"/>
        <v>-0.65306075769580585</v>
      </c>
      <c r="L196">
        <f t="shared" si="37"/>
        <v>-0.48102052781072824</v>
      </c>
      <c r="M196">
        <f t="shared" si="38"/>
        <v>-0.30898029792567505</v>
      </c>
      <c r="N196">
        <f t="shared" si="39"/>
        <v>-0.65306075769580585</v>
      </c>
      <c r="O196">
        <f t="shared" si="40"/>
        <v>0.55122085149963973</v>
      </c>
    </row>
    <row r="197" spans="1:15" x14ac:dyDescent="0.3">
      <c r="A197">
        <v>40634</v>
      </c>
      <c r="B197" s="7">
        <v>103.3</v>
      </c>
      <c r="C197">
        <f t="shared" si="41"/>
        <v>7.9546691273618837</v>
      </c>
      <c r="D197">
        <f t="shared" si="42"/>
        <v>4.8522265986262134</v>
      </c>
      <c r="E197">
        <f t="shared" ref="E197:E260" si="43">($B197-AVERAGE($B$2:$B$349))*($B195-AVERAGE($B$2:$B$349))</f>
        <v>4.570186368741127</v>
      </c>
      <c r="F197">
        <f t="shared" si="31"/>
        <v>3.4420254492009019</v>
      </c>
      <c r="G197">
        <f t="shared" si="32"/>
        <v>4.2881461388560806</v>
      </c>
      <c r="H197">
        <f t="shared" si="33"/>
        <v>4.0061059089710342</v>
      </c>
      <c r="I197">
        <f t="shared" si="34"/>
        <v>1.7497840698905034</v>
      </c>
      <c r="J197">
        <f t="shared" si="35"/>
        <v>2.3138645296606359</v>
      </c>
      <c r="K197">
        <f t="shared" si="36"/>
        <v>-0.78857799907503412</v>
      </c>
      <c r="L197">
        <f t="shared" si="37"/>
        <v>-1.0706182289601205</v>
      </c>
      <c r="M197">
        <f t="shared" si="38"/>
        <v>-0.78857799907503412</v>
      </c>
      <c r="N197">
        <f t="shared" si="39"/>
        <v>-0.50653776918998772</v>
      </c>
      <c r="O197">
        <f t="shared" si="40"/>
        <v>-1.0706182289601205</v>
      </c>
    </row>
    <row r="198" spans="1:15" x14ac:dyDescent="0.3">
      <c r="A198">
        <v>40664</v>
      </c>
      <c r="B198" s="7">
        <v>102.2</v>
      </c>
      <c r="C198">
        <f t="shared" si="41"/>
        <v>2.9597840698905311</v>
      </c>
      <c r="D198">
        <f t="shared" si="42"/>
        <v>4.8522265986262134</v>
      </c>
      <c r="E198">
        <f t="shared" si="43"/>
        <v>2.9597840698905311</v>
      </c>
      <c r="F198">
        <f t="shared" ref="F198:F261" si="44">($B198-AVERAGE($B$2:$B$349))*($B195-AVERAGE($B$2:$B$349))</f>
        <v>2.7877438400054535</v>
      </c>
      <c r="G198">
        <f t="shared" si="32"/>
        <v>2.0995829204652163</v>
      </c>
      <c r="H198">
        <f t="shared" si="33"/>
        <v>2.6157036101204003</v>
      </c>
      <c r="I198">
        <f t="shared" si="34"/>
        <v>2.4436633802353471</v>
      </c>
      <c r="J198">
        <f t="shared" si="35"/>
        <v>1.0673415411548237</v>
      </c>
      <c r="K198">
        <f t="shared" si="36"/>
        <v>1.4114220009249545</v>
      </c>
      <c r="L198">
        <f t="shared" si="37"/>
        <v>-0.48102052781072824</v>
      </c>
      <c r="M198">
        <f t="shared" si="38"/>
        <v>-0.65306075769580585</v>
      </c>
      <c r="N198">
        <f t="shared" si="39"/>
        <v>-0.48102052781072824</v>
      </c>
      <c r="O198">
        <f t="shared" si="40"/>
        <v>-0.30898029792567505</v>
      </c>
    </row>
    <row r="199" spans="1:15" x14ac:dyDescent="0.3">
      <c r="A199">
        <v>40695</v>
      </c>
      <c r="B199" s="7">
        <v>101.1</v>
      </c>
      <c r="C199">
        <f t="shared" si="41"/>
        <v>0.38489901241913532</v>
      </c>
      <c r="D199">
        <f t="shared" si="42"/>
        <v>1.0673415411548237</v>
      </c>
      <c r="E199">
        <f t="shared" si="43"/>
        <v>1.7497840698905034</v>
      </c>
      <c r="F199">
        <f t="shared" si="44"/>
        <v>1.0673415411548237</v>
      </c>
      <c r="G199">
        <f t="shared" ref="G199:G262" si="45">($B199-AVERAGE($B$2:$B$349))*($B195-AVERAGE($B$2:$B$349))</f>
        <v>1.0053013112697564</v>
      </c>
      <c r="H199">
        <f t="shared" si="33"/>
        <v>0.7571403917295132</v>
      </c>
      <c r="I199">
        <f t="shared" si="34"/>
        <v>0.94326108138469777</v>
      </c>
      <c r="J199">
        <f t="shared" si="35"/>
        <v>0.88122085149963914</v>
      </c>
      <c r="K199">
        <f t="shared" si="36"/>
        <v>0.38489901241913532</v>
      </c>
      <c r="L199">
        <f t="shared" si="37"/>
        <v>0.50897947218926132</v>
      </c>
      <c r="M199">
        <f t="shared" si="38"/>
        <v>-0.17346305654641836</v>
      </c>
      <c r="N199">
        <f t="shared" si="39"/>
        <v>-0.23550328643148574</v>
      </c>
      <c r="O199">
        <f t="shared" si="40"/>
        <v>-0.17346305654641836</v>
      </c>
    </row>
    <row r="200" spans="1:15" x14ac:dyDescent="0.3">
      <c r="A200">
        <v>40725</v>
      </c>
      <c r="B200" s="7">
        <v>101.2</v>
      </c>
      <c r="C200">
        <f t="shared" si="41"/>
        <v>0.51897947218927176</v>
      </c>
      <c r="D200">
        <f t="shared" si="42"/>
        <v>0.44693924230420268</v>
      </c>
      <c r="E200">
        <f t="shared" si="43"/>
        <v>1.2393817710399013</v>
      </c>
      <c r="F200">
        <f t="shared" si="44"/>
        <v>2.03182429977559</v>
      </c>
      <c r="G200">
        <f t="shared" si="45"/>
        <v>1.2393817710399013</v>
      </c>
      <c r="H200">
        <f t="shared" ref="H200:H263" si="46">($B200-AVERAGE($B$2:$B$349))*($B195-AVERAGE($B$2:$B$349))</f>
        <v>1.1673415411548322</v>
      </c>
      <c r="I200">
        <f t="shared" si="34"/>
        <v>0.87918062161458654</v>
      </c>
      <c r="J200">
        <f t="shared" si="35"/>
        <v>1.0953013112697734</v>
      </c>
      <c r="K200">
        <f t="shared" si="36"/>
        <v>1.0232610813847145</v>
      </c>
      <c r="L200">
        <f t="shared" si="37"/>
        <v>0.44693924230420268</v>
      </c>
      <c r="M200">
        <f t="shared" si="38"/>
        <v>0.59101970207433063</v>
      </c>
      <c r="N200">
        <f t="shared" si="39"/>
        <v>-0.20142282666135777</v>
      </c>
      <c r="O200">
        <f t="shared" si="40"/>
        <v>-0.27346305654642689</v>
      </c>
    </row>
    <row r="201" spans="1:15" x14ac:dyDescent="0.3">
      <c r="A201">
        <v>40756</v>
      </c>
      <c r="B201" s="7">
        <v>100.9</v>
      </c>
      <c r="C201">
        <f t="shared" si="41"/>
        <v>0.17673809287889644</v>
      </c>
      <c r="D201">
        <f t="shared" si="42"/>
        <v>0.30285878253408499</v>
      </c>
      <c r="E201">
        <f t="shared" si="43"/>
        <v>0.26081855264901815</v>
      </c>
      <c r="F201">
        <f t="shared" si="44"/>
        <v>0.72326108138471734</v>
      </c>
      <c r="G201">
        <f t="shared" si="45"/>
        <v>1.1857036101204106</v>
      </c>
      <c r="H201">
        <f t="shared" si="46"/>
        <v>0.72326108138471734</v>
      </c>
      <c r="I201">
        <f t="shared" ref="I201:I264" si="47">($B201-AVERAGE($B$2:$B$349))*($B195-AVERAGE($B$2:$B$349))</f>
        <v>0.6812208514996505</v>
      </c>
      <c r="J201">
        <f t="shared" si="35"/>
        <v>0.51305993195940114</v>
      </c>
      <c r="K201">
        <f t="shared" si="36"/>
        <v>0.63918062161458966</v>
      </c>
      <c r="L201">
        <f t="shared" si="37"/>
        <v>0.59714039172952882</v>
      </c>
      <c r="M201">
        <f t="shared" si="38"/>
        <v>0.26081855264901815</v>
      </c>
      <c r="N201">
        <f t="shared" si="39"/>
        <v>0.34489901241914583</v>
      </c>
      <c r="O201">
        <f t="shared" si="40"/>
        <v>-0.11754351631654744</v>
      </c>
    </row>
    <row r="202" spans="1:15" x14ac:dyDescent="0.3">
      <c r="A202">
        <v>40787</v>
      </c>
      <c r="B202" s="7">
        <v>100.8</v>
      </c>
      <c r="C202">
        <f t="shared" si="41"/>
        <v>0.1026576331087645</v>
      </c>
      <c r="D202">
        <f t="shared" si="42"/>
        <v>0.1346978629938296</v>
      </c>
      <c r="E202">
        <f t="shared" si="43"/>
        <v>0.23081855264901588</v>
      </c>
      <c r="F202">
        <f t="shared" si="44"/>
        <v>0.19877832276395074</v>
      </c>
      <c r="G202">
        <f t="shared" si="45"/>
        <v>0.55122085149963973</v>
      </c>
      <c r="H202">
        <f t="shared" si="46"/>
        <v>0.90366338023532422</v>
      </c>
      <c r="I202">
        <f t="shared" si="47"/>
        <v>0.55122085149963973</v>
      </c>
      <c r="J202">
        <f t="shared" ref="J202:J265" si="48">($B202-AVERAGE($B$2:$B$349))*($B195-AVERAGE($B$2:$B$349))</f>
        <v>0.51918062161457468</v>
      </c>
      <c r="K202">
        <f t="shared" si="36"/>
        <v>0.39101970207432779</v>
      </c>
      <c r="L202">
        <f t="shared" si="37"/>
        <v>0.48714039172951407</v>
      </c>
      <c r="M202">
        <f t="shared" si="38"/>
        <v>0.45510016184445351</v>
      </c>
      <c r="N202">
        <f t="shared" si="39"/>
        <v>0.19877832276395074</v>
      </c>
      <c r="O202">
        <f t="shared" si="40"/>
        <v>0.26285878253407646</v>
      </c>
    </row>
    <row r="203" spans="1:15" x14ac:dyDescent="0.3">
      <c r="A203">
        <v>40817</v>
      </c>
      <c r="B203" s="7">
        <v>100.4</v>
      </c>
      <c r="C203">
        <f t="shared" si="41"/>
        <v>6.3357940282640357E-3</v>
      </c>
      <c r="D203">
        <f t="shared" si="42"/>
        <v>-2.5503286431482326E-2</v>
      </c>
      <c r="E203">
        <f t="shared" si="43"/>
        <v>-3.3463056546419762E-2</v>
      </c>
      <c r="F203">
        <f t="shared" si="44"/>
        <v>-5.7342366891229811E-2</v>
      </c>
      <c r="G203">
        <f t="shared" si="45"/>
        <v>-4.9382596776292378E-2</v>
      </c>
      <c r="H203">
        <f t="shared" si="46"/>
        <v>-0.13694006804059741</v>
      </c>
      <c r="I203">
        <f t="shared" si="47"/>
        <v>-0.22449753930490132</v>
      </c>
      <c r="J203">
        <f t="shared" si="48"/>
        <v>-0.13694006804059741</v>
      </c>
      <c r="K203">
        <f t="shared" ref="K203:K266" si="49">($B203-AVERAGE($B$2:$B$349))*($B195-AVERAGE($B$2:$B$349))</f>
        <v>-0.12898029792565996</v>
      </c>
      <c r="L203">
        <f t="shared" si="37"/>
        <v>-9.7141217465913615E-2</v>
      </c>
      <c r="M203">
        <f t="shared" si="38"/>
        <v>-0.12102052781072366</v>
      </c>
      <c r="N203">
        <f t="shared" si="39"/>
        <v>-0.11306075769578736</v>
      </c>
      <c r="O203">
        <f t="shared" si="40"/>
        <v>-4.9382596776292378E-2</v>
      </c>
    </row>
    <row r="204" spans="1:15" x14ac:dyDescent="0.3">
      <c r="A204">
        <v>40848</v>
      </c>
      <c r="B204" s="7">
        <v>100.4</v>
      </c>
      <c r="C204">
        <f t="shared" si="41"/>
        <v>6.3357940282640357E-3</v>
      </c>
      <c r="D204">
        <f t="shared" si="42"/>
        <v>6.3357940282640357E-3</v>
      </c>
      <c r="E204">
        <f t="shared" si="43"/>
        <v>-2.5503286431482326E-2</v>
      </c>
      <c r="F204">
        <f t="shared" si="44"/>
        <v>-3.3463056546419762E-2</v>
      </c>
      <c r="G204">
        <f t="shared" si="45"/>
        <v>-5.7342366891229811E-2</v>
      </c>
      <c r="H204">
        <f t="shared" si="46"/>
        <v>-4.9382596776292378E-2</v>
      </c>
      <c r="I204">
        <f t="shared" si="47"/>
        <v>-0.13694006804059741</v>
      </c>
      <c r="J204">
        <f t="shared" si="48"/>
        <v>-0.22449753930490132</v>
      </c>
      <c r="K204">
        <f t="shared" si="49"/>
        <v>-0.13694006804059741</v>
      </c>
      <c r="L204">
        <f t="shared" ref="L204:L267" si="50">($B204-AVERAGE($B$2:$B$349))*($B195-AVERAGE($B$2:$B$349))</f>
        <v>-0.12898029792565996</v>
      </c>
      <c r="M204">
        <f t="shared" si="38"/>
        <v>-9.7141217465913615E-2</v>
      </c>
      <c r="N204">
        <f t="shared" si="39"/>
        <v>-0.12102052781072366</v>
      </c>
      <c r="O204">
        <f t="shared" si="40"/>
        <v>-0.11306075769578736</v>
      </c>
    </row>
    <row r="205" spans="1:15" x14ac:dyDescent="0.3">
      <c r="A205">
        <v>40878</v>
      </c>
      <c r="B205" s="7">
        <v>100.5</v>
      </c>
      <c r="C205">
        <f t="shared" si="41"/>
        <v>4.1625379839028444E-4</v>
      </c>
      <c r="D205">
        <f t="shared" si="42"/>
        <v>-1.6239760866722716E-3</v>
      </c>
      <c r="E205">
        <f t="shared" si="43"/>
        <v>-1.6239760866722716E-3</v>
      </c>
      <c r="F205">
        <f t="shared" si="44"/>
        <v>6.5369434535782426E-3</v>
      </c>
      <c r="G205">
        <f t="shared" si="45"/>
        <v>8.5771733386410896E-3</v>
      </c>
      <c r="H205">
        <f t="shared" si="46"/>
        <v>1.4697862993829048E-2</v>
      </c>
      <c r="I205">
        <f t="shared" si="47"/>
        <v>1.2657633108766201E-2</v>
      </c>
      <c r="J205">
        <f t="shared" si="48"/>
        <v>3.5100161844455767E-2</v>
      </c>
      <c r="K205">
        <f t="shared" si="49"/>
        <v>5.7542690580145044E-2</v>
      </c>
      <c r="L205">
        <f t="shared" si="50"/>
        <v>3.5100161844455767E-2</v>
      </c>
      <c r="M205">
        <f t="shared" ref="M205:M268" si="51">($B205-AVERAGE($B$2:$B$349))*($B195-AVERAGE($B$2:$B$349))</f>
        <v>3.305993195939292E-2</v>
      </c>
      <c r="N205">
        <f t="shared" si="39"/>
        <v>2.4899012419142406E-2</v>
      </c>
      <c r="O205">
        <f t="shared" si="40"/>
        <v>3.1019702074330364E-2</v>
      </c>
    </row>
    <row r="206" spans="1:15" x14ac:dyDescent="0.3">
      <c r="A206">
        <v>40909</v>
      </c>
      <c r="B206" s="7">
        <v>101</v>
      </c>
      <c r="C206">
        <f t="shared" si="41"/>
        <v>0.270818552649017</v>
      </c>
      <c r="D206">
        <f t="shared" si="42"/>
        <v>1.0617403223703645E-2</v>
      </c>
      <c r="E206">
        <f t="shared" si="43"/>
        <v>-4.142282666135607E-2</v>
      </c>
      <c r="F206">
        <f t="shared" si="44"/>
        <v>-4.142282666135607E-2</v>
      </c>
      <c r="G206">
        <f t="shared" si="45"/>
        <v>0.16673809287889019</v>
      </c>
      <c r="H206">
        <f t="shared" si="46"/>
        <v>0.21877832276395728</v>
      </c>
      <c r="I206">
        <f t="shared" si="47"/>
        <v>0.37489901241914381</v>
      </c>
      <c r="J206">
        <f t="shared" si="48"/>
        <v>0.32285878253407674</v>
      </c>
      <c r="K206">
        <f t="shared" si="49"/>
        <v>0.89530131126977053</v>
      </c>
      <c r="L206">
        <f t="shared" si="50"/>
        <v>1.467743840005457</v>
      </c>
      <c r="M206">
        <f t="shared" si="51"/>
        <v>0.89530131126977053</v>
      </c>
      <c r="N206">
        <f t="shared" ref="N206:N269" si="52">($B206-AVERAGE($B$2:$B$349))*($B195-AVERAGE($B$2:$B$349))</f>
        <v>0.84326108138470346</v>
      </c>
      <c r="O206">
        <f t="shared" si="40"/>
        <v>0.63510016184445717</v>
      </c>
    </row>
    <row r="207" spans="1:15" x14ac:dyDescent="0.3">
      <c r="A207">
        <v>40940</v>
      </c>
      <c r="B207" s="7">
        <v>101.4</v>
      </c>
      <c r="C207">
        <f t="shared" si="41"/>
        <v>0.84714039172952882</v>
      </c>
      <c r="D207">
        <f t="shared" si="42"/>
        <v>0.47897947218927067</v>
      </c>
      <c r="E207">
        <f t="shared" si="43"/>
        <v>1.8778322763954448E-2</v>
      </c>
      <c r="F207">
        <f t="shared" si="44"/>
        <v>-7.3261907121103559E-2</v>
      </c>
      <c r="G207">
        <f t="shared" si="45"/>
        <v>-7.3261907121103559E-2</v>
      </c>
      <c r="H207">
        <f t="shared" si="46"/>
        <v>0.29489901241914157</v>
      </c>
      <c r="I207">
        <f t="shared" si="47"/>
        <v>0.38693924230421262</v>
      </c>
      <c r="J207">
        <f t="shared" si="48"/>
        <v>0.66305993195939972</v>
      </c>
      <c r="K207">
        <f t="shared" si="49"/>
        <v>0.57101970207432862</v>
      </c>
      <c r="L207">
        <f t="shared" si="50"/>
        <v>1.5834622308100321</v>
      </c>
      <c r="M207">
        <f t="shared" si="51"/>
        <v>2.5959047595457228</v>
      </c>
      <c r="N207">
        <f t="shared" si="52"/>
        <v>1.5834622308100321</v>
      </c>
      <c r="O207">
        <f t="shared" ref="O207:O270" si="53">($B207-AVERAGE($B$2:$B$349))*($B195-AVERAGE($B$2:$B$349))</f>
        <v>1.491422000924961</v>
      </c>
    </row>
    <row r="208" spans="1:15" x14ac:dyDescent="0.3">
      <c r="A208">
        <v>40969</v>
      </c>
      <c r="B208" s="7">
        <v>100.2</v>
      </c>
      <c r="C208">
        <f t="shared" si="41"/>
        <v>7.8174874488012663E-2</v>
      </c>
      <c r="D208">
        <f t="shared" si="42"/>
        <v>-0.25734236689123263</v>
      </c>
      <c r="E208">
        <f t="shared" si="43"/>
        <v>-0.14550328643148289</v>
      </c>
      <c r="F208">
        <f t="shared" si="44"/>
        <v>-5.7044358567976735E-3</v>
      </c>
      <c r="G208">
        <f t="shared" si="45"/>
        <v>2.225533425813778E-2</v>
      </c>
      <c r="H208">
        <f t="shared" si="46"/>
        <v>2.225533425813778E-2</v>
      </c>
      <c r="I208">
        <f t="shared" si="47"/>
        <v>-8.9583746201608014E-2</v>
      </c>
      <c r="J208">
        <f t="shared" si="48"/>
        <v>-0.11754351631654744</v>
      </c>
      <c r="K208">
        <f t="shared" si="49"/>
        <v>-0.20142282666135777</v>
      </c>
      <c r="L208">
        <f t="shared" si="50"/>
        <v>-0.17346305654641836</v>
      </c>
      <c r="M208">
        <f t="shared" si="51"/>
        <v>-0.48102052781072824</v>
      </c>
      <c r="N208">
        <f t="shared" si="52"/>
        <v>-0.78857799907503412</v>
      </c>
      <c r="O208">
        <f t="shared" si="53"/>
        <v>-0.48102052781072824</v>
      </c>
    </row>
    <row r="209" spans="1:15" x14ac:dyDescent="0.3">
      <c r="A209">
        <v>41000</v>
      </c>
      <c r="B209" s="7">
        <v>100.1</v>
      </c>
      <c r="C209">
        <f t="shared" si="41"/>
        <v>0.14409441471789322</v>
      </c>
      <c r="D209">
        <f t="shared" si="42"/>
        <v>0.10613464460295209</v>
      </c>
      <c r="E209">
        <f t="shared" si="43"/>
        <v>-0.34938259677630373</v>
      </c>
      <c r="F209">
        <f t="shared" si="44"/>
        <v>-0.19754351631655001</v>
      </c>
      <c r="G209">
        <f t="shared" si="45"/>
        <v>-7.7446657418605196E-3</v>
      </c>
      <c r="H209">
        <f t="shared" si="46"/>
        <v>3.021510437307522E-2</v>
      </c>
      <c r="I209">
        <f t="shared" si="47"/>
        <v>3.021510437307522E-2</v>
      </c>
      <c r="J209">
        <f t="shared" si="48"/>
        <v>-0.12162397608667314</v>
      </c>
      <c r="K209">
        <f t="shared" si="49"/>
        <v>-0.15958374620161425</v>
      </c>
      <c r="L209">
        <f t="shared" si="50"/>
        <v>-0.27346305654642689</v>
      </c>
      <c r="M209">
        <f t="shared" si="51"/>
        <v>-0.23550328643148574</v>
      </c>
      <c r="N209">
        <f t="shared" si="52"/>
        <v>-0.65306075769580585</v>
      </c>
      <c r="O209">
        <f t="shared" si="53"/>
        <v>-1.0706182289601205</v>
      </c>
    </row>
    <row r="210" spans="1:15" x14ac:dyDescent="0.3">
      <c r="A210">
        <v>41030</v>
      </c>
      <c r="B210" s="7">
        <v>100.2</v>
      </c>
      <c r="C210">
        <f t="shared" si="41"/>
        <v>7.8174874488012663E-2</v>
      </c>
      <c r="D210">
        <f t="shared" si="42"/>
        <v>0.10613464460295209</v>
      </c>
      <c r="E210">
        <f t="shared" si="43"/>
        <v>7.8174874488012663E-2</v>
      </c>
      <c r="F210">
        <f t="shared" si="44"/>
        <v>-0.25734236689123263</v>
      </c>
      <c r="G210">
        <f t="shared" si="45"/>
        <v>-0.14550328643148289</v>
      </c>
      <c r="H210">
        <f t="shared" si="46"/>
        <v>-5.7044358567976735E-3</v>
      </c>
      <c r="I210">
        <f t="shared" si="47"/>
        <v>2.225533425813778E-2</v>
      </c>
      <c r="J210">
        <f t="shared" si="48"/>
        <v>2.225533425813778E-2</v>
      </c>
      <c r="K210">
        <f t="shared" si="49"/>
        <v>-8.9583746201608014E-2</v>
      </c>
      <c r="L210">
        <f t="shared" si="50"/>
        <v>-0.11754351631654744</v>
      </c>
      <c r="M210">
        <f t="shared" si="51"/>
        <v>-0.20142282666135777</v>
      </c>
      <c r="N210">
        <f t="shared" si="52"/>
        <v>-0.17346305654641836</v>
      </c>
      <c r="O210">
        <f t="shared" si="53"/>
        <v>-0.48102052781072824</v>
      </c>
    </row>
    <row r="211" spans="1:15" x14ac:dyDescent="0.3">
      <c r="A211">
        <v>41061</v>
      </c>
      <c r="B211" s="7">
        <v>99.7</v>
      </c>
      <c r="C211">
        <f t="shared" si="41"/>
        <v>0.60777257563738307</v>
      </c>
      <c r="D211">
        <f t="shared" si="42"/>
        <v>0.21797372506269788</v>
      </c>
      <c r="E211">
        <f t="shared" si="43"/>
        <v>0.29593349517764156</v>
      </c>
      <c r="F211">
        <f t="shared" si="44"/>
        <v>0.21797372506269788</v>
      </c>
      <c r="G211">
        <f t="shared" si="45"/>
        <v>-0.71754351631654889</v>
      </c>
      <c r="H211">
        <f t="shared" si="46"/>
        <v>-0.40570443585679627</v>
      </c>
      <c r="I211">
        <f t="shared" si="47"/>
        <v>-1.5905585282111036E-2</v>
      </c>
      <c r="J211">
        <f t="shared" si="48"/>
        <v>6.2054184832821581E-2</v>
      </c>
      <c r="K211">
        <f t="shared" si="49"/>
        <v>6.2054184832821581E-2</v>
      </c>
      <c r="L211">
        <f t="shared" si="50"/>
        <v>-0.24978489562691994</v>
      </c>
      <c r="M211">
        <f t="shared" si="51"/>
        <v>-0.32774466574186362</v>
      </c>
      <c r="N211">
        <f t="shared" si="52"/>
        <v>-0.56162397608667258</v>
      </c>
      <c r="O211">
        <f t="shared" si="53"/>
        <v>-0.48366420597172888</v>
      </c>
    </row>
    <row r="212" spans="1:15" x14ac:dyDescent="0.3">
      <c r="A212">
        <v>41091</v>
      </c>
      <c r="B212" s="7">
        <v>99.7</v>
      </c>
      <c r="C212">
        <f t="shared" si="41"/>
        <v>0.60777257563738307</v>
      </c>
      <c r="D212">
        <f t="shared" si="42"/>
        <v>0.60777257563738307</v>
      </c>
      <c r="E212">
        <f t="shared" si="43"/>
        <v>0.21797372506269788</v>
      </c>
      <c r="F212">
        <f t="shared" si="44"/>
        <v>0.29593349517764156</v>
      </c>
      <c r="G212">
        <f t="shared" si="45"/>
        <v>0.21797372506269788</v>
      </c>
      <c r="H212">
        <f t="shared" si="46"/>
        <v>-0.71754351631654889</v>
      </c>
      <c r="I212">
        <f t="shared" si="47"/>
        <v>-0.40570443585679627</v>
      </c>
      <c r="J212">
        <f t="shared" si="48"/>
        <v>-1.5905585282111036E-2</v>
      </c>
      <c r="K212">
        <f t="shared" si="49"/>
        <v>6.2054184832821581E-2</v>
      </c>
      <c r="L212">
        <f t="shared" si="50"/>
        <v>6.2054184832821581E-2</v>
      </c>
      <c r="M212">
        <f t="shared" si="51"/>
        <v>-0.24978489562691994</v>
      </c>
      <c r="N212">
        <f t="shared" si="52"/>
        <v>-0.32774466574186362</v>
      </c>
      <c r="O212">
        <f t="shared" si="53"/>
        <v>-0.56162397608667258</v>
      </c>
    </row>
    <row r="213" spans="1:15" x14ac:dyDescent="0.3">
      <c r="A213">
        <v>41122</v>
      </c>
      <c r="B213" s="7">
        <v>100.6</v>
      </c>
      <c r="C213">
        <f t="shared" si="41"/>
        <v>1.449671356851426E-2</v>
      </c>
      <c r="D213">
        <f t="shared" si="42"/>
        <v>-9.3865355397043646E-2</v>
      </c>
      <c r="E213">
        <f t="shared" si="43"/>
        <v>-9.3865355397043646E-2</v>
      </c>
      <c r="F213">
        <f t="shared" si="44"/>
        <v>-3.3664205971733127E-2</v>
      </c>
      <c r="G213">
        <f t="shared" si="45"/>
        <v>-4.5704435856796261E-2</v>
      </c>
      <c r="H213">
        <f t="shared" si="46"/>
        <v>-3.3664205971733127E-2</v>
      </c>
      <c r="I213">
        <f t="shared" si="47"/>
        <v>0.11081855264901246</v>
      </c>
      <c r="J213">
        <f t="shared" si="48"/>
        <v>6.2657633108763364E-2</v>
      </c>
      <c r="K213">
        <f t="shared" si="49"/>
        <v>2.4564836834528405E-3</v>
      </c>
      <c r="L213">
        <f t="shared" si="50"/>
        <v>-9.5837462016085794E-3</v>
      </c>
      <c r="M213">
        <f t="shared" si="51"/>
        <v>-9.5837462016085794E-3</v>
      </c>
      <c r="N213">
        <f t="shared" si="52"/>
        <v>3.8577173338638811E-2</v>
      </c>
      <c r="O213">
        <f t="shared" si="53"/>
        <v>5.0617403223701937E-2</v>
      </c>
    </row>
    <row r="214" spans="1:15" x14ac:dyDescent="0.3">
      <c r="A214">
        <v>41153</v>
      </c>
      <c r="B214" s="7">
        <v>102.2</v>
      </c>
      <c r="C214">
        <f t="shared" si="41"/>
        <v>2.9597840698905311</v>
      </c>
      <c r="D214">
        <f t="shared" si="42"/>
        <v>0.20714039172950893</v>
      </c>
      <c r="E214">
        <f t="shared" si="43"/>
        <v>-1.341221677236043</v>
      </c>
      <c r="F214">
        <f t="shared" si="44"/>
        <v>-1.341221677236043</v>
      </c>
      <c r="G214">
        <f t="shared" si="45"/>
        <v>-0.48102052781072824</v>
      </c>
      <c r="H214">
        <f t="shared" si="46"/>
        <v>-0.65306075769580585</v>
      </c>
      <c r="I214">
        <f t="shared" si="47"/>
        <v>-0.48102052781072824</v>
      </c>
      <c r="J214">
        <f t="shared" si="48"/>
        <v>1.5834622308100321</v>
      </c>
      <c r="K214">
        <f t="shared" si="49"/>
        <v>0.89530131126977053</v>
      </c>
      <c r="L214">
        <f t="shared" si="50"/>
        <v>3.5100161844455767E-2</v>
      </c>
      <c r="M214">
        <f t="shared" si="51"/>
        <v>-0.13694006804059741</v>
      </c>
      <c r="N214">
        <f t="shared" si="52"/>
        <v>-0.13694006804059741</v>
      </c>
      <c r="O214">
        <f t="shared" si="53"/>
        <v>0.55122085149963973</v>
      </c>
    </row>
    <row r="215" spans="1:15" x14ac:dyDescent="0.3">
      <c r="A215">
        <v>41183</v>
      </c>
      <c r="B215" s="7">
        <v>100.9</v>
      </c>
      <c r="C215">
        <f t="shared" si="41"/>
        <v>0.17673809287889644</v>
      </c>
      <c r="D215">
        <f t="shared" si="42"/>
        <v>0.72326108138471734</v>
      </c>
      <c r="E215">
        <f t="shared" si="43"/>
        <v>5.0617403223701937E-2</v>
      </c>
      <c r="F215">
        <f t="shared" si="44"/>
        <v>-0.32774466574186362</v>
      </c>
      <c r="G215">
        <f t="shared" si="45"/>
        <v>-0.32774466574186362</v>
      </c>
      <c r="H215">
        <f t="shared" si="46"/>
        <v>-0.11754351631654744</v>
      </c>
      <c r="I215">
        <f t="shared" si="47"/>
        <v>-0.15958374620161425</v>
      </c>
      <c r="J215">
        <f t="shared" si="48"/>
        <v>-0.11754351631654744</v>
      </c>
      <c r="K215">
        <f t="shared" si="49"/>
        <v>0.38693924230421262</v>
      </c>
      <c r="L215">
        <f t="shared" si="50"/>
        <v>0.21877832276395728</v>
      </c>
      <c r="M215">
        <f t="shared" si="51"/>
        <v>8.5771733386410896E-3</v>
      </c>
      <c r="N215">
        <f t="shared" si="52"/>
        <v>-3.3463056546419762E-2</v>
      </c>
      <c r="O215">
        <f t="shared" si="53"/>
        <v>-3.3463056546419762E-2</v>
      </c>
    </row>
    <row r="216" spans="1:15" x14ac:dyDescent="0.3">
      <c r="A216">
        <v>41214</v>
      </c>
      <c r="B216" s="7">
        <v>100.5</v>
      </c>
      <c r="C216">
        <f t="shared" si="41"/>
        <v>4.1625379839028444E-4</v>
      </c>
      <c r="D216">
        <f t="shared" si="42"/>
        <v>8.5771733386410896E-3</v>
      </c>
      <c r="E216">
        <f t="shared" si="43"/>
        <v>3.5100161844455767E-2</v>
      </c>
      <c r="F216">
        <f t="shared" si="44"/>
        <v>2.4564836834528405E-3</v>
      </c>
      <c r="G216">
        <f t="shared" si="45"/>
        <v>-1.5905585282111036E-2</v>
      </c>
      <c r="H216">
        <f t="shared" si="46"/>
        <v>-1.5905585282111036E-2</v>
      </c>
      <c r="I216">
        <f t="shared" si="47"/>
        <v>-5.7044358567976735E-3</v>
      </c>
      <c r="J216">
        <f t="shared" si="48"/>
        <v>-7.7446657418605196E-3</v>
      </c>
      <c r="K216">
        <f t="shared" si="49"/>
        <v>-5.7044358567976735E-3</v>
      </c>
      <c r="L216">
        <f t="shared" si="50"/>
        <v>1.8778322763954448E-2</v>
      </c>
      <c r="M216">
        <f t="shared" si="51"/>
        <v>1.0617403223703645E-2</v>
      </c>
      <c r="N216">
        <f t="shared" si="52"/>
        <v>4.1625379839028444E-4</v>
      </c>
      <c r="O216">
        <f t="shared" si="53"/>
        <v>-1.6239760866722716E-3</v>
      </c>
    </row>
    <row r="217" spans="1:15" x14ac:dyDescent="0.3">
      <c r="A217">
        <v>41244</v>
      </c>
      <c r="B217" s="7">
        <v>100.3</v>
      </c>
      <c r="C217">
        <f t="shared" si="41"/>
        <v>3.2255334258140617E-2</v>
      </c>
      <c r="D217">
        <f t="shared" si="42"/>
        <v>-3.664205971735118E-3</v>
      </c>
      <c r="E217">
        <f t="shared" si="43"/>
        <v>-7.5503286431486585E-2</v>
      </c>
      <c r="F217">
        <f t="shared" si="44"/>
        <v>-0.30898029792567505</v>
      </c>
      <c r="G217">
        <f t="shared" si="45"/>
        <v>-2.1623976086671708E-2</v>
      </c>
      <c r="H217">
        <f t="shared" si="46"/>
        <v>0.14001395494776528</v>
      </c>
      <c r="I217">
        <f t="shared" si="47"/>
        <v>0.14001395494776528</v>
      </c>
      <c r="J217">
        <f t="shared" si="48"/>
        <v>5.0215104373077211E-2</v>
      </c>
      <c r="K217">
        <f t="shared" si="49"/>
        <v>6.8174874488016346E-2</v>
      </c>
      <c r="L217">
        <f t="shared" si="50"/>
        <v>5.0215104373077211E-2</v>
      </c>
      <c r="M217">
        <f t="shared" si="51"/>
        <v>-0.16530213700617466</v>
      </c>
      <c r="N217">
        <f t="shared" si="52"/>
        <v>-9.3463056546423173E-2</v>
      </c>
      <c r="O217">
        <f t="shared" si="53"/>
        <v>-3.664205971735118E-3</v>
      </c>
    </row>
    <row r="218" spans="1:15" x14ac:dyDescent="0.3">
      <c r="A218">
        <v>41275</v>
      </c>
      <c r="B218" s="7">
        <v>101.3</v>
      </c>
      <c r="C218">
        <f t="shared" si="41"/>
        <v>0.6730599319593884</v>
      </c>
      <c r="D218">
        <f t="shared" si="42"/>
        <v>-0.1473423668912355</v>
      </c>
      <c r="E218">
        <f t="shared" si="43"/>
        <v>1.6738092878891605E-2</v>
      </c>
      <c r="F218">
        <f t="shared" si="44"/>
        <v>0.34489901241914583</v>
      </c>
      <c r="G218">
        <f t="shared" si="45"/>
        <v>1.4114220009249545</v>
      </c>
      <c r="H218">
        <f t="shared" si="46"/>
        <v>9.8778322763949322E-2</v>
      </c>
      <c r="I218">
        <f t="shared" si="47"/>
        <v>-0.63958374620160519</v>
      </c>
      <c r="J218">
        <f t="shared" si="48"/>
        <v>-0.63958374620160519</v>
      </c>
      <c r="K218">
        <f t="shared" si="49"/>
        <v>-0.22938259677629322</v>
      </c>
      <c r="L218">
        <f t="shared" si="50"/>
        <v>-0.31142282666136262</v>
      </c>
      <c r="M218">
        <f t="shared" si="51"/>
        <v>-0.22938259677629322</v>
      </c>
      <c r="N218">
        <f t="shared" si="52"/>
        <v>0.75510016184445772</v>
      </c>
      <c r="O218">
        <f t="shared" si="53"/>
        <v>0.42693924230420355</v>
      </c>
    </row>
    <row r="219" spans="1:15" x14ac:dyDescent="0.3">
      <c r="A219">
        <v>41306</v>
      </c>
      <c r="B219" s="7">
        <v>101.3</v>
      </c>
      <c r="C219">
        <f t="shared" si="41"/>
        <v>0.6730599319593884</v>
      </c>
      <c r="D219">
        <f t="shared" si="42"/>
        <v>0.6730599319593884</v>
      </c>
      <c r="E219">
        <f t="shared" si="43"/>
        <v>-0.1473423668912355</v>
      </c>
      <c r="F219">
        <f t="shared" si="44"/>
        <v>1.6738092878891605E-2</v>
      </c>
      <c r="G219">
        <f t="shared" si="45"/>
        <v>0.34489901241914583</v>
      </c>
      <c r="H219">
        <f t="shared" si="46"/>
        <v>1.4114220009249545</v>
      </c>
      <c r="I219">
        <f t="shared" si="47"/>
        <v>9.8778322763949322E-2</v>
      </c>
      <c r="J219">
        <f t="shared" si="48"/>
        <v>-0.63958374620160519</v>
      </c>
      <c r="K219">
        <f t="shared" si="49"/>
        <v>-0.63958374620160519</v>
      </c>
      <c r="L219">
        <f t="shared" si="50"/>
        <v>-0.22938259677629322</v>
      </c>
      <c r="M219">
        <f t="shared" si="51"/>
        <v>-0.31142282666136262</v>
      </c>
      <c r="N219">
        <f t="shared" si="52"/>
        <v>-0.22938259677629322</v>
      </c>
      <c r="O219">
        <f t="shared" si="53"/>
        <v>0.75510016184445772</v>
      </c>
    </row>
    <row r="220" spans="1:15" x14ac:dyDescent="0.3">
      <c r="A220">
        <v>41334</v>
      </c>
      <c r="B220" s="7">
        <v>99.8</v>
      </c>
      <c r="C220">
        <f t="shared" si="41"/>
        <v>0.46185303540751677</v>
      </c>
      <c r="D220">
        <f t="shared" si="42"/>
        <v>-0.55754351631654742</v>
      </c>
      <c r="E220">
        <f t="shared" si="43"/>
        <v>-0.55754351631654742</v>
      </c>
      <c r="F220">
        <f t="shared" si="44"/>
        <v>0.12205418483282868</v>
      </c>
      <c r="G220">
        <f t="shared" si="45"/>
        <v>-1.3865355397048479E-2</v>
      </c>
      <c r="H220">
        <f t="shared" si="46"/>
        <v>-0.28570443585680277</v>
      </c>
      <c r="I220">
        <f t="shared" si="47"/>
        <v>-1.1691814473509898</v>
      </c>
      <c r="J220">
        <f t="shared" si="48"/>
        <v>-8.1825125511982233E-2</v>
      </c>
      <c r="K220">
        <f t="shared" si="49"/>
        <v>0.52981280552245047</v>
      </c>
      <c r="L220">
        <f t="shared" si="50"/>
        <v>0.52981280552245047</v>
      </c>
      <c r="M220">
        <f t="shared" si="51"/>
        <v>0.19001395494776244</v>
      </c>
      <c r="N220">
        <f t="shared" si="52"/>
        <v>0.25797372506270583</v>
      </c>
      <c r="O220">
        <f t="shared" si="53"/>
        <v>0.19001395494776244</v>
      </c>
    </row>
    <row r="221" spans="1:15" x14ac:dyDescent="0.3">
      <c r="A221">
        <v>41365</v>
      </c>
      <c r="B221" s="7">
        <v>100</v>
      </c>
      <c r="C221">
        <f t="shared" si="41"/>
        <v>0.23001395494776355</v>
      </c>
      <c r="D221">
        <f t="shared" si="42"/>
        <v>0.32593349517763959</v>
      </c>
      <c r="E221">
        <f t="shared" si="43"/>
        <v>-0.39346305654642033</v>
      </c>
      <c r="F221">
        <f t="shared" si="44"/>
        <v>-0.39346305654642033</v>
      </c>
      <c r="G221">
        <f t="shared" si="45"/>
        <v>8.6134644602952948E-2</v>
      </c>
      <c r="H221">
        <f t="shared" si="46"/>
        <v>-9.784895626923076E-3</v>
      </c>
      <c r="I221">
        <f t="shared" si="47"/>
        <v>-0.20162397608667512</v>
      </c>
      <c r="J221">
        <f t="shared" si="48"/>
        <v>-0.82510098758085904</v>
      </c>
      <c r="K221">
        <f t="shared" si="49"/>
        <v>-5.774466574185768E-2</v>
      </c>
      <c r="L221">
        <f t="shared" si="50"/>
        <v>0.37389326529257416</v>
      </c>
      <c r="M221">
        <f t="shared" si="51"/>
        <v>0.37389326529257416</v>
      </c>
      <c r="N221">
        <f t="shared" si="52"/>
        <v>0.13409441471788755</v>
      </c>
      <c r="O221">
        <f t="shared" si="53"/>
        <v>0.18205418483282895</v>
      </c>
    </row>
    <row r="222" spans="1:15" x14ac:dyDescent="0.3">
      <c r="A222">
        <v>41395</v>
      </c>
      <c r="B222" s="7">
        <v>99.9</v>
      </c>
      <c r="C222">
        <f t="shared" si="41"/>
        <v>0.3359334951776316</v>
      </c>
      <c r="D222">
        <f t="shared" si="42"/>
        <v>0.27797372506269818</v>
      </c>
      <c r="E222">
        <f t="shared" si="43"/>
        <v>0.39389326529257335</v>
      </c>
      <c r="F222">
        <f t="shared" si="44"/>
        <v>-0.47550328643147804</v>
      </c>
      <c r="G222">
        <f t="shared" si="45"/>
        <v>-0.47550328643147804</v>
      </c>
      <c r="H222">
        <f t="shared" si="46"/>
        <v>0.10409441471788954</v>
      </c>
      <c r="I222">
        <f t="shared" si="47"/>
        <v>-1.1825125511985632E-2</v>
      </c>
      <c r="J222">
        <f t="shared" si="48"/>
        <v>-0.24366420597173596</v>
      </c>
      <c r="K222">
        <f t="shared" si="49"/>
        <v>-0.99714121746591222</v>
      </c>
      <c r="L222">
        <f t="shared" si="50"/>
        <v>-6.97848956269191E-2</v>
      </c>
      <c r="M222">
        <f t="shared" si="51"/>
        <v>0.45185303540750682</v>
      </c>
      <c r="N222">
        <f t="shared" si="52"/>
        <v>0.45185303540750682</v>
      </c>
      <c r="O222">
        <f t="shared" si="53"/>
        <v>0.162054184832823</v>
      </c>
    </row>
    <row r="223" spans="1:15" x14ac:dyDescent="0.3">
      <c r="A223">
        <v>41426</v>
      </c>
      <c r="B223" s="7">
        <v>100.1</v>
      </c>
      <c r="C223">
        <f t="shared" si="41"/>
        <v>0.14409441471789322</v>
      </c>
      <c r="D223">
        <f t="shared" si="42"/>
        <v>0.22001395494776471</v>
      </c>
      <c r="E223">
        <f t="shared" si="43"/>
        <v>0.18205418483282895</v>
      </c>
      <c r="F223">
        <f t="shared" si="44"/>
        <v>0.25797372506270583</v>
      </c>
      <c r="G223">
        <f t="shared" si="45"/>
        <v>-0.31142282666136262</v>
      </c>
      <c r="H223">
        <f t="shared" si="46"/>
        <v>-0.31142282666136262</v>
      </c>
      <c r="I223">
        <f t="shared" si="47"/>
        <v>6.8174874488016346E-2</v>
      </c>
      <c r="J223">
        <f t="shared" si="48"/>
        <v>-7.7446657418605196E-3</v>
      </c>
      <c r="K223">
        <f t="shared" si="49"/>
        <v>-0.15958374620161425</v>
      </c>
      <c r="L223">
        <f t="shared" si="50"/>
        <v>-0.65306075769580585</v>
      </c>
      <c r="M223">
        <f t="shared" si="51"/>
        <v>-4.5704435856796261E-2</v>
      </c>
      <c r="N223">
        <f t="shared" si="52"/>
        <v>0.29593349517764156</v>
      </c>
      <c r="O223">
        <f t="shared" si="53"/>
        <v>0.29593349517764156</v>
      </c>
    </row>
    <row r="224" spans="1:15" x14ac:dyDescent="0.3">
      <c r="A224">
        <v>41456</v>
      </c>
      <c r="B224" s="7">
        <v>100.3</v>
      </c>
      <c r="C224">
        <f t="shared" si="41"/>
        <v>3.2255334258140617E-2</v>
      </c>
      <c r="D224">
        <f t="shared" si="42"/>
        <v>6.8174874488016346E-2</v>
      </c>
      <c r="E224">
        <f t="shared" si="43"/>
        <v>0.10409441471788954</v>
      </c>
      <c r="F224">
        <f t="shared" si="44"/>
        <v>8.6134644602952948E-2</v>
      </c>
      <c r="G224">
        <f t="shared" si="45"/>
        <v>0.12205418483282868</v>
      </c>
      <c r="H224">
        <f t="shared" si="46"/>
        <v>-0.1473423668912355</v>
      </c>
      <c r="I224">
        <f t="shared" si="47"/>
        <v>-0.1473423668912355</v>
      </c>
      <c r="J224">
        <f t="shared" si="48"/>
        <v>3.2255334258140617E-2</v>
      </c>
      <c r="K224">
        <f t="shared" si="49"/>
        <v>-3.664205971735118E-3</v>
      </c>
      <c r="L224">
        <f t="shared" si="50"/>
        <v>-7.5503286431486585E-2</v>
      </c>
      <c r="M224">
        <f t="shared" si="51"/>
        <v>-0.30898029792567505</v>
      </c>
      <c r="N224">
        <f t="shared" si="52"/>
        <v>-2.1623976086671708E-2</v>
      </c>
      <c r="O224">
        <f t="shared" si="53"/>
        <v>0.14001395494776528</v>
      </c>
    </row>
    <row r="225" spans="1:15" x14ac:dyDescent="0.3">
      <c r="A225">
        <v>41487</v>
      </c>
      <c r="B225" s="7">
        <v>100.8</v>
      </c>
      <c r="C225">
        <f t="shared" si="41"/>
        <v>0.1026576331087645</v>
      </c>
      <c r="D225">
        <f t="shared" si="42"/>
        <v>-5.7543516316547444E-2</v>
      </c>
      <c r="E225">
        <f t="shared" si="43"/>
        <v>-0.12162397608667314</v>
      </c>
      <c r="F225">
        <f t="shared" si="44"/>
        <v>-0.18570443585679428</v>
      </c>
      <c r="G225">
        <f t="shared" si="45"/>
        <v>-0.15366420597173369</v>
      </c>
      <c r="H225">
        <f t="shared" si="46"/>
        <v>-0.21774466574185938</v>
      </c>
      <c r="I225">
        <f t="shared" si="47"/>
        <v>0.26285878253407646</v>
      </c>
      <c r="J225">
        <f t="shared" si="48"/>
        <v>0.26285878253407646</v>
      </c>
      <c r="K225">
        <f t="shared" si="49"/>
        <v>-5.7543516316547444E-2</v>
      </c>
      <c r="L225">
        <f t="shared" si="50"/>
        <v>6.5369434535782426E-3</v>
      </c>
      <c r="M225">
        <f t="shared" si="51"/>
        <v>0.1346978629938296</v>
      </c>
      <c r="N225">
        <f t="shared" si="52"/>
        <v>0.55122085149963973</v>
      </c>
      <c r="O225">
        <f t="shared" si="53"/>
        <v>3.8577173338638811E-2</v>
      </c>
    </row>
    <row r="226" spans="1:15" x14ac:dyDescent="0.3">
      <c r="A226">
        <v>41518</v>
      </c>
      <c r="B226" s="7">
        <v>101.1</v>
      </c>
      <c r="C226">
        <f t="shared" si="41"/>
        <v>0.38489901241913532</v>
      </c>
      <c r="D226">
        <f t="shared" si="42"/>
        <v>0.19877832276395074</v>
      </c>
      <c r="E226">
        <f t="shared" si="43"/>
        <v>-0.11142282666135978</v>
      </c>
      <c r="F226">
        <f t="shared" si="44"/>
        <v>-0.23550328643148574</v>
      </c>
      <c r="G226">
        <f t="shared" si="45"/>
        <v>-0.35958374620160288</v>
      </c>
      <c r="H226">
        <f t="shared" si="46"/>
        <v>-0.2975435163165443</v>
      </c>
      <c r="I226">
        <f t="shared" si="47"/>
        <v>-0.42162397608667029</v>
      </c>
      <c r="J226">
        <f t="shared" si="48"/>
        <v>0.50897947218926132</v>
      </c>
      <c r="K226">
        <f t="shared" si="49"/>
        <v>0.50897947218926132</v>
      </c>
      <c r="L226">
        <f t="shared" si="50"/>
        <v>-0.11142282666135978</v>
      </c>
      <c r="M226">
        <f t="shared" si="51"/>
        <v>1.2657633108766201E-2</v>
      </c>
      <c r="N226">
        <f t="shared" si="52"/>
        <v>0.26081855264901815</v>
      </c>
      <c r="O226">
        <f t="shared" si="53"/>
        <v>1.0673415411548237</v>
      </c>
    </row>
    <row r="227" spans="1:15" x14ac:dyDescent="0.3">
      <c r="A227">
        <v>41548</v>
      </c>
      <c r="B227" s="7">
        <v>100.5</v>
      </c>
      <c r="C227">
        <f t="shared" si="41"/>
        <v>4.1625379839028444E-4</v>
      </c>
      <c r="D227">
        <f t="shared" si="42"/>
        <v>1.2657633108766201E-2</v>
      </c>
      <c r="E227">
        <f t="shared" si="43"/>
        <v>6.5369434535782426E-3</v>
      </c>
      <c r="F227">
        <f t="shared" si="44"/>
        <v>-3.664205971735118E-3</v>
      </c>
      <c r="G227">
        <f t="shared" si="45"/>
        <v>-7.7446657418605196E-3</v>
      </c>
      <c r="H227">
        <f t="shared" si="46"/>
        <v>-1.1825125511985632E-2</v>
      </c>
      <c r="I227">
        <f t="shared" si="47"/>
        <v>-9.784895626923076E-3</v>
      </c>
      <c r="J227">
        <f t="shared" si="48"/>
        <v>-1.3865355397048479E-2</v>
      </c>
      <c r="K227">
        <f t="shared" si="49"/>
        <v>1.6738092878891605E-2</v>
      </c>
      <c r="L227">
        <f t="shared" si="50"/>
        <v>1.6738092878891605E-2</v>
      </c>
      <c r="M227">
        <f t="shared" si="51"/>
        <v>-3.664205971735118E-3</v>
      </c>
      <c r="N227">
        <f t="shared" si="52"/>
        <v>4.1625379839028444E-4</v>
      </c>
      <c r="O227">
        <f t="shared" si="53"/>
        <v>8.5771733386410896E-3</v>
      </c>
    </row>
    <row r="228" spans="1:15" x14ac:dyDescent="0.3">
      <c r="A228">
        <v>41579</v>
      </c>
      <c r="B228" s="7">
        <v>100.3</v>
      </c>
      <c r="C228">
        <f t="shared" si="41"/>
        <v>3.2255334258140617E-2</v>
      </c>
      <c r="D228">
        <f t="shared" si="42"/>
        <v>-3.664205971735118E-3</v>
      </c>
      <c r="E228">
        <f t="shared" si="43"/>
        <v>-0.11142282666135978</v>
      </c>
      <c r="F228">
        <f t="shared" si="44"/>
        <v>-5.7543516316547444E-2</v>
      </c>
      <c r="G228">
        <f t="shared" si="45"/>
        <v>3.2255334258140617E-2</v>
      </c>
      <c r="H228">
        <f t="shared" si="46"/>
        <v>6.8174874488016346E-2</v>
      </c>
      <c r="I228">
        <f t="shared" si="47"/>
        <v>0.10409441471788954</v>
      </c>
      <c r="J228">
        <f t="shared" si="48"/>
        <v>8.6134644602952948E-2</v>
      </c>
      <c r="K228">
        <f t="shared" si="49"/>
        <v>0.12205418483282868</v>
      </c>
      <c r="L228">
        <f t="shared" si="50"/>
        <v>-0.1473423668912355</v>
      </c>
      <c r="M228">
        <f t="shared" si="51"/>
        <v>-0.1473423668912355</v>
      </c>
      <c r="N228">
        <f t="shared" si="52"/>
        <v>3.2255334258140617E-2</v>
      </c>
      <c r="O228">
        <f t="shared" si="53"/>
        <v>-3.664205971735118E-3</v>
      </c>
    </row>
    <row r="229" spans="1:15" x14ac:dyDescent="0.3">
      <c r="A229">
        <v>41609</v>
      </c>
      <c r="B229" s="7">
        <v>100.5</v>
      </c>
      <c r="C229">
        <f t="shared" si="41"/>
        <v>4.1625379839028444E-4</v>
      </c>
      <c r="D229">
        <f t="shared" si="42"/>
        <v>-3.664205971735118E-3</v>
      </c>
      <c r="E229">
        <f t="shared" si="43"/>
        <v>4.1625379839028444E-4</v>
      </c>
      <c r="F229">
        <f t="shared" si="44"/>
        <v>1.2657633108766201E-2</v>
      </c>
      <c r="G229">
        <f t="shared" si="45"/>
        <v>6.5369434535782426E-3</v>
      </c>
      <c r="H229">
        <f t="shared" si="46"/>
        <v>-3.664205971735118E-3</v>
      </c>
      <c r="I229">
        <f t="shared" si="47"/>
        <v>-7.7446657418605196E-3</v>
      </c>
      <c r="J229">
        <f t="shared" si="48"/>
        <v>-1.1825125511985632E-2</v>
      </c>
      <c r="K229">
        <f t="shared" si="49"/>
        <v>-9.784895626923076E-3</v>
      </c>
      <c r="L229">
        <f t="shared" si="50"/>
        <v>-1.3865355397048479E-2</v>
      </c>
      <c r="M229">
        <f t="shared" si="51"/>
        <v>1.6738092878891605E-2</v>
      </c>
      <c r="N229">
        <f t="shared" si="52"/>
        <v>1.6738092878891605E-2</v>
      </c>
      <c r="O229">
        <f t="shared" si="53"/>
        <v>-3.664205971735118E-3</v>
      </c>
    </row>
    <row r="230" spans="1:15" x14ac:dyDescent="0.3">
      <c r="A230">
        <v>41640</v>
      </c>
      <c r="B230" s="7">
        <v>100.7</v>
      </c>
      <c r="C230">
        <f t="shared" si="41"/>
        <v>4.8577173338642227E-2</v>
      </c>
      <c r="D230">
        <f t="shared" si="42"/>
        <v>4.4967135685156871E-3</v>
      </c>
      <c r="E230">
        <f t="shared" si="43"/>
        <v>-3.9583746201610849E-2</v>
      </c>
      <c r="F230">
        <f t="shared" si="44"/>
        <v>4.4967135685156871E-3</v>
      </c>
      <c r="G230">
        <f t="shared" si="45"/>
        <v>0.13673809287889216</v>
      </c>
      <c r="H230">
        <f t="shared" si="46"/>
        <v>7.0617403223703926E-2</v>
      </c>
      <c r="I230">
        <f t="shared" si="47"/>
        <v>-3.9583746201610849E-2</v>
      </c>
      <c r="J230">
        <f t="shared" si="48"/>
        <v>-8.366420597173739E-2</v>
      </c>
      <c r="K230">
        <f t="shared" si="49"/>
        <v>-0.1277446657418608</v>
      </c>
      <c r="L230">
        <f t="shared" si="50"/>
        <v>-0.10570443585679909</v>
      </c>
      <c r="M230">
        <f t="shared" si="51"/>
        <v>-0.14978489562692562</v>
      </c>
      <c r="N230">
        <f t="shared" si="52"/>
        <v>0.18081855264901872</v>
      </c>
      <c r="O230">
        <f t="shared" si="53"/>
        <v>0.18081855264901872</v>
      </c>
    </row>
    <row r="231" spans="1:15" x14ac:dyDescent="0.3">
      <c r="A231">
        <v>41671</v>
      </c>
      <c r="B231" s="7">
        <v>100.6</v>
      </c>
      <c r="C231">
        <f t="shared" si="41"/>
        <v>1.449671356851426E-2</v>
      </c>
      <c r="D231">
        <f t="shared" si="42"/>
        <v>2.6536943453577391E-2</v>
      </c>
      <c r="E231">
        <f t="shared" si="43"/>
        <v>2.4564836834528405E-3</v>
      </c>
      <c r="F231">
        <f t="shared" si="44"/>
        <v>-2.1623976086671708E-2</v>
      </c>
      <c r="G231">
        <f t="shared" si="45"/>
        <v>2.4564836834528405E-3</v>
      </c>
      <c r="H231">
        <f t="shared" si="46"/>
        <v>7.4697862993824776E-2</v>
      </c>
      <c r="I231">
        <f t="shared" si="47"/>
        <v>3.8577173338638811E-2</v>
      </c>
      <c r="J231">
        <f t="shared" si="48"/>
        <v>-2.1623976086671708E-2</v>
      </c>
      <c r="K231">
        <f t="shared" si="49"/>
        <v>-4.5704435856796261E-2</v>
      </c>
      <c r="L231">
        <f t="shared" si="50"/>
        <v>-6.97848956269191E-2</v>
      </c>
      <c r="M231">
        <f t="shared" si="51"/>
        <v>-5.774466574185768E-2</v>
      </c>
      <c r="N231">
        <f t="shared" si="52"/>
        <v>-8.1825125511982233E-2</v>
      </c>
      <c r="O231">
        <f t="shared" si="53"/>
        <v>9.8778322763949322E-2</v>
      </c>
    </row>
    <row r="232" spans="1:15" x14ac:dyDescent="0.3">
      <c r="A232">
        <v>41699</v>
      </c>
      <c r="B232" s="7">
        <v>99.6</v>
      </c>
      <c r="C232">
        <f t="shared" si="41"/>
        <v>0.77369211586727216</v>
      </c>
      <c r="D232">
        <f t="shared" si="42"/>
        <v>-0.10590558528210678</v>
      </c>
      <c r="E232">
        <f t="shared" si="43"/>
        <v>-0.19386535539705219</v>
      </c>
      <c r="F232">
        <f t="shared" si="44"/>
        <v>-1.7945815167173879E-2</v>
      </c>
      <c r="G232">
        <f t="shared" si="45"/>
        <v>0.15797372506270441</v>
      </c>
      <c r="H232">
        <f t="shared" si="46"/>
        <v>-1.7945815167173879E-2</v>
      </c>
      <c r="I232">
        <f t="shared" si="47"/>
        <v>-0.54570443585679629</v>
      </c>
      <c r="J232">
        <f t="shared" si="48"/>
        <v>-0.28182512551198508</v>
      </c>
      <c r="K232">
        <f t="shared" si="49"/>
        <v>0.15797372506270441</v>
      </c>
      <c r="L232">
        <f t="shared" si="50"/>
        <v>0.33389326529258273</v>
      </c>
      <c r="M232">
        <f t="shared" si="51"/>
        <v>0.50981280552244845</v>
      </c>
      <c r="N232">
        <f t="shared" si="52"/>
        <v>0.42185303540751562</v>
      </c>
      <c r="O232">
        <f t="shared" si="53"/>
        <v>0.59777257563739394</v>
      </c>
    </row>
    <row r="233" spans="1:15" x14ac:dyDescent="0.3">
      <c r="A233">
        <v>41730</v>
      </c>
      <c r="B233" s="7">
        <v>100.1</v>
      </c>
      <c r="C233">
        <f t="shared" si="41"/>
        <v>0.14409441471789322</v>
      </c>
      <c r="D233">
        <f t="shared" si="42"/>
        <v>0.33389326529258273</v>
      </c>
      <c r="E233">
        <f t="shared" si="43"/>
        <v>-4.5704435856796261E-2</v>
      </c>
      <c r="F233">
        <f t="shared" si="44"/>
        <v>-8.366420597173739E-2</v>
      </c>
      <c r="G233">
        <f t="shared" si="45"/>
        <v>-7.7446657418605196E-3</v>
      </c>
      <c r="H233">
        <f t="shared" si="46"/>
        <v>6.8174874488016346E-2</v>
      </c>
      <c r="I233">
        <f t="shared" si="47"/>
        <v>-7.7446657418605196E-3</v>
      </c>
      <c r="J233">
        <f t="shared" si="48"/>
        <v>-0.23550328643148574</v>
      </c>
      <c r="K233">
        <f t="shared" si="49"/>
        <v>-0.12162397608667314</v>
      </c>
      <c r="L233">
        <f t="shared" si="50"/>
        <v>6.8174874488016346E-2</v>
      </c>
      <c r="M233">
        <f t="shared" si="51"/>
        <v>0.14409441471789322</v>
      </c>
      <c r="N233">
        <f t="shared" si="52"/>
        <v>0.22001395494776471</v>
      </c>
      <c r="O233">
        <f t="shared" si="53"/>
        <v>0.18205418483282895</v>
      </c>
    </row>
    <row r="234" spans="1:15" x14ac:dyDescent="0.3">
      <c r="A234">
        <v>41760</v>
      </c>
      <c r="B234" s="7">
        <v>100.2</v>
      </c>
      <c r="C234">
        <f t="shared" si="41"/>
        <v>7.8174874488012663E-2</v>
      </c>
      <c r="D234">
        <f t="shared" si="42"/>
        <v>0.10613464460295209</v>
      </c>
      <c r="E234">
        <f t="shared" si="43"/>
        <v>0.2459334951776373</v>
      </c>
      <c r="F234">
        <f t="shared" si="44"/>
        <v>-3.3664205971733127E-2</v>
      </c>
      <c r="G234">
        <f t="shared" si="45"/>
        <v>-6.1623976086672555E-2</v>
      </c>
      <c r="H234">
        <f t="shared" si="46"/>
        <v>-5.7044358567976735E-3</v>
      </c>
      <c r="I234">
        <f t="shared" si="47"/>
        <v>5.0215104373077211E-2</v>
      </c>
      <c r="J234">
        <f t="shared" si="48"/>
        <v>-5.7044358567976735E-3</v>
      </c>
      <c r="K234">
        <f t="shared" si="49"/>
        <v>-0.17346305654641836</v>
      </c>
      <c r="L234">
        <f t="shared" si="50"/>
        <v>-8.9583746201608014E-2</v>
      </c>
      <c r="M234">
        <f t="shared" si="51"/>
        <v>5.0215104373077211E-2</v>
      </c>
      <c r="N234">
        <f t="shared" si="52"/>
        <v>0.10613464460295209</v>
      </c>
      <c r="O234">
        <f t="shared" si="53"/>
        <v>0.162054184832823</v>
      </c>
    </row>
    <row r="235" spans="1:15" x14ac:dyDescent="0.3">
      <c r="A235">
        <v>41791</v>
      </c>
      <c r="B235" s="7">
        <v>100.3</v>
      </c>
      <c r="C235">
        <f t="shared" si="41"/>
        <v>3.2255334258140617E-2</v>
      </c>
      <c r="D235">
        <f t="shared" si="42"/>
        <v>5.0215104373077211E-2</v>
      </c>
      <c r="E235">
        <f t="shared" si="43"/>
        <v>6.8174874488016346E-2</v>
      </c>
      <c r="F235">
        <f t="shared" si="44"/>
        <v>0.15797372506270441</v>
      </c>
      <c r="G235">
        <f t="shared" si="45"/>
        <v>-2.1623976086671708E-2</v>
      </c>
      <c r="H235">
        <f t="shared" si="46"/>
        <v>-3.9583746201610849E-2</v>
      </c>
      <c r="I235">
        <f t="shared" si="47"/>
        <v>-3.664205971735118E-3</v>
      </c>
      <c r="J235">
        <f t="shared" si="48"/>
        <v>3.2255334258140617E-2</v>
      </c>
      <c r="K235">
        <f t="shared" si="49"/>
        <v>-3.664205971735118E-3</v>
      </c>
      <c r="L235">
        <f t="shared" si="50"/>
        <v>-0.11142282666135978</v>
      </c>
      <c r="M235">
        <f t="shared" si="51"/>
        <v>-5.7543516316547444E-2</v>
      </c>
      <c r="N235">
        <f t="shared" si="52"/>
        <v>3.2255334258140617E-2</v>
      </c>
      <c r="O235">
        <f t="shared" si="53"/>
        <v>6.8174874488016346E-2</v>
      </c>
    </row>
    <row r="236" spans="1:15" x14ac:dyDescent="0.3">
      <c r="A236">
        <v>41821</v>
      </c>
      <c r="B236" s="7">
        <v>100.2</v>
      </c>
      <c r="C236">
        <f t="shared" si="41"/>
        <v>7.8174874488012663E-2</v>
      </c>
      <c r="D236">
        <f t="shared" si="42"/>
        <v>5.0215104373077211E-2</v>
      </c>
      <c r="E236">
        <f t="shared" si="43"/>
        <v>7.8174874488012663E-2</v>
      </c>
      <c r="F236">
        <f t="shared" si="44"/>
        <v>0.10613464460295209</v>
      </c>
      <c r="G236">
        <f t="shared" si="45"/>
        <v>0.2459334951776373</v>
      </c>
      <c r="H236">
        <f t="shared" si="46"/>
        <v>-3.3664205971733127E-2</v>
      </c>
      <c r="I236">
        <f t="shared" si="47"/>
        <v>-6.1623976086672555E-2</v>
      </c>
      <c r="J236">
        <f t="shared" si="48"/>
        <v>-5.7044358567976735E-3</v>
      </c>
      <c r="K236">
        <f t="shared" si="49"/>
        <v>5.0215104373077211E-2</v>
      </c>
      <c r="L236">
        <f t="shared" si="50"/>
        <v>-5.7044358567976735E-3</v>
      </c>
      <c r="M236">
        <f t="shared" si="51"/>
        <v>-0.17346305654641836</v>
      </c>
      <c r="N236">
        <f t="shared" si="52"/>
        <v>-8.9583746201608014E-2</v>
      </c>
      <c r="O236">
        <f t="shared" si="53"/>
        <v>5.0215104373077211E-2</v>
      </c>
    </row>
    <row r="237" spans="1:15" x14ac:dyDescent="0.3">
      <c r="A237">
        <v>41852</v>
      </c>
      <c r="B237" s="7">
        <v>100.2</v>
      </c>
      <c r="C237">
        <f t="shared" si="41"/>
        <v>7.8174874488012663E-2</v>
      </c>
      <c r="D237">
        <f t="shared" si="42"/>
        <v>7.8174874488012663E-2</v>
      </c>
      <c r="E237">
        <f t="shared" si="43"/>
        <v>5.0215104373077211E-2</v>
      </c>
      <c r="F237">
        <f t="shared" si="44"/>
        <v>7.8174874488012663E-2</v>
      </c>
      <c r="G237">
        <f t="shared" si="45"/>
        <v>0.10613464460295209</v>
      </c>
      <c r="H237">
        <f t="shared" si="46"/>
        <v>0.2459334951776373</v>
      </c>
      <c r="I237">
        <f t="shared" si="47"/>
        <v>-3.3664205971733127E-2</v>
      </c>
      <c r="J237">
        <f t="shared" si="48"/>
        <v>-6.1623976086672555E-2</v>
      </c>
      <c r="K237">
        <f t="shared" si="49"/>
        <v>-5.7044358567976735E-3</v>
      </c>
      <c r="L237">
        <f t="shared" si="50"/>
        <v>5.0215104373077211E-2</v>
      </c>
      <c r="M237">
        <f t="shared" si="51"/>
        <v>-5.7044358567976735E-3</v>
      </c>
      <c r="N237">
        <f t="shared" si="52"/>
        <v>-0.17346305654641836</v>
      </c>
      <c r="O237">
        <f t="shared" si="53"/>
        <v>-8.9583746201608014E-2</v>
      </c>
    </row>
    <row r="238" spans="1:15" x14ac:dyDescent="0.3">
      <c r="A238">
        <v>41883</v>
      </c>
      <c r="B238" s="7">
        <v>100.4</v>
      </c>
      <c r="C238">
        <f t="shared" si="41"/>
        <v>6.3357940282640357E-3</v>
      </c>
      <c r="D238">
        <f t="shared" si="42"/>
        <v>2.225533425813778E-2</v>
      </c>
      <c r="E238">
        <f t="shared" si="43"/>
        <v>2.225533425813778E-2</v>
      </c>
      <c r="F238">
        <f t="shared" si="44"/>
        <v>1.4295564143201473E-2</v>
      </c>
      <c r="G238">
        <f t="shared" si="45"/>
        <v>2.225533425813778E-2</v>
      </c>
      <c r="H238">
        <f t="shared" si="46"/>
        <v>3.021510437307522E-2</v>
      </c>
      <c r="I238">
        <f t="shared" si="47"/>
        <v>7.0013954947759013E-2</v>
      </c>
      <c r="J238">
        <f t="shared" si="48"/>
        <v>-9.5837462016085794E-3</v>
      </c>
      <c r="K238">
        <f t="shared" si="49"/>
        <v>-1.7543516316546017E-2</v>
      </c>
      <c r="L238">
        <f t="shared" si="50"/>
        <v>-1.6239760866722716E-3</v>
      </c>
      <c r="M238">
        <f t="shared" si="51"/>
        <v>1.4295564143201473E-2</v>
      </c>
      <c r="N238">
        <f t="shared" si="52"/>
        <v>-1.6239760866722716E-3</v>
      </c>
      <c r="O238">
        <f t="shared" si="53"/>
        <v>-4.9382596776292378E-2</v>
      </c>
    </row>
    <row r="239" spans="1:15" x14ac:dyDescent="0.3">
      <c r="A239">
        <v>41913</v>
      </c>
      <c r="B239" s="7">
        <v>100.1</v>
      </c>
      <c r="C239">
        <f t="shared" si="41"/>
        <v>0.14409441471789322</v>
      </c>
      <c r="D239">
        <f t="shared" si="42"/>
        <v>3.021510437307522E-2</v>
      </c>
      <c r="E239">
        <f t="shared" si="43"/>
        <v>0.10613464460295209</v>
      </c>
      <c r="F239">
        <f t="shared" si="44"/>
        <v>0.10613464460295209</v>
      </c>
      <c r="G239">
        <f t="shared" si="45"/>
        <v>6.8174874488016346E-2</v>
      </c>
      <c r="H239">
        <f t="shared" si="46"/>
        <v>0.10613464460295209</v>
      </c>
      <c r="I239">
        <f t="shared" si="47"/>
        <v>0.14409441471789322</v>
      </c>
      <c r="J239">
        <f t="shared" si="48"/>
        <v>0.33389326529258273</v>
      </c>
      <c r="K239">
        <f t="shared" si="49"/>
        <v>-4.5704435856796261E-2</v>
      </c>
      <c r="L239">
        <f t="shared" si="50"/>
        <v>-8.366420597173739E-2</v>
      </c>
      <c r="M239">
        <f t="shared" si="51"/>
        <v>-7.7446657418605196E-3</v>
      </c>
      <c r="N239">
        <f t="shared" si="52"/>
        <v>6.8174874488016346E-2</v>
      </c>
      <c r="O239">
        <f t="shared" si="53"/>
        <v>-7.7446657418605196E-3</v>
      </c>
    </row>
    <row r="240" spans="1:15" x14ac:dyDescent="0.3">
      <c r="A240">
        <v>41944</v>
      </c>
      <c r="B240" s="7">
        <v>99.7</v>
      </c>
      <c r="C240">
        <f t="shared" si="41"/>
        <v>0.60777257563738307</v>
      </c>
      <c r="D240">
        <f t="shared" si="42"/>
        <v>0.29593349517764156</v>
      </c>
      <c r="E240">
        <f t="shared" si="43"/>
        <v>6.2054184832821581E-2</v>
      </c>
      <c r="F240">
        <f t="shared" si="44"/>
        <v>0.21797372506269788</v>
      </c>
      <c r="G240">
        <f t="shared" si="45"/>
        <v>0.21797372506269788</v>
      </c>
      <c r="H240">
        <f t="shared" si="46"/>
        <v>0.14001395494776528</v>
      </c>
      <c r="I240">
        <f t="shared" si="47"/>
        <v>0.21797372506269788</v>
      </c>
      <c r="J240">
        <f t="shared" si="48"/>
        <v>0.29593349517764156</v>
      </c>
      <c r="K240">
        <f t="shared" si="49"/>
        <v>0.68573234575232678</v>
      </c>
      <c r="L240">
        <f t="shared" si="50"/>
        <v>-9.3865355397043646E-2</v>
      </c>
      <c r="M240">
        <f t="shared" si="51"/>
        <v>-0.17182512551198734</v>
      </c>
      <c r="N240">
        <f t="shared" si="52"/>
        <v>-1.5905585282111036E-2</v>
      </c>
      <c r="O240">
        <f t="shared" si="53"/>
        <v>0.14001395494776528</v>
      </c>
    </row>
    <row r="241" spans="1:15" x14ac:dyDescent="0.3">
      <c r="A241">
        <v>41974</v>
      </c>
      <c r="B241" s="7">
        <v>99.8</v>
      </c>
      <c r="C241">
        <f t="shared" si="41"/>
        <v>0.46185303540751677</v>
      </c>
      <c r="D241">
        <f t="shared" si="42"/>
        <v>0.52981280552245047</v>
      </c>
      <c r="E241">
        <f t="shared" si="43"/>
        <v>0.25797372506270583</v>
      </c>
      <c r="F241">
        <f t="shared" si="44"/>
        <v>5.4094414717885272E-2</v>
      </c>
      <c r="G241">
        <f t="shared" si="45"/>
        <v>0.19001395494776244</v>
      </c>
      <c r="H241">
        <f t="shared" si="46"/>
        <v>0.19001395494776244</v>
      </c>
      <c r="I241">
        <f t="shared" si="47"/>
        <v>0.12205418483282868</v>
      </c>
      <c r="J241">
        <f t="shared" si="48"/>
        <v>0.19001395494776244</v>
      </c>
      <c r="K241">
        <f t="shared" si="49"/>
        <v>0.25797372506270583</v>
      </c>
      <c r="L241">
        <f t="shared" si="50"/>
        <v>0.59777257563739394</v>
      </c>
      <c r="M241">
        <f t="shared" si="51"/>
        <v>-8.1825125511982233E-2</v>
      </c>
      <c r="N241">
        <f t="shared" si="52"/>
        <v>-0.14978489562692562</v>
      </c>
      <c r="O241">
        <f t="shared" si="53"/>
        <v>-1.3865355397048479E-2</v>
      </c>
    </row>
    <row r="242" spans="1:15" x14ac:dyDescent="0.3">
      <c r="A242">
        <v>42005</v>
      </c>
      <c r="B242" s="7">
        <v>99.8</v>
      </c>
      <c r="C242">
        <f t="shared" si="41"/>
        <v>0.46185303540751677</v>
      </c>
      <c r="D242">
        <f t="shared" si="42"/>
        <v>0.46185303540751677</v>
      </c>
      <c r="E242">
        <f t="shared" si="43"/>
        <v>0.52981280552245047</v>
      </c>
      <c r="F242">
        <f t="shared" si="44"/>
        <v>0.25797372506270583</v>
      </c>
      <c r="G242">
        <f t="shared" si="45"/>
        <v>5.4094414717885272E-2</v>
      </c>
      <c r="H242">
        <f t="shared" si="46"/>
        <v>0.19001395494776244</v>
      </c>
      <c r="I242">
        <f t="shared" si="47"/>
        <v>0.19001395494776244</v>
      </c>
      <c r="J242">
        <f t="shared" si="48"/>
        <v>0.12205418483282868</v>
      </c>
      <c r="K242">
        <f t="shared" si="49"/>
        <v>0.19001395494776244</v>
      </c>
      <c r="L242">
        <f t="shared" si="50"/>
        <v>0.25797372506270583</v>
      </c>
      <c r="M242">
        <f t="shared" si="51"/>
        <v>0.59777257563739394</v>
      </c>
      <c r="N242">
        <f t="shared" si="52"/>
        <v>-8.1825125511982233E-2</v>
      </c>
      <c r="O242">
        <f t="shared" si="53"/>
        <v>-0.14978489562692562</v>
      </c>
    </row>
    <row r="243" spans="1:15" x14ac:dyDescent="0.3">
      <c r="A243">
        <v>42036</v>
      </c>
      <c r="B243" s="7">
        <v>100</v>
      </c>
      <c r="C243">
        <f t="shared" si="41"/>
        <v>0.23001395494776355</v>
      </c>
      <c r="D243">
        <f t="shared" si="42"/>
        <v>0.32593349517763959</v>
      </c>
      <c r="E243">
        <f t="shared" si="43"/>
        <v>0.32593349517763959</v>
      </c>
      <c r="F243">
        <f t="shared" si="44"/>
        <v>0.37389326529257416</v>
      </c>
      <c r="G243">
        <f t="shared" si="45"/>
        <v>0.18205418483282895</v>
      </c>
      <c r="H243">
        <f t="shared" si="46"/>
        <v>3.8174874488011525E-2</v>
      </c>
      <c r="I243">
        <f t="shared" si="47"/>
        <v>0.13409441471788755</v>
      </c>
      <c r="J243">
        <f t="shared" si="48"/>
        <v>0.13409441471788755</v>
      </c>
      <c r="K243">
        <f t="shared" si="49"/>
        <v>8.6134644602952948E-2</v>
      </c>
      <c r="L243">
        <f t="shared" si="50"/>
        <v>0.13409441471788755</v>
      </c>
      <c r="M243">
        <f t="shared" si="51"/>
        <v>0.18205418483282895</v>
      </c>
      <c r="N243">
        <f t="shared" si="52"/>
        <v>0.42185303540751562</v>
      </c>
      <c r="O243">
        <f t="shared" si="53"/>
        <v>-5.774466574185768E-2</v>
      </c>
    </row>
    <row r="244" spans="1:15" x14ac:dyDescent="0.3">
      <c r="A244">
        <v>42064</v>
      </c>
      <c r="B244" s="7">
        <v>100.2</v>
      </c>
      <c r="C244">
        <f t="shared" si="41"/>
        <v>7.8174874488012663E-2</v>
      </c>
      <c r="D244">
        <f t="shared" si="42"/>
        <v>0.13409441471788755</v>
      </c>
      <c r="E244">
        <f t="shared" si="43"/>
        <v>0.19001395494776244</v>
      </c>
      <c r="F244">
        <f t="shared" si="44"/>
        <v>0.19001395494776244</v>
      </c>
      <c r="G244">
        <f t="shared" si="45"/>
        <v>0.21797372506269788</v>
      </c>
      <c r="H244">
        <f t="shared" si="46"/>
        <v>0.10613464460295209</v>
      </c>
      <c r="I244">
        <f t="shared" si="47"/>
        <v>2.225533425813778E-2</v>
      </c>
      <c r="J244">
        <f t="shared" si="48"/>
        <v>7.8174874488012663E-2</v>
      </c>
      <c r="K244">
        <f t="shared" si="49"/>
        <v>7.8174874488012663E-2</v>
      </c>
      <c r="L244">
        <f t="shared" si="50"/>
        <v>5.0215104373077211E-2</v>
      </c>
      <c r="M244">
        <f t="shared" si="51"/>
        <v>7.8174874488012663E-2</v>
      </c>
      <c r="N244">
        <f t="shared" si="52"/>
        <v>0.10613464460295209</v>
      </c>
      <c r="O244">
        <f t="shared" si="53"/>
        <v>0.2459334951776373</v>
      </c>
    </row>
    <row r="245" spans="1:15" x14ac:dyDescent="0.3">
      <c r="A245">
        <v>42095</v>
      </c>
      <c r="B245" s="7">
        <v>100.1</v>
      </c>
      <c r="C245">
        <f t="shared" si="41"/>
        <v>0.14409441471789322</v>
      </c>
      <c r="D245">
        <f t="shared" si="42"/>
        <v>0.10613464460295209</v>
      </c>
      <c r="E245">
        <f t="shared" si="43"/>
        <v>0.18205418483282895</v>
      </c>
      <c r="F245">
        <f t="shared" si="44"/>
        <v>0.25797372506270583</v>
      </c>
      <c r="G245">
        <f t="shared" si="45"/>
        <v>0.25797372506270583</v>
      </c>
      <c r="H245">
        <f t="shared" si="46"/>
        <v>0.29593349517764156</v>
      </c>
      <c r="I245">
        <f t="shared" si="47"/>
        <v>0.14409441471789322</v>
      </c>
      <c r="J245">
        <f t="shared" si="48"/>
        <v>3.021510437307522E-2</v>
      </c>
      <c r="K245">
        <f t="shared" si="49"/>
        <v>0.10613464460295209</v>
      </c>
      <c r="L245">
        <f t="shared" si="50"/>
        <v>0.10613464460295209</v>
      </c>
      <c r="M245">
        <f t="shared" si="51"/>
        <v>6.8174874488016346E-2</v>
      </c>
      <c r="N245">
        <f t="shared" si="52"/>
        <v>0.10613464460295209</v>
      </c>
      <c r="O245">
        <f t="shared" si="53"/>
        <v>0.14409441471789322</v>
      </c>
    </row>
    <row r="246" spans="1:15" x14ac:dyDescent="0.3">
      <c r="A246">
        <v>42125</v>
      </c>
      <c r="B246" s="7">
        <v>100.2</v>
      </c>
      <c r="C246">
        <f t="shared" si="41"/>
        <v>7.8174874488012663E-2</v>
      </c>
      <c r="D246">
        <f t="shared" si="42"/>
        <v>0.10613464460295209</v>
      </c>
      <c r="E246">
        <f t="shared" si="43"/>
        <v>7.8174874488012663E-2</v>
      </c>
      <c r="F246">
        <f t="shared" si="44"/>
        <v>0.13409441471788755</v>
      </c>
      <c r="G246">
        <f t="shared" si="45"/>
        <v>0.19001395494776244</v>
      </c>
      <c r="H246">
        <f t="shared" si="46"/>
        <v>0.19001395494776244</v>
      </c>
      <c r="I246">
        <f t="shared" si="47"/>
        <v>0.21797372506269788</v>
      </c>
      <c r="J246">
        <f t="shared" si="48"/>
        <v>0.10613464460295209</v>
      </c>
      <c r="K246">
        <f t="shared" si="49"/>
        <v>2.225533425813778E-2</v>
      </c>
      <c r="L246">
        <f t="shared" si="50"/>
        <v>7.8174874488012663E-2</v>
      </c>
      <c r="M246">
        <f t="shared" si="51"/>
        <v>7.8174874488012663E-2</v>
      </c>
      <c r="N246">
        <f t="shared" si="52"/>
        <v>5.0215104373077211E-2</v>
      </c>
      <c r="O246">
        <f t="shared" si="53"/>
        <v>7.8174874488012663E-2</v>
      </c>
    </row>
    <row r="247" spans="1:15" x14ac:dyDescent="0.3">
      <c r="A247">
        <v>42156</v>
      </c>
      <c r="B247" s="7">
        <v>100.4</v>
      </c>
      <c r="C247">
        <f t="shared" si="41"/>
        <v>6.3357940282640357E-3</v>
      </c>
      <c r="D247">
        <f t="shared" si="42"/>
        <v>2.225533425813778E-2</v>
      </c>
      <c r="E247">
        <f t="shared" si="43"/>
        <v>3.021510437307522E-2</v>
      </c>
      <c r="F247">
        <f t="shared" si="44"/>
        <v>2.225533425813778E-2</v>
      </c>
      <c r="G247">
        <f t="shared" si="45"/>
        <v>3.8174874488011525E-2</v>
      </c>
      <c r="H247">
        <f t="shared" si="46"/>
        <v>5.4094414717885272E-2</v>
      </c>
      <c r="I247">
        <f t="shared" si="47"/>
        <v>5.4094414717885272E-2</v>
      </c>
      <c r="J247">
        <f t="shared" si="48"/>
        <v>6.2054184832821581E-2</v>
      </c>
      <c r="K247">
        <f t="shared" si="49"/>
        <v>3.021510437307522E-2</v>
      </c>
      <c r="L247">
        <f t="shared" si="50"/>
        <v>6.3357940282640357E-3</v>
      </c>
      <c r="M247">
        <f t="shared" si="51"/>
        <v>2.225533425813778E-2</v>
      </c>
      <c r="N247">
        <f t="shared" si="52"/>
        <v>2.225533425813778E-2</v>
      </c>
      <c r="O247">
        <f t="shared" si="53"/>
        <v>1.4295564143201473E-2</v>
      </c>
    </row>
    <row r="248" spans="1:15" x14ac:dyDescent="0.3">
      <c r="A248">
        <v>42186</v>
      </c>
      <c r="B248" s="7">
        <v>100.1</v>
      </c>
      <c r="C248">
        <f t="shared" si="41"/>
        <v>0.14409441471789322</v>
      </c>
      <c r="D248">
        <f t="shared" si="42"/>
        <v>3.021510437307522E-2</v>
      </c>
      <c r="E248">
        <f t="shared" si="43"/>
        <v>0.10613464460295209</v>
      </c>
      <c r="F248">
        <f t="shared" si="44"/>
        <v>0.14409441471789322</v>
      </c>
      <c r="G248">
        <f t="shared" si="45"/>
        <v>0.10613464460295209</v>
      </c>
      <c r="H248">
        <f t="shared" si="46"/>
        <v>0.18205418483282895</v>
      </c>
      <c r="I248">
        <f t="shared" si="47"/>
        <v>0.25797372506270583</v>
      </c>
      <c r="J248">
        <f t="shared" si="48"/>
        <v>0.25797372506270583</v>
      </c>
      <c r="K248">
        <f t="shared" si="49"/>
        <v>0.29593349517764156</v>
      </c>
      <c r="L248">
        <f t="shared" si="50"/>
        <v>0.14409441471789322</v>
      </c>
      <c r="M248">
        <f t="shared" si="51"/>
        <v>3.021510437307522E-2</v>
      </c>
      <c r="N248">
        <f t="shared" si="52"/>
        <v>0.10613464460295209</v>
      </c>
      <c r="O248">
        <f t="shared" si="53"/>
        <v>0.10613464460295209</v>
      </c>
    </row>
    <row r="249" spans="1:15" x14ac:dyDescent="0.3">
      <c r="A249">
        <v>42217</v>
      </c>
      <c r="B249" s="7">
        <v>99.9</v>
      </c>
      <c r="C249">
        <f t="shared" si="41"/>
        <v>0.3359334951776316</v>
      </c>
      <c r="D249">
        <f t="shared" si="42"/>
        <v>0.22001395494776471</v>
      </c>
      <c r="E249">
        <f t="shared" si="43"/>
        <v>4.6134644602947833E-2</v>
      </c>
      <c r="F249">
        <f t="shared" si="44"/>
        <v>0.162054184832823</v>
      </c>
      <c r="G249">
        <f t="shared" si="45"/>
        <v>0.22001395494776471</v>
      </c>
      <c r="H249">
        <f t="shared" si="46"/>
        <v>0.162054184832823</v>
      </c>
      <c r="I249">
        <f t="shared" si="47"/>
        <v>0.27797372506269818</v>
      </c>
      <c r="J249">
        <f t="shared" si="48"/>
        <v>0.39389326529257335</v>
      </c>
      <c r="K249">
        <f t="shared" si="49"/>
        <v>0.39389326529257335</v>
      </c>
      <c r="L249">
        <f t="shared" si="50"/>
        <v>0.45185303540750682</v>
      </c>
      <c r="M249">
        <f t="shared" si="51"/>
        <v>0.22001395494776471</v>
      </c>
      <c r="N249">
        <f t="shared" si="52"/>
        <v>4.6134644602947833E-2</v>
      </c>
      <c r="O249">
        <f t="shared" si="53"/>
        <v>0.162054184832823</v>
      </c>
    </row>
    <row r="250" spans="1:15" x14ac:dyDescent="0.3">
      <c r="A250">
        <v>42248</v>
      </c>
      <c r="B250" s="7">
        <v>99.8</v>
      </c>
      <c r="C250">
        <f t="shared" si="41"/>
        <v>0.46185303540751677</v>
      </c>
      <c r="D250">
        <f t="shared" si="42"/>
        <v>0.39389326529257335</v>
      </c>
      <c r="E250">
        <f t="shared" si="43"/>
        <v>0.25797372506270583</v>
      </c>
      <c r="F250">
        <f t="shared" si="44"/>
        <v>5.4094414717885272E-2</v>
      </c>
      <c r="G250">
        <f t="shared" si="45"/>
        <v>0.19001395494776244</v>
      </c>
      <c r="H250">
        <f t="shared" si="46"/>
        <v>0.25797372506270583</v>
      </c>
      <c r="I250">
        <f t="shared" si="47"/>
        <v>0.19001395494776244</v>
      </c>
      <c r="J250">
        <f t="shared" si="48"/>
        <v>0.32593349517763959</v>
      </c>
      <c r="K250">
        <f t="shared" si="49"/>
        <v>0.46185303540751677</v>
      </c>
      <c r="L250">
        <f t="shared" si="50"/>
        <v>0.46185303540751677</v>
      </c>
      <c r="M250">
        <f t="shared" si="51"/>
        <v>0.52981280552245047</v>
      </c>
      <c r="N250">
        <f t="shared" si="52"/>
        <v>0.25797372506270583</v>
      </c>
      <c r="O250">
        <f t="shared" si="53"/>
        <v>5.4094414717885272E-2</v>
      </c>
    </row>
    <row r="251" spans="1:15" x14ac:dyDescent="0.3">
      <c r="A251">
        <v>42278</v>
      </c>
      <c r="B251" s="7">
        <v>100.1</v>
      </c>
      <c r="C251">
        <f t="shared" si="41"/>
        <v>0.14409441471789322</v>
      </c>
      <c r="D251">
        <f t="shared" si="42"/>
        <v>0.25797372506270583</v>
      </c>
      <c r="E251">
        <f t="shared" si="43"/>
        <v>0.22001395494776471</v>
      </c>
      <c r="F251">
        <f t="shared" si="44"/>
        <v>0.14409441471789322</v>
      </c>
      <c r="G251">
        <f t="shared" si="45"/>
        <v>3.021510437307522E-2</v>
      </c>
      <c r="H251">
        <f t="shared" si="46"/>
        <v>0.10613464460295209</v>
      </c>
      <c r="I251">
        <f t="shared" si="47"/>
        <v>0.14409441471789322</v>
      </c>
      <c r="J251">
        <f t="shared" si="48"/>
        <v>0.10613464460295209</v>
      </c>
      <c r="K251">
        <f t="shared" si="49"/>
        <v>0.18205418483282895</v>
      </c>
      <c r="L251">
        <f t="shared" si="50"/>
        <v>0.25797372506270583</v>
      </c>
      <c r="M251">
        <f t="shared" si="51"/>
        <v>0.25797372506270583</v>
      </c>
      <c r="N251">
        <f t="shared" si="52"/>
        <v>0.29593349517764156</v>
      </c>
      <c r="O251">
        <f t="shared" si="53"/>
        <v>0.14409441471789322</v>
      </c>
    </row>
    <row r="252" spans="1:15" x14ac:dyDescent="0.3">
      <c r="A252">
        <v>42309</v>
      </c>
      <c r="B252" s="7">
        <v>100.1</v>
      </c>
      <c r="C252">
        <f t="shared" si="41"/>
        <v>0.14409441471789322</v>
      </c>
      <c r="D252">
        <f t="shared" si="42"/>
        <v>0.14409441471789322</v>
      </c>
      <c r="E252">
        <f t="shared" si="43"/>
        <v>0.25797372506270583</v>
      </c>
      <c r="F252">
        <f t="shared" si="44"/>
        <v>0.22001395494776471</v>
      </c>
      <c r="G252">
        <f t="shared" si="45"/>
        <v>0.14409441471789322</v>
      </c>
      <c r="H252">
        <f t="shared" si="46"/>
        <v>3.021510437307522E-2</v>
      </c>
      <c r="I252">
        <f t="shared" si="47"/>
        <v>0.10613464460295209</v>
      </c>
      <c r="J252">
        <f t="shared" si="48"/>
        <v>0.14409441471789322</v>
      </c>
      <c r="K252">
        <f t="shared" si="49"/>
        <v>0.10613464460295209</v>
      </c>
      <c r="L252">
        <f t="shared" si="50"/>
        <v>0.18205418483282895</v>
      </c>
      <c r="M252">
        <f t="shared" si="51"/>
        <v>0.25797372506270583</v>
      </c>
      <c r="N252">
        <f t="shared" si="52"/>
        <v>0.25797372506270583</v>
      </c>
      <c r="O252">
        <f t="shared" si="53"/>
        <v>0.29593349517764156</v>
      </c>
    </row>
    <row r="253" spans="1:15" x14ac:dyDescent="0.3">
      <c r="A253">
        <v>42339</v>
      </c>
      <c r="B253" s="7">
        <v>100</v>
      </c>
      <c r="C253">
        <f t="shared" si="41"/>
        <v>0.23001395494776355</v>
      </c>
      <c r="D253">
        <f t="shared" si="42"/>
        <v>0.18205418483282895</v>
      </c>
      <c r="E253">
        <f t="shared" si="43"/>
        <v>0.18205418483282895</v>
      </c>
      <c r="F253">
        <f t="shared" si="44"/>
        <v>0.32593349517763959</v>
      </c>
      <c r="G253">
        <f t="shared" si="45"/>
        <v>0.27797372506269818</v>
      </c>
      <c r="H253">
        <f t="shared" si="46"/>
        <v>0.18205418483282895</v>
      </c>
      <c r="I253">
        <f t="shared" si="47"/>
        <v>3.8174874488011525E-2</v>
      </c>
      <c r="J253">
        <f t="shared" si="48"/>
        <v>0.13409441471788755</v>
      </c>
      <c r="K253">
        <f t="shared" si="49"/>
        <v>0.18205418483282895</v>
      </c>
      <c r="L253">
        <f t="shared" si="50"/>
        <v>0.13409441471788755</v>
      </c>
      <c r="M253">
        <f t="shared" si="51"/>
        <v>0.23001395494776355</v>
      </c>
      <c r="N253">
        <f t="shared" si="52"/>
        <v>0.32593349517763959</v>
      </c>
      <c r="O253">
        <f t="shared" si="53"/>
        <v>0.32593349517763959</v>
      </c>
    </row>
    <row r="254" spans="1:15" x14ac:dyDescent="0.3">
      <c r="A254">
        <v>42370</v>
      </c>
      <c r="B254" s="7">
        <v>100</v>
      </c>
      <c r="C254">
        <f t="shared" si="41"/>
        <v>0.23001395494776355</v>
      </c>
      <c r="D254">
        <f t="shared" si="42"/>
        <v>0.23001395494776355</v>
      </c>
      <c r="E254">
        <f t="shared" si="43"/>
        <v>0.18205418483282895</v>
      </c>
      <c r="F254">
        <f t="shared" si="44"/>
        <v>0.18205418483282895</v>
      </c>
      <c r="G254">
        <f t="shared" si="45"/>
        <v>0.32593349517763959</v>
      </c>
      <c r="H254">
        <f t="shared" si="46"/>
        <v>0.27797372506269818</v>
      </c>
      <c r="I254">
        <f t="shared" si="47"/>
        <v>0.18205418483282895</v>
      </c>
      <c r="J254">
        <f t="shared" si="48"/>
        <v>3.8174874488011525E-2</v>
      </c>
      <c r="K254">
        <f t="shared" si="49"/>
        <v>0.13409441471788755</v>
      </c>
      <c r="L254">
        <f t="shared" si="50"/>
        <v>0.18205418483282895</v>
      </c>
      <c r="M254">
        <f t="shared" si="51"/>
        <v>0.13409441471788755</v>
      </c>
      <c r="N254">
        <f t="shared" si="52"/>
        <v>0.23001395494776355</v>
      </c>
      <c r="O254">
        <f t="shared" si="53"/>
        <v>0.32593349517763959</v>
      </c>
    </row>
    <row r="255" spans="1:15" x14ac:dyDescent="0.3">
      <c r="A255">
        <v>42401</v>
      </c>
      <c r="B255" s="7">
        <v>100.4</v>
      </c>
      <c r="C255">
        <f t="shared" si="41"/>
        <v>6.3357940282640357E-3</v>
      </c>
      <c r="D255">
        <f t="shared" si="42"/>
        <v>3.8174874488011525E-2</v>
      </c>
      <c r="E255">
        <f t="shared" si="43"/>
        <v>3.8174874488011525E-2</v>
      </c>
      <c r="F255">
        <f t="shared" si="44"/>
        <v>3.021510437307522E-2</v>
      </c>
      <c r="G255">
        <f t="shared" si="45"/>
        <v>3.021510437307522E-2</v>
      </c>
      <c r="H255">
        <f t="shared" si="46"/>
        <v>5.4094414717885272E-2</v>
      </c>
      <c r="I255">
        <f t="shared" si="47"/>
        <v>4.6134644602947833E-2</v>
      </c>
      <c r="J255">
        <f t="shared" si="48"/>
        <v>3.021510437307522E-2</v>
      </c>
      <c r="K255">
        <f t="shared" si="49"/>
        <v>6.3357940282640357E-3</v>
      </c>
      <c r="L255">
        <f t="shared" si="50"/>
        <v>2.225533425813778E-2</v>
      </c>
      <c r="M255">
        <f t="shared" si="51"/>
        <v>3.021510437307522E-2</v>
      </c>
      <c r="N255">
        <f t="shared" si="52"/>
        <v>2.225533425813778E-2</v>
      </c>
      <c r="O255">
        <f t="shared" si="53"/>
        <v>3.8174874488011525E-2</v>
      </c>
    </row>
    <row r="256" spans="1:15" x14ac:dyDescent="0.3">
      <c r="A256">
        <v>42430</v>
      </c>
      <c r="B256" s="7">
        <v>100.6</v>
      </c>
      <c r="C256">
        <f t="shared" si="41"/>
        <v>1.449671356851426E-2</v>
      </c>
      <c r="D256">
        <f t="shared" si="42"/>
        <v>-9.5837462016085794E-3</v>
      </c>
      <c r="E256">
        <f t="shared" si="43"/>
        <v>-5.774466574185768E-2</v>
      </c>
      <c r="F256">
        <f t="shared" si="44"/>
        <v>-5.774466574185768E-2</v>
      </c>
      <c r="G256">
        <f t="shared" si="45"/>
        <v>-4.5704435856796261E-2</v>
      </c>
      <c r="H256">
        <f t="shared" si="46"/>
        <v>-4.5704435856796261E-2</v>
      </c>
      <c r="I256">
        <f t="shared" si="47"/>
        <v>-8.1825125511982233E-2</v>
      </c>
      <c r="J256">
        <f t="shared" si="48"/>
        <v>-6.97848956269191E-2</v>
      </c>
      <c r="K256">
        <f t="shared" si="49"/>
        <v>-4.5704435856796261E-2</v>
      </c>
      <c r="L256">
        <f t="shared" si="50"/>
        <v>-9.5837462016085794E-3</v>
      </c>
      <c r="M256">
        <f t="shared" si="51"/>
        <v>-3.3664205971733127E-2</v>
      </c>
      <c r="N256">
        <f t="shared" si="52"/>
        <v>-4.5704435856796261E-2</v>
      </c>
      <c r="O256">
        <f t="shared" si="53"/>
        <v>-3.3664205971733127E-2</v>
      </c>
    </row>
    <row r="257" spans="1:15" x14ac:dyDescent="0.3">
      <c r="A257">
        <v>42461</v>
      </c>
      <c r="B257" s="7">
        <v>100.3</v>
      </c>
      <c r="C257">
        <f t="shared" si="41"/>
        <v>3.2255334258140617E-2</v>
      </c>
      <c r="D257">
        <f t="shared" si="42"/>
        <v>-2.1623976086671708E-2</v>
      </c>
      <c r="E257">
        <f t="shared" si="43"/>
        <v>1.4295564143201473E-2</v>
      </c>
      <c r="F257">
        <f t="shared" si="44"/>
        <v>8.6134644602952948E-2</v>
      </c>
      <c r="G257">
        <f t="shared" si="45"/>
        <v>8.6134644602952948E-2</v>
      </c>
      <c r="H257">
        <f t="shared" si="46"/>
        <v>6.8174874488016346E-2</v>
      </c>
      <c r="I257">
        <f t="shared" si="47"/>
        <v>6.8174874488016346E-2</v>
      </c>
      <c r="J257">
        <f t="shared" si="48"/>
        <v>0.12205418483282868</v>
      </c>
      <c r="K257">
        <f t="shared" si="49"/>
        <v>0.10409441471788954</v>
      </c>
      <c r="L257">
        <f t="shared" si="50"/>
        <v>6.8174874488016346E-2</v>
      </c>
      <c r="M257">
        <f t="shared" si="51"/>
        <v>1.4295564143201473E-2</v>
      </c>
      <c r="N257">
        <f t="shared" si="52"/>
        <v>5.0215104373077211E-2</v>
      </c>
      <c r="O257">
        <f t="shared" si="53"/>
        <v>6.8174874488016346E-2</v>
      </c>
    </row>
    <row r="258" spans="1:15" x14ac:dyDescent="0.3">
      <c r="A258">
        <v>42491</v>
      </c>
      <c r="B258" s="7">
        <v>100.5</v>
      </c>
      <c r="C258">
        <f t="shared" si="41"/>
        <v>4.1625379839028444E-4</v>
      </c>
      <c r="D258">
        <f t="shared" si="42"/>
        <v>-3.664205971735118E-3</v>
      </c>
      <c r="E258">
        <f t="shared" si="43"/>
        <v>2.4564836834528405E-3</v>
      </c>
      <c r="F258">
        <f t="shared" si="44"/>
        <v>-1.6239760866722716E-3</v>
      </c>
      <c r="G258">
        <f t="shared" si="45"/>
        <v>-9.784895626923076E-3</v>
      </c>
      <c r="H258">
        <f t="shared" si="46"/>
        <v>-9.784895626923076E-3</v>
      </c>
      <c r="I258">
        <f t="shared" si="47"/>
        <v>-7.7446657418605196E-3</v>
      </c>
      <c r="J258">
        <f t="shared" si="48"/>
        <v>-7.7446657418605196E-3</v>
      </c>
      <c r="K258">
        <f t="shared" si="49"/>
        <v>-1.3865355397048479E-2</v>
      </c>
      <c r="L258">
        <f t="shared" si="50"/>
        <v>-1.1825125511985632E-2</v>
      </c>
      <c r="M258">
        <f t="shared" si="51"/>
        <v>-7.7446657418605196E-3</v>
      </c>
      <c r="N258">
        <f t="shared" si="52"/>
        <v>-1.6239760866722716E-3</v>
      </c>
      <c r="O258">
        <f t="shared" si="53"/>
        <v>-5.7044358567976735E-3</v>
      </c>
    </row>
    <row r="259" spans="1:15" x14ac:dyDescent="0.3">
      <c r="A259">
        <v>42522</v>
      </c>
      <c r="B259" s="7">
        <v>100.5</v>
      </c>
      <c r="C259">
        <f t="shared" ref="C259:C322" si="54">($B259-AVERAGE($B$2:$B$349))*($B259-AVERAGE($B$2:$B$349))</f>
        <v>4.1625379839028444E-4</v>
      </c>
      <c r="D259">
        <f t="shared" si="42"/>
        <v>4.1625379839028444E-4</v>
      </c>
      <c r="E259">
        <f t="shared" si="43"/>
        <v>-3.664205971735118E-3</v>
      </c>
      <c r="F259">
        <f t="shared" si="44"/>
        <v>2.4564836834528405E-3</v>
      </c>
      <c r="G259">
        <f t="shared" si="45"/>
        <v>-1.6239760866722716E-3</v>
      </c>
      <c r="H259">
        <f t="shared" si="46"/>
        <v>-9.784895626923076E-3</v>
      </c>
      <c r="I259">
        <f t="shared" si="47"/>
        <v>-9.784895626923076E-3</v>
      </c>
      <c r="J259">
        <f t="shared" si="48"/>
        <v>-7.7446657418605196E-3</v>
      </c>
      <c r="K259">
        <f t="shared" si="49"/>
        <v>-7.7446657418605196E-3</v>
      </c>
      <c r="L259">
        <f t="shared" si="50"/>
        <v>-1.3865355397048479E-2</v>
      </c>
      <c r="M259">
        <f t="shared" si="51"/>
        <v>-1.1825125511985632E-2</v>
      </c>
      <c r="N259">
        <f t="shared" si="52"/>
        <v>-7.7446657418605196E-3</v>
      </c>
      <c r="O259">
        <f t="shared" si="53"/>
        <v>-1.6239760866722716E-3</v>
      </c>
    </row>
    <row r="260" spans="1:15" x14ac:dyDescent="0.3">
      <c r="A260">
        <v>42552</v>
      </c>
      <c r="B260" s="7">
        <v>100.1</v>
      </c>
      <c r="C260">
        <f t="shared" si="54"/>
        <v>0.14409441471789322</v>
      </c>
      <c r="D260">
        <f t="shared" ref="D260:D323" si="55">($B260-AVERAGE($B$2:$B$349))*($B259-AVERAGE($B$2:$B$349))</f>
        <v>-7.7446657418605196E-3</v>
      </c>
      <c r="E260">
        <f t="shared" si="43"/>
        <v>-7.7446657418605196E-3</v>
      </c>
      <c r="F260">
        <f t="shared" si="44"/>
        <v>6.8174874488016346E-2</v>
      </c>
      <c r="G260">
        <f t="shared" si="45"/>
        <v>-4.5704435856796261E-2</v>
      </c>
      <c r="H260">
        <f t="shared" si="46"/>
        <v>3.021510437307522E-2</v>
      </c>
      <c r="I260">
        <f t="shared" si="47"/>
        <v>0.18205418483282895</v>
      </c>
      <c r="J260">
        <f t="shared" si="48"/>
        <v>0.18205418483282895</v>
      </c>
      <c r="K260">
        <f t="shared" si="49"/>
        <v>0.14409441471789322</v>
      </c>
      <c r="L260">
        <f t="shared" si="50"/>
        <v>0.14409441471789322</v>
      </c>
      <c r="M260">
        <f t="shared" si="51"/>
        <v>0.25797372506270583</v>
      </c>
      <c r="N260">
        <f t="shared" si="52"/>
        <v>0.22001395494776471</v>
      </c>
      <c r="O260">
        <f t="shared" si="53"/>
        <v>0.14409441471789322</v>
      </c>
    </row>
    <row r="261" spans="1:15" x14ac:dyDescent="0.3">
      <c r="A261">
        <v>42583</v>
      </c>
      <c r="B261" s="7">
        <v>100.1</v>
      </c>
      <c r="C261">
        <f t="shared" si="54"/>
        <v>0.14409441471789322</v>
      </c>
      <c r="D261">
        <f t="shared" si="55"/>
        <v>0.14409441471789322</v>
      </c>
      <c r="E261">
        <f t="shared" ref="E261:E324" si="56">($B261-AVERAGE($B$2:$B$349))*($B259-AVERAGE($B$2:$B$349))</f>
        <v>-7.7446657418605196E-3</v>
      </c>
      <c r="F261">
        <f t="shared" si="44"/>
        <v>-7.7446657418605196E-3</v>
      </c>
      <c r="G261">
        <f t="shared" si="45"/>
        <v>6.8174874488016346E-2</v>
      </c>
      <c r="H261">
        <f t="shared" si="46"/>
        <v>-4.5704435856796261E-2</v>
      </c>
      <c r="I261">
        <f t="shared" si="47"/>
        <v>3.021510437307522E-2</v>
      </c>
      <c r="J261">
        <f t="shared" si="48"/>
        <v>0.18205418483282895</v>
      </c>
      <c r="K261">
        <f t="shared" si="49"/>
        <v>0.18205418483282895</v>
      </c>
      <c r="L261">
        <f t="shared" si="50"/>
        <v>0.14409441471789322</v>
      </c>
      <c r="M261">
        <f t="shared" si="51"/>
        <v>0.14409441471789322</v>
      </c>
      <c r="N261">
        <f t="shared" si="52"/>
        <v>0.25797372506270583</v>
      </c>
      <c r="O261">
        <f t="shared" si="53"/>
        <v>0.22001395494776471</v>
      </c>
    </row>
    <row r="262" spans="1:15" x14ac:dyDescent="0.3">
      <c r="A262">
        <v>42614</v>
      </c>
      <c r="B262" s="7">
        <v>100.5</v>
      </c>
      <c r="C262">
        <f t="shared" si="54"/>
        <v>4.1625379839028444E-4</v>
      </c>
      <c r="D262">
        <f t="shared" si="55"/>
        <v>-7.7446657418605196E-3</v>
      </c>
      <c r="E262">
        <f t="shared" si="56"/>
        <v>-7.7446657418605196E-3</v>
      </c>
      <c r="F262">
        <f t="shared" ref="F262:F325" si="57">($B262-AVERAGE($B$2:$B$349))*($B259-AVERAGE($B$2:$B$349))</f>
        <v>4.1625379839028444E-4</v>
      </c>
      <c r="G262">
        <f t="shared" si="45"/>
        <v>4.1625379839028444E-4</v>
      </c>
      <c r="H262">
        <f t="shared" si="46"/>
        <v>-3.664205971735118E-3</v>
      </c>
      <c r="I262">
        <f t="shared" si="47"/>
        <v>2.4564836834528405E-3</v>
      </c>
      <c r="J262">
        <f t="shared" si="48"/>
        <v>-1.6239760866722716E-3</v>
      </c>
      <c r="K262">
        <f t="shared" si="49"/>
        <v>-9.784895626923076E-3</v>
      </c>
      <c r="L262">
        <f t="shared" si="50"/>
        <v>-9.784895626923076E-3</v>
      </c>
      <c r="M262">
        <f t="shared" si="51"/>
        <v>-7.7446657418605196E-3</v>
      </c>
      <c r="N262">
        <f t="shared" si="52"/>
        <v>-7.7446657418605196E-3</v>
      </c>
      <c r="O262">
        <f t="shared" si="53"/>
        <v>-1.3865355397048479E-2</v>
      </c>
    </row>
    <row r="263" spans="1:15" x14ac:dyDescent="0.3">
      <c r="A263">
        <v>42644</v>
      </c>
      <c r="B263" s="7">
        <v>100.8</v>
      </c>
      <c r="C263">
        <f t="shared" si="54"/>
        <v>0.1026576331087645</v>
      </c>
      <c r="D263">
        <f t="shared" si="55"/>
        <v>6.5369434535782426E-3</v>
      </c>
      <c r="E263">
        <f t="shared" si="56"/>
        <v>-0.12162397608667314</v>
      </c>
      <c r="F263">
        <f t="shared" si="57"/>
        <v>-0.12162397608667314</v>
      </c>
      <c r="G263">
        <f t="shared" ref="G263:G326" si="58">($B263-AVERAGE($B$2:$B$349))*($B259-AVERAGE($B$2:$B$349))</f>
        <v>6.5369434535782426E-3</v>
      </c>
      <c r="H263">
        <f t="shared" si="46"/>
        <v>6.5369434535782426E-3</v>
      </c>
      <c r="I263">
        <f t="shared" si="47"/>
        <v>-5.7543516316547444E-2</v>
      </c>
      <c r="J263">
        <f t="shared" si="48"/>
        <v>3.8577173338638811E-2</v>
      </c>
      <c r="K263">
        <f t="shared" si="49"/>
        <v>-2.5503286431482326E-2</v>
      </c>
      <c r="L263">
        <f t="shared" si="50"/>
        <v>-0.15366420597173369</v>
      </c>
      <c r="M263">
        <f t="shared" si="51"/>
        <v>-0.15366420597173369</v>
      </c>
      <c r="N263">
        <f t="shared" si="52"/>
        <v>-0.12162397608667314</v>
      </c>
      <c r="O263">
        <f t="shared" si="53"/>
        <v>-0.12162397608667314</v>
      </c>
    </row>
    <row r="264" spans="1:15" x14ac:dyDescent="0.3">
      <c r="A264">
        <v>42675</v>
      </c>
      <c r="B264" s="7">
        <v>100.5</v>
      </c>
      <c r="C264">
        <f t="shared" si="54"/>
        <v>4.1625379839028444E-4</v>
      </c>
      <c r="D264">
        <f t="shared" si="55"/>
        <v>6.5369434535782426E-3</v>
      </c>
      <c r="E264">
        <f t="shared" si="56"/>
        <v>4.1625379839028444E-4</v>
      </c>
      <c r="F264">
        <f t="shared" si="57"/>
        <v>-7.7446657418605196E-3</v>
      </c>
      <c r="G264">
        <f t="shared" si="58"/>
        <v>-7.7446657418605196E-3</v>
      </c>
      <c r="H264">
        <f t="shared" ref="H264:H327" si="59">($B264-AVERAGE($B$2:$B$349))*($B259-AVERAGE($B$2:$B$349))</f>
        <v>4.1625379839028444E-4</v>
      </c>
      <c r="I264">
        <f t="shared" si="47"/>
        <v>4.1625379839028444E-4</v>
      </c>
      <c r="J264">
        <f t="shared" si="48"/>
        <v>-3.664205971735118E-3</v>
      </c>
      <c r="K264">
        <f t="shared" si="49"/>
        <v>2.4564836834528405E-3</v>
      </c>
      <c r="L264">
        <f t="shared" si="50"/>
        <v>-1.6239760866722716E-3</v>
      </c>
      <c r="M264">
        <f t="shared" si="51"/>
        <v>-9.784895626923076E-3</v>
      </c>
      <c r="N264">
        <f t="shared" si="52"/>
        <v>-9.784895626923076E-3</v>
      </c>
      <c r="O264">
        <f t="shared" si="53"/>
        <v>-7.7446657418605196E-3</v>
      </c>
    </row>
    <row r="265" spans="1:15" x14ac:dyDescent="0.3">
      <c r="A265">
        <v>42705</v>
      </c>
      <c r="B265" s="7">
        <v>100.2</v>
      </c>
      <c r="C265">
        <f t="shared" si="54"/>
        <v>7.8174874488012663E-2</v>
      </c>
      <c r="D265">
        <f t="shared" si="55"/>
        <v>-5.7044358567976735E-3</v>
      </c>
      <c r="E265">
        <f t="shared" si="56"/>
        <v>-8.9583746201608014E-2</v>
      </c>
      <c r="F265">
        <f t="shared" si="57"/>
        <v>-5.7044358567976735E-3</v>
      </c>
      <c r="G265">
        <f t="shared" si="58"/>
        <v>0.10613464460295209</v>
      </c>
      <c r="H265">
        <f t="shared" si="59"/>
        <v>0.10613464460295209</v>
      </c>
      <c r="I265">
        <f t="shared" ref="I265:I328" si="60">($B265-AVERAGE($B$2:$B$349))*($B259-AVERAGE($B$2:$B$349))</f>
        <v>-5.7044358567976735E-3</v>
      </c>
      <c r="J265">
        <f t="shared" si="48"/>
        <v>-5.7044358567976735E-3</v>
      </c>
      <c r="K265">
        <f t="shared" si="49"/>
        <v>5.0215104373077211E-2</v>
      </c>
      <c r="L265">
        <f t="shared" si="50"/>
        <v>-3.3664205971733127E-2</v>
      </c>
      <c r="M265">
        <f t="shared" si="51"/>
        <v>2.225533425813778E-2</v>
      </c>
      <c r="N265">
        <f t="shared" si="52"/>
        <v>0.13409441471788755</v>
      </c>
      <c r="O265">
        <f t="shared" si="53"/>
        <v>0.13409441471788755</v>
      </c>
    </row>
    <row r="266" spans="1:15" x14ac:dyDescent="0.3">
      <c r="A266">
        <v>42736</v>
      </c>
      <c r="B266" s="7">
        <v>100.5</v>
      </c>
      <c r="C266">
        <f t="shared" si="54"/>
        <v>4.1625379839028444E-4</v>
      </c>
      <c r="D266">
        <f t="shared" si="55"/>
        <v>-5.7044358567976735E-3</v>
      </c>
      <c r="E266">
        <f t="shared" si="56"/>
        <v>4.1625379839028444E-4</v>
      </c>
      <c r="F266">
        <f t="shared" si="57"/>
        <v>6.5369434535782426E-3</v>
      </c>
      <c r="G266">
        <f t="shared" si="58"/>
        <v>4.1625379839028444E-4</v>
      </c>
      <c r="H266">
        <f t="shared" si="59"/>
        <v>-7.7446657418605196E-3</v>
      </c>
      <c r="I266">
        <f t="shared" si="60"/>
        <v>-7.7446657418605196E-3</v>
      </c>
      <c r="J266">
        <f t="shared" ref="J266:J329" si="61">($B266-AVERAGE($B$2:$B$349))*($B259-AVERAGE($B$2:$B$349))</f>
        <v>4.1625379839028444E-4</v>
      </c>
      <c r="K266">
        <f t="shared" si="49"/>
        <v>4.1625379839028444E-4</v>
      </c>
      <c r="L266">
        <f t="shared" si="50"/>
        <v>-3.664205971735118E-3</v>
      </c>
      <c r="M266">
        <f t="shared" si="51"/>
        <v>2.4564836834528405E-3</v>
      </c>
      <c r="N266">
        <f t="shared" si="52"/>
        <v>-1.6239760866722716E-3</v>
      </c>
      <c r="O266">
        <f t="shared" si="53"/>
        <v>-9.784895626923076E-3</v>
      </c>
    </row>
    <row r="267" spans="1:15" x14ac:dyDescent="0.3">
      <c r="A267">
        <v>42767</v>
      </c>
      <c r="B267" s="7">
        <v>100.2</v>
      </c>
      <c r="C267">
        <f t="shared" si="54"/>
        <v>7.8174874488012663E-2</v>
      </c>
      <c r="D267">
        <f t="shared" si="55"/>
        <v>-5.7044358567976735E-3</v>
      </c>
      <c r="E267">
        <f t="shared" si="56"/>
        <v>7.8174874488012663E-2</v>
      </c>
      <c r="F267">
        <f t="shared" si="57"/>
        <v>-5.7044358567976735E-3</v>
      </c>
      <c r="G267">
        <f t="shared" si="58"/>
        <v>-8.9583746201608014E-2</v>
      </c>
      <c r="H267">
        <f t="shared" si="59"/>
        <v>-5.7044358567976735E-3</v>
      </c>
      <c r="I267">
        <f t="shared" si="60"/>
        <v>0.10613464460295209</v>
      </c>
      <c r="J267">
        <f t="shared" si="61"/>
        <v>0.10613464460295209</v>
      </c>
      <c r="K267">
        <f t="shared" ref="K267:K330" si="62">($B267-AVERAGE($B$2:$B$349))*($B259-AVERAGE($B$2:$B$349))</f>
        <v>-5.7044358567976735E-3</v>
      </c>
      <c r="L267">
        <f t="shared" si="50"/>
        <v>-5.7044358567976735E-3</v>
      </c>
      <c r="M267">
        <f t="shared" si="51"/>
        <v>5.0215104373077211E-2</v>
      </c>
      <c r="N267">
        <f t="shared" si="52"/>
        <v>-3.3664205971733127E-2</v>
      </c>
      <c r="O267">
        <f t="shared" si="53"/>
        <v>2.225533425813778E-2</v>
      </c>
    </row>
    <row r="268" spans="1:15" x14ac:dyDescent="0.3">
      <c r="A268">
        <v>42795</v>
      </c>
      <c r="B268" s="7">
        <v>100.2</v>
      </c>
      <c r="C268">
        <f t="shared" si="54"/>
        <v>7.8174874488012663E-2</v>
      </c>
      <c r="D268">
        <f t="shared" si="55"/>
        <v>7.8174874488012663E-2</v>
      </c>
      <c r="E268">
        <f t="shared" si="56"/>
        <v>-5.7044358567976735E-3</v>
      </c>
      <c r="F268">
        <f t="shared" si="57"/>
        <v>7.8174874488012663E-2</v>
      </c>
      <c r="G268">
        <f t="shared" si="58"/>
        <v>-5.7044358567976735E-3</v>
      </c>
      <c r="H268">
        <f t="shared" si="59"/>
        <v>-8.9583746201608014E-2</v>
      </c>
      <c r="I268">
        <f t="shared" si="60"/>
        <v>-5.7044358567976735E-3</v>
      </c>
      <c r="J268">
        <f t="shared" si="61"/>
        <v>0.10613464460295209</v>
      </c>
      <c r="K268">
        <f t="shared" si="62"/>
        <v>0.10613464460295209</v>
      </c>
      <c r="L268">
        <f t="shared" ref="L268:L331" si="63">($B268-AVERAGE($B$2:$B$349))*($B259-AVERAGE($B$2:$B$349))</f>
        <v>-5.7044358567976735E-3</v>
      </c>
      <c r="M268">
        <f t="shared" si="51"/>
        <v>-5.7044358567976735E-3</v>
      </c>
      <c r="N268">
        <f t="shared" si="52"/>
        <v>5.0215104373077211E-2</v>
      </c>
      <c r="O268">
        <f t="shared" si="53"/>
        <v>-3.3664205971733127E-2</v>
      </c>
    </row>
    <row r="269" spans="1:15" x14ac:dyDescent="0.3">
      <c r="A269">
        <v>42826</v>
      </c>
      <c r="B269" s="7">
        <v>100</v>
      </c>
      <c r="C269">
        <f t="shared" si="54"/>
        <v>0.23001395494776355</v>
      </c>
      <c r="D269">
        <f t="shared" si="55"/>
        <v>0.13409441471788755</v>
      </c>
      <c r="E269">
        <f t="shared" si="56"/>
        <v>0.13409441471788755</v>
      </c>
      <c r="F269">
        <f t="shared" si="57"/>
        <v>-9.784895626923076E-3</v>
      </c>
      <c r="G269">
        <f t="shared" si="58"/>
        <v>0.13409441471788755</v>
      </c>
      <c r="H269">
        <f t="shared" si="59"/>
        <v>-9.784895626923076E-3</v>
      </c>
      <c r="I269">
        <f t="shared" si="60"/>
        <v>-0.15366420597173369</v>
      </c>
      <c r="J269">
        <f t="shared" si="61"/>
        <v>-9.784895626923076E-3</v>
      </c>
      <c r="K269">
        <f t="shared" si="62"/>
        <v>0.18205418483282895</v>
      </c>
      <c r="L269">
        <f t="shared" si="63"/>
        <v>0.18205418483282895</v>
      </c>
      <c r="M269">
        <f t="shared" ref="M269:M332" si="64">($B269-AVERAGE($B$2:$B$349))*($B259-AVERAGE($B$2:$B$349))</f>
        <v>-9.784895626923076E-3</v>
      </c>
      <c r="N269">
        <f t="shared" si="52"/>
        <v>-9.784895626923076E-3</v>
      </c>
      <c r="O269">
        <f t="shared" si="53"/>
        <v>8.6134644602952948E-2</v>
      </c>
    </row>
    <row r="270" spans="1:15" x14ac:dyDescent="0.3">
      <c r="A270">
        <v>42856</v>
      </c>
      <c r="B270" s="7">
        <v>99.5</v>
      </c>
      <c r="C270">
        <f t="shared" si="54"/>
        <v>0.95961165609713683</v>
      </c>
      <c r="D270">
        <f t="shared" si="55"/>
        <v>0.46981280552245019</v>
      </c>
      <c r="E270">
        <f t="shared" si="56"/>
        <v>0.27389326529257274</v>
      </c>
      <c r="F270">
        <f t="shared" si="57"/>
        <v>0.27389326529257274</v>
      </c>
      <c r="G270">
        <f t="shared" si="58"/>
        <v>-1.9986045052236438E-2</v>
      </c>
      <c r="H270">
        <f t="shared" si="59"/>
        <v>0.27389326529257274</v>
      </c>
      <c r="I270">
        <f t="shared" si="60"/>
        <v>-1.9986045052236438E-2</v>
      </c>
      <c r="J270">
        <f t="shared" si="61"/>
        <v>-0.31386535539704563</v>
      </c>
      <c r="K270">
        <f t="shared" si="62"/>
        <v>-1.9986045052236438E-2</v>
      </c>
      <c r="L270">
        <f t="shared" si="63"/>
        <v>0.37185303540751846</v>
      </c>
      <c r="M270">
        <f t="shared" si="64"/>
        <v>0.37185303540751846</v>
      </c>
      <c r="N270">
        <f t="shared" ref="N270:N333" si="65">($B270-AVERAGE($B$2:$B$349))*($B259-AVERAGE($B$2:$B$349))</f>
        <v>-1.9986045052236438E-2</v>
      </c>
      <c r="O270">
        <f t="shared" si="53"/>
        <v>-1.9986045052236438E-2</v>
      </c>
    </row>
    <row r="271" spans="1:15" x14ac:dyDescent="0.3">
      <c r="A271">
        <v>42887</v>
      </c>
      <c r="B271" s="7">
        <v>99.8</v>
      </c>
      <c r="C271">
        <f t="shared" si="54"/>
        <v>0.46185303540751677</v>
      </c>
      <c r="D271">
        <f t="shared" si="55"/>
        <v>0.66573234575232765</v>
      </c>
      <c r="E271">
        <f t="shared" si="56"/>
        <v>0.32593349517763959</v>
      </c>
      <c r="F271">
        <f t="shared" si="57"/>
        <v>0.19001395494776244</v>
      </c>
      <c r="G271">
        <f t="shared" si="58"/>
        <v>0.19001395494776244</v>
      </c>
      <c r="H271">
        <f t="shared" si="59"/>
        <v>-1.3865355397048479E-2</v>
      </c>
      <c r="I271">
        <f t="shared" si="60"/>
        <v>0.19001395494776244</v>
      </c>
      <c r="J271">
        <f t="shared" si="61"/>
        <v>-1.3865355397048479E-2</v>
      </c>
      <c r="K271">
        <f t="shared" si="62"/>
        <v>-0.21774466574185938</v>
      </c>
      <c r="L271">
        <f t="shared" si="63"/>
        <v>-1.3865355397048479E-2</v>
      </c>
      <c r="M271">
        <f t="shared" si="64"/>
        <v>0.25797372506270583</v>
      </c>
      <c r="N271">
        <f t="shared" si="65"/>
        <v>0.25797372506270583</v>
      </c>
      <c r="O271">
        <f t="shared" ref="O271:O334" si="66">($B271-AVERAGE($B$2:$B$349))*($B259-AVERAGE($B$2:$B$349))</f>
        <v>-1.3865355397048479E-2</v>
      </c>
    </row>
    <row r="272" spans="1:15" x14ac:dyDescent="0.3">
      <c r="A272">
        <v>42917</v>
      </c>
      <c r="B272" s="7">
        <v>100.1</v>
      </c>
      <c r="C272">
        <f t="shared" si="54"/>
        <v>0.14409441471789322</v>
      </c>
      <c r="D272">
        <f t="shared" si="55"/>
        <v>0.25797372506270583</v>
      </c>
      <c r="E272">
        <f t="shared" si="56"/>
        <v>0.37185303540751846</v>
      </c>
      <c r="F272">
        <f t="shared" si="57"/>
        <v>0.18205418483282895</v>
      </c>
      <c r="G272">
        <f t="shared" si="58"/>
        <v>0.10613464460295209</v>
      </c>
      <c r="H272">
        <f t="shared" si="59"/>
        <v>0.10613464460295209</v>
      </c>
      <c r="I272">
        <f t="shared" si="60"/>
        <v>-7.7446657418605196E-3</v>
      </c>
      <c r="J272">
        <f t="shared" si="61"/>
        <v>0.10613464460295209</v>
      </c>
      <c r="K272">
        <f t="shared" si="62"/>
        <v>-7.7446657418605196E-3</v>
      </c>
      <c r="L272">
        <f t="shared" si="63"/>
        <v>-0.12162397608667314</v>
      </c>
      <c r="M272">
        <f t="shared" si="64"/>
        <v>-7.7446657418605196E-3</v>
      </c>
      <c r="N272">
        <f t="shared" si="65"/>
        <v>0.14409441471789322</v>
      </c>
      <c r="O272">
        <f t="shared" si="66"/>
        <v>0.14409441471789322</v>
      </c>
    </row>
    <row r="273" spans="1:15" x14ac:dyDescent="0.3">
      <c r="A273">
        <v>42948</v>
      </c>
      <c r="B273" s="7">
        <v>100.9</v>
      </c>
      <c r="C273">
        <f t="shared" si="54"/>
        <v>0.17673809287889644</v>
      </c>
      <c r="D273">
        <f t="shared" si="55"/>
        <v>-0.15958374620161425</v>
      </c>
      <c r="E273">
        <f t="shared" si="56"/>
        <v>-0.28570443585680277</v>
      </c>
      <c r="F273">
        <f t="shared" si="57"/>
        <v>-0.4118251255119913</v>
      </c>
      <c r="G273">
        <f t="shared" si="58"/>
        <v>-0.20162397608667512</v>
      </c>
      <c r="H273">
        <f t="shared" si="59"/>
        <v>-0.11754351631654744</v>
      </c>
      <c r="I273">
        <f t="shared" si="60"/>
        <v>-0.11754351631654744</v>
      </c>
      <c r="J273">
        <f t="shared" si="61"/>
        <v>8.5771733386410896E-3</v>
      </c>
      <c r="K273">
        <f t="shared" si="62"/>
        <v>-0.11754351631654744</v>
      </c>
      <c r="L273">
        <f t="shared" si="63"/>
        <v>8.5771733386410896E-3</v>
      </c>
      <c r="M273">
        <f t="shared" si="64"/>
        <v>0.1346978629938296</v>
      </c>
      <c r="N273">
        <f t="shared" si="65"/>
        <v>8.5771733386410896E-3</v>
      </c>
      <c r="O273">
        <f t="shared" si="66"/>
        <v>-0.15958374620161425</v>
      </c>
    </row>
    <row r="274" spans="1:15" x14ac:dyDescent="0.3">
      <c r="A274">
        <v>42979</v>
      </c>
      <c r="B274" s="7">
        <v>100.6</v>
      </c>
      <c r="C274">
        <f t="shared" si="54"/>
        <v>1.449671356851426E-2</v>
      </c>
      <c r="D274">
        <f t="shared" si="55"/>
        <v>5.0617403223701937E-2</v>
      </c>
      <c r="E274">
        <f t="shared" si="56"/>
        <v>-4.5704435856796261E-2</v>
      </c>
      <c r="F274">
        <f t="shared" si="57"/>
        <v>-8.1825125511982233E-2</v>
      </c>
      <c r="G274">
        <f t="shared" si="58"/>
        <v>-0.11794581516716819</v>
      </c>
      <c r="H274">
        <f t="shared" si="59"/>
        <v>-5.774466574185768E-2</v>
      </c>
      <c r="I274">
        <f t="shared" si="60"/>
        <v>-3.3664205971733127E-2</v>
      </c>
      <c r="J274">
        <f t="shared" si="61"/>
        <v>-3.3664205971733127E-2</v>
      </c>
      <c r="K274">
        <f t="shared" si="62"/>
        <v>2.4564836834528405E-3</v>
      </c>
      <c r="L274">
        <f t="shared" si="63"/>
        <v>-3.3664205971733127E-2</v>
      </c>
      <c r="M274">
        <f t="shared" si="64"/>
        <v>2.4564836834528405E-3</v>
      </c>
      <c r="N274">
        <f t="shared" si="65"/>
        <v>3.8577173338638811E-2</v>
      </c>
      <c r="O274">
        <f t="shared" si="66"/>
        <v>2.4564836834528405E-3</v>
      </c>
    </row>
    <row r="275" spans="1:15" x14ac:dyDescent="0.3">
      <c r="A275">
        <v>43009</v>
      </c>
      <c r="B275" s="7">
        <v>100.4</v>
      </c>
      <c r="C275">
        <f t="shared" si="54"/>
        <v>6.3357940282640357E-3</v>
      </c>
      <c r="D275">
        <f t="shared" si="55"/>
        <v>-9.5837462016085794E-3</v>
      </c>
      <c r="E275">
        <f t="shared" si="56"/>
        <v>-3.3463056546419762E-2</v>
      </c>
      <c r="F275">
        <f t="shared" si="57"/>
        <v>3.021510437307522E-2</v>
      </c>
      <c r="G275">
        <f t="shared" si="58"/>
        <v>5.4094414717885272E-2</v>
      </c>
      <c r="H275">
        <f t="shared" si="59"/>
        <v>7.7973725062695329E-2</v>
      </c>
      <c r="I275">
        <f t="shared" si="60"/>
        <v>3.8174874488011525E-2</v>
      </c>
      <c r="J275">
        <f t="shared" si="61"/>
        <v>2.225533425813778E-2</v>
      </c>
      <c r="K275">
        <f t="shared" si="62"/>
        <v>2.225533425813778E-2</v>
      </c>
      <c r="L275">
        <f t="shared" si="63"/>
        <v>-1.6239760866722716E-3</v>
      </c>
      <c r="M275">
        <f t="shared" si="64"/>
        <v>2.225533425813778E-2</v>
      </c>
      <c r="N275">
        <f t="shared" si="65"/>
        <v>-1.6239760866722716E-3</v>
      </c>
      <c r="O275">
        <f t="shared" si="66"/>
        <v>-2.5503286431482326E-2</v>
      </c>
    </row>
    <row r="276" spans="1:15" x14ac:dyDescent="0.3">
      <c r="A276">
        <v>43040</v>
      </c>
      <c r="B276" s="7">
        <v>100.1</v>
      </c>
      <c r="C276">
        <f t="shared" si="54"/>
        <v>0.14409441471789322</v>
      </c>
      <c r="D276">
        <f t="shared" si="55"/>
        <v>3.021510437307522E-2</v>
      </c>
      <c r="E276">
        <f t="shared" si="56"/>
        <v>-4.5704435856796261E-2</v>
      </c>
      <c r="F276">
        <f t="shared" si="57"/>
        <v>-0.15958374620161425</v>
      </c>
      <c r="G276">
        <f t="shared" si="58"/>
        <v>0.14409441471789322</v>
      </c>
      <c r="H276">
        <f t="shared" si="59"/>
        <v>0.25797372506270583</v>
      </c>
      <c r="I276">
        <f t="shared" si="60"/>
        <v>0.37185303540751846</v>
      </c>
      <c r="J276">
        <f t="shared" si="61"/>
        <v>0.18205418483282895</v>
      </c>
      <c r="K276">
        <f t="shared" si="62"/>
        <v>0.10613464460295209</v>
      </c>
      <c r="L276">
        <f t="shared" si="63"/>
        <v>0.10613464460295209</v>
      </c>
      <c r="M276">
        <f t="shared" si="64"/>
        <v>-7.7446657418605196E-3</v>
      </c>
      <c r="N276">
        <f t="shared" si="65"/>
        <v>0.10613464460295209</v>
      </c>
      <c r="O276">
        <f t="shared" si="66"/>
        <v>-7.7446657418605196E-3</v>
      </c>
    </row>
    <row r="277" spans="1:15" x14ac:dyDescent="0.3">
      <c r="A277">
        <v>43070</v>
      </c>
      <c r="B277" s="7">
        <v>100.2</v>
      </c>
      <c r="C277">
        <f t="shared" si="54"/>
        <v>7.8174874488012663E-2</v>
      </c>
      <c r="D277">
        <f t="shared" si="55"/>
        <v>0.10613464460295209</v>
      </c>
      <c r="E277">
        <f t="shared" si="56"/>
        <v>2.225533425813778E-2</v>
      </c>
      <c r="F277">
        <f t="shared" si="57"/>
        <v>-3.3664205971733127E-2</v>
      </c>
      <c r="G277">
        <f t="shared" si="58"/>
        <v>-0.11754351631654744</v>
      </c>
      <c r="H277">
        <f t="shared" si="59"/>
        <v>0.10613464460295209</v>
      </c>
      <c r="I277">
        <f t="shared" si="60"/>
        <v>0.19001395494776244</v>
      </c>
      <c r="J277">
        <f t="shared" si="61"/>
        <v>0.27389326529257274</v>
      </c>
      <c r="K277">
        <f t="shared" si="62"/>
        <v>0.13409441471788755</v>
      </c>
      <c r="L277">
        <f t="shared" si="63"/>
        <v>7.8174874488012663E-2</v>
      </c>
      <c r="M277">
        <f t="shared" si="64"/>
        <v>7.8174874488012663E-2</v>
      </c>
      <c r="N277">
        <f t="shared" si="65"/>
        <v>-5.7044358567976735E-3</v>
      </c>
      <c r="O277">
        <f t="shared" si="66"/>
        <v>7.8174874488012663E-2</v>
      </c>
    </row>
    <row r="278" spans="1:15" x14ac:dyDescent="0.3">
      <c r="A278">
        <v>43101</v>
      </c>
      <c r="B278" s="7">
        <v>100.5</v>
      </c>
      <c r="C278">
        <f t="shared" si="54"/>
        <v>4.1625379839028444E-4</v>
      </c>
      <c r="D278">
        <f t="shared" si="55"/>
        <v>-5.7044358567976735E-3</v>
      </c>
      <c r="E278">
        <f t="shared" si="56"/>
        <v>-7.7446657418605196E-3</v>
      </c>
      <c r="F278">
        <f t="shared" si="57"/>
        <v>-1.6239760866722716E-3</v>
      </c>
      <c r="G278">
        <f t="shared" si="58"/>
        <v>2.4564836834528405E-3</v>
      </c>
      <c r="H278">
        <f t="shared" si="59"/>
        <v>8.5771733386410896E-3</v>
      </c>
      <c r="I278">
        <f t="shared" si="60"/>
        <v>-7.7446657418605196E-3</v>
      </c>
      <c r="J278">
        <f t="shared" si="61"/>
        <v>-1.3865355397048479E-2</v>
      </c>
      <c r="K278">
        <f t="shared" si="62"/>
        <v>-1.9986045052236438E-2</v>
      </c>
      <c r="L278">
        <f t="shared" si="63"/>
        <v>-9.784895626923076E-3</v>
      </c>
      <c r="M278">
        <f t="shared" si="64"/>
        <v>-5.7044358567976735E-3</v>
      </c>
      <c r="N278">
        <f t="shared" si="65"/>
        <v>-5.7044358567976735E-3</v>
      </c>
      <c r="O278">
        <f t="shared" si="66"/>
        <v>4.1625379839028444E-4</v>
      </c>
    </row>
    <row r="279" spans="1:15" x14ac:dyDescent="0.3">
      <c r="A279">
        <v>43132</v>
      </c>
      <c r="B279" s="7">
        <v>100.7</v>
      </c>
      <c r="C279">
        <f t="shared" si="54"/>
        <v>4.8577173338642227E-2</v>
      </c>
      <c r="D279">
        <f t="shared" si="55"/>
        <v>4.4967135685156871E-3</v>
      </c>
      <c r="E279">
        <f t="shared" si="56"/>
        <v>-6.1623976086672555E-2</v>
      </c>
      <c r="F279">
        <f t="shared" si="57"/>
        <v>-8.366420597173739E-2</v>
      </c>
      <c r="G279">
        <f t="shared" si="58"/>
        <v>-1.7543516316546017E-2</v>
      </c>
      <c r="H279">
        <f t="shared" si="59"/>
        <v>2.6536943453577391E-2</v>
      </c>
      <c r="I279">
        <f t="shared" si="60"/>
        <v>9.2657633108768761E-2</v>
      </c>
      <c r="J279">
        <f t="shared" si="61"/>
        <v>-8.366420597173739E-2</v>
      </c>
      <c r="K279">
        <f t="shared" si="62"/>
        <v>-0.14978489562692562</v>
      </c>
      <c r="L279">
        <f t="shared" si="63"/>
        <v>-0.21590558528211387</v>
      </c>
      <c r="M279">
        <f t="shared" si="64"/>
        <v>-0.10570443585679909</v>
      </c>
      <c r="N279">
        <f t="shared" si="65"/>
        <v>-6.1623976086672555E-2</v>
      </c>
      <c r="O279">
        <f t="shared" si="66"/>
        <v>-6.1623976086672555E-2</v>
      </c>
    </row>
    <row r="280" spans="1:15" x14ac:dyDescent="0.3">
      <c r="A280">
        <v>43160</v>
      </c>
      <c r="B280" s="7">
        <v>99.7</v>
      </c>
      <c r="C280">
        <f t="shared" si="54"/>
        <v>0.60777257563738307</v>
      </c>
      <c r="D280">
        <f t="shared" si="55"/>
        <v>-0.17182512551198734</v>
      </c>
      <c r="E280">
        <f t="shared" si="56"/>
        <v>-1.5905585282111036E-2</v>
      </c>
      <c r="F280">
        <f t="shared" si="57"/>
        <v>0.21797372506269788</v>
      </c>
      <c r="G280">
        <f t="shared" si="58"/>
        <v>0.29593349517764156</v>
      </c>
      <c r="H280">
        <f t="shared" si="59"/>
        <v>6.2054184832821581E-2</v>
      </c>
      <c r="I280">
        <f t="shared" si="60"/>
        <v>-9.3865355397043646E-2</v>
      </c>
      <c r="J280">
        <f t="shared" si="61"/>
        <v>-0.32774466574186362</v>
      </c>
      <c r="K280">
        <f t="shared" si="62"/>
        <v>0.29593349517764156</v>
      </c>
      <c r="L280">
        <f t="shared" si="63"/>
        <v>0.52981280552245047</v>
      </c>
      <c r="M280">
        <f t="shared" si="64"/>
        <v>0.76369211586725938</v>
      </c>
      <c r="N280">
        <f t="shared" si="65"/>
        <v>0.37389326529257416</v>
      </c>
      <c r="O280">
        <f t="shared" si="66"/>
        <v>0.21797372506269788</v>
      </c>
    </row>
    <row r="281" spans="1:15" x14ac:dyDescent="0.3">
      <c r="A281">
        <v>43191</v>
      </c>
      <c r="B281" s="7">
        <v>100.1</v>
      </c>
      <c r="C281">
        <f t="shared" si="54"/>
        <v>0.14409441471789322</v>
      </c>
      <c r="D281">
        <f t="shared" si="55"/>
        <v>0.29593349517764156</v>
      </c>
      <c r="E281">
        <f t="shared" si="56"/>
        <v>-8.366420597173739E-2</v>
      </c>
      <c r="F281">
        <f t="shared" si="57"/>
        <v>-7.7446657418605196E-3</v>
      </c>
      <c r="G281">
        <f t="shared" si="58"/>
        <v>0.10613464460295209</v>
      </c>
      <c r="H281">
        <f t="shared" si="59"/>
        <v>0.14409441471789322</v>
      </c>
      <c r="I281">
        <f t="shared" si="60"/>
        <v>3.021510437307522E-2</v>
      </c>
      <c r="J281">
        <f t="shared" si="61"/>
        <v>-4.5704435856796261E-2</v>
      </c>
      <c r="K281">
        <f t="shared" si="62"/>
        <v>-0.15958374620161425</v>
      </c>
      <c r="L281">
        <f t="shared" si="63"/>
        <v>0.14409441471789322</v>
      </c>
      <c r="M281">
        <f t="shared" si="64"/>
        <v>0.25797372506270583</v>
      </c>
      <c r="N281">
        <f t="shared" si="65"/>
        <v>0.37185303540751846</v>
      </c>
      <c r="O281">
        <f t="shared" si="66"/>
        <v>0.18205418483282895</v>
      </c>
    </row>
    <row r="282" spans="1:15" x14ac:dyDescent="0.3">
      <c r="A282">
        <v>43221</v>
      </c>
      <c r="B282" s="7">
        <v>100.6</v>
      </c>
      <c r="C282">
        <f t="shared" si="54"/>
        <v>1.449671356851426E-2</v>
      </c>
      <c r="D282">
        <f t="shared" si="55"/>
        <v>-4.5704435856796261E-2</v>
      </c>
      <c r="E282">
        <f t="shared" si="56"/>
        <v>-9.3865355397043646E-2</v>
      </c>
      <c r="F282">
        <f t="shared" si="57"/>
        <v>2.6536943453577391E-2</v>
      </c>
      <c r="G282">
        <f t="shared" si="58"/>
        <v>2.4564836834528405E-3</v>
      </c>
      <c r="H282">
        <f t="shared" si="59"/>
        <v>-3.3664205971733127E-2</v>
      </c>
      <c r="I282">
        <f t="shared" si="60"/>
        <v>-4.5704435856796261E-2</v>
      </c>
      <c r="J282">
        <f t="shared" si="61"/>
        <v>-9.5837462016085794E-3</v>
      </c>
      <c r="K282">
        <f t="shared" si="62"/>
        <v>1.449671356851426E-2</v>
      </c>
      <c r="L282">
        <f t="shared" si="63"/>
        <v>5.0617403223701937E-2</v>
      </c>
      <c r="M282">
        <f t="shared" si="64"/>
        <v>-4.5704435856796261E-2</v>
      </c>
      <c r="N282">
        <f t="shared" si="65"/>
        <v>-8.1825125511982233E-2</v>
      </c>
      <c r="O282">
        <f t="shared" si="66"/>
        <v>-0.11794581516716819</v>
      </c>
    </row>
    <row r="283" spans="1:15" x14ac:dyDescent="0.3">
      <c r="A283">
        <v>43252</v>
      </c>
      <c r="B283" s="7">
        <v>100.6</v>
      </c>
      <c r="C283">
        <f t="shared" si="54"/>
        <v>1.449671356851426E-2</v>
      </c>
      <c r="D283">
        <f t="shared" si="55"/>
        <v>1.449671356851426E-2</v>
      </c>
      <c r="E283">
        <f t="shared" si="56"/>
        <v>-4.5704435856796261E-2</v>
      </c>
      <c r="F283">
        <f t="shared" si="57"/>
        <v>-9.3865355397043646E-2</v>
      </c>
      <c r="G283">
        <f t="shared" si="58"/>
        <v>2.6536943453577391E-2</v>
      </c>
      <c r="H283">
        <f t="shared" si="59"/>
        <v>2.4564836834528405E-3</v>
      </c>
      <c r="I283">
        <f t="shared" si="60"/>
        <v>-3.3664205971733127E-2</v>
      </c>
      <c r="J283">
        <f t="shared" si="61"/>
        <v>-4.5704435856796261E-2</v>
      </c>
      <c r="K283">
        <f t="shared" si="62"/>
        <v>-9.5837462016085794E-3</v>
      </c>
      <c r="L283">
        <f t="shared" si="63"/>
        <v>1.449671356851426E-2</v>
      </c>
      <c r="M283">
        <f t="shared" si="64"/>
        <v>5.0617403223701937E-2</v>
      </c>
      <c r="N283">
        <f t="shared" si="65"/>
        <v>-4.5704435856796261E-2</v>
      </c>
      <c r="O283">
        <f t="shared" si="66"/>
        <v>-8.1825125511982233E-2</v>
      </c>
    </row>
    <row r="284" spans="1:15" x14ac:dyDescent="0.3">
      <c r="A284">
        <v>43282</v>
      </c>
      <c r="B284" s="7">
        <v>99.9</v>
      </c>
      <c r="C284">
        <f t="shared" si="54"/>
        <v>0.3359334951776316</v>
      </c>
      <c r="D284">
        <f t="shared" si="55"/>
        <v>-6.97848956269191E-2</v>
      </c>
      <c r="E284">
        <f t="shared" si="56"/>
        <v>-6.97848956269191E-2</v>
      </c>
      <c r="F284">
        <f t="shared" si="57"/>
        <v>0.22001395494776471</v>
      </c>
      <c r="G284">
        <f t="shared" si="58"/>
        <v>0.45185303540750682</v>
      </c>
      <c r="H284">
        <f t="shared" si="59"/>
        <v>-0.1277446657418608</v>
      </c>
      <c r="I284">
        <f t="shared" si="60"/>
        <v>-1.1825125511985632E-2</v>
      </c>
      <c r="J284">
        <f t="shared" si="61"/>
        <v>0.162054184832823</v>
      </c>
      <c r="K284">
        <f t="shared" si="62"/>
        <v>0.22001395494776471</v>
      </c>
      <c r="L284">
        <f t="shared" si="63"/>
        <v>4.6134644602947833E-2</v>
      </c>
      <c r="M284">
        <f t="shared" si="64"/>
        <v>-6.97848956269191E-2</v>
      </c>
      <c r="N284">
        <f t="shared" si="65"/>
        <v>-0.24366420597173596</v>
      </c>
      <c r="O284">
        <f t="shared" si="66"/>
        <v>0.22001395494776471</v>
      </c>
    </row>
    <row r="285" spans="1:15" x14ac:dyDescent="0.3">
      <c r="A285">
        <v>43313</v>
      </c>
      <c r="B285" s="7">
        <v>100.5</v>
      </c>
      <c r="C285">
        <f t="shared" si="54"/>
        <v>4.1625379839028444E-4</v>
      </c>
      <c r="D285">
        <f t="shared" si="55"/>
        <v>-1.1825125511985632E-2</v>
      </c>
      <c r="E285">
        <f t="shared" si="56"/>
        <v>2.4564836834528405E-3</v>
      </c>
      <c r="F285">
        <f t="shared" si="57"/>
        <v>2.4564836834528405E-3</v>
      </c>
      <c r="G285">
        <f t="shared" si="58"/>
        <v>-7.7446657418605196E-3</v>
      </c>
      <c r="H285">
        <f t="shared" si="59"/>
        <v>-1.5905585282111036E-2</v>
      </c>
      <c r="I285">
        <f t="shared" si="60"/>
        <v>4.4967135685156871E-3</v>
      </c>
      <c r="J285">
        <f t="shared" si="61"/>
        <v>4.1625379839028444E-4</v>
      </c>
      <c r="K285">
        <f t="shared" si="62"/>
        <v>-5.7044358567976735E-3</v>
      </c>
      <c r="L285">
        <f t="shared" si="63"/>
        <v>-7.7446657418605196E-3</v>
      </c>
      <c r="M285">
        <f t="shared" si="64"/>
        <v>-1.6239760866722716E-3</v>
      </c>
      <c r="N285">
        <f t="shared" si="65"/>
        <v>2.4564836834528405E-3</v>
      </c>
      <c r="O285">
        <f t="shared" si="66"/>
        <v>8.5771733386410896E-3</v>
      </c>
    </row>
    <row r="286" spans="1:15" x14ac:dyDescent="0.3">
      <c r="A286">
        <v>43344</v>
      </c>
      <c r="B286" s="7">
        <v>100.6</v>
      </c>
      <c r="C286">
        <f t="shared" si="54"/>
        <v>1.449671356851426E-2</v>
      </c>
      <c r="D286">
        <f t="shared" si="55"/>
        <v>2.4564836834528405E-3</v>
      </c>
      <c r="E286">
        <f t="shared" si="56"/>
        <v>-6.97848956269191E-2</v>
      </c>
      <c r="F286">
        <f t="shared" si="57"/>
        <v>1.449671356851426E-2</v>
      </c>
      <c r="G286">
        <f t="shared" si="58"/>
        <v>1.449671356851426E-2</v>
      </c>
      <c r="H286">
        <f t="shared" si="59"/>
        <v>-4.5704435856796261E-2</v>
      </c>
      <c r="I286">
        <f t="shared" si="60"/>
        <v>-9.3865355397043646E-2</v>
      </c>
      <c r="J286">
        <f t="shared" si="61"/>
        <v>2.6536943453577391E-2</v>
      </c>
      <c r="K286">
        <f t="shared" si="62"/>
        <v>2.4564836834528405E-3</v>
      </c>
      <c r="L286">
        <f t="shared" si="63"/>
        <v>-3.3664205971733127E-2</v>
      </c>
      <c r="M286">
        <f t="shared" si="64"/>
        <v>-4.5704435856796261E-2</v>
      </c>
      <c r="N286">
        <f t="shared" si="65"/>
        <v>-9.5837462016085794E-3</v>
      </c>
      <c r="O286">
        <f t="shared" si="66"/>
        <v>1.449671356851426E-2</v>
      </c>
    </row>
    <row r="287" spans="1:15" x14ac:dyDescent="0.3">
      <c r="A287">
        <v>43374</v>
      </c>
      <c r="B287" s="7">
        <v>100.3</v>
      </c>
      <c r="C287">
        <f t="shared" si="54"/>
        <v>3.2255334258140617E-2</v>
      </c>
      <c r="D287">
        <f t="shared" si="55"/>
        <v>-2.1623976086671708E-2</v>
      </c>
      <c r="E287">
        <f t="shared" si="56"/>
        <v>-3.664205971735118E-3</v>
      </c>
      <c r="F287">
        <f t="shared" si="57"/>
        <v>0.10409441471788954</v>
      </c>
      <c r="G287">
        <f t="shared" si="58"/>
        <v>-2.1623976086671708E-2</v>
      </c>
      <c r="H287">
        <f t="shared" si="59"/>
        <v>-2.1623976086671708E-2</v>
      </c>
      <c r="I287">
        <f t="shared" si="60"/>
        <v>6.8174874488016346E-2</v>
      </c>
      <c r="J287">
        <f t="shared" si="61"/>
        <v>0.14001395494776528</v>
      </c>
      <c r="K287">
        <f t="shared" si="62"/>
        <v>-3.9583746201610849E-2</v>
      </c>
      <c r="L287">
        <f t="shared" si="63"/>
        <v>-3.664205971735118E-3</v>
      </c>
      <c r="M287">
        <f t="shared" si="64"/>
        <v>5.0215104373077211E-2</v>
      </c>
      <c r="N287">
        <f t="shared" si="65"/>
        <v>6.8174874488016346E-2</v>
      </c>
      <c r="O287">
        <f t="shared" si="66"/>
        <v>1.4295564143201473E-2</v>
      </c>
    </row>
    <row r="288" spans="1:15" x14ac:dyDescent="0.3">
      <c r="A288">
        <v>43405</v>
      </c>
      <c r="B288" s="7">
        <v>99.7</v>
      </c>
      <c r="C288">
        <f t="shared" si="54"/>
        <v>0.60777257563738307</v>
      </c>
      <c r="D288">
        <f t="shared" si="55"/>
        <v>0.14001395494776528</v>
      </c>
      <c r="E288">
        <f t="shared" si="56"/>
        <v>-9.3865355397043646E-2</v>
      </c>
      <c r="F288">
        <f t="shared" si="57"/>
        <v>-1.5905585282111036E-2</v>
      </c>
      <c r="G288">
        <f t="shared" si="58"/>
        <v>0.45185303540750682</v>
      </c>
      <c r="H288">
        <f t="shared" si="59"/>
        <v>-9.3865355397043646E-2</v>
      </c>
      <c r="I288">
        <f t="shared" si="60"/>
        <v>-9.3865355397043646E-2</v>
      </c>
      <c r="J288">
        <f t="shared" si="61"/>
        <v>0.29593349517764156</v>
      </c>
      <c r="K288">
        <f t="shared" si="62"/>
        <v>0.60777257563738307</v>
      </c>
      <c r="L288">
        <f t="shared" si="63"/>
        <v>-0.17182512551198734</v>
      </c>
      <c r="M288">
        <f t="shared" si="64"/>
        <v>-1.5905585282111036E-2</v>
      </c>
      <c r="N288">
        <f t="shared" si="65"/>
        <v>0.21797372506269788</v>
      </c>
      <c r="O288">
        <f t="shared" si="66"/>
        <v>0.29593349517764156</v>
      </c>
    </row>
    <row r="289" spans="1:15" x14ac:dyDescent="0.3">
      <c r="A289">
        <v>43435</v>
      </c>
      <c r="B289" s="7">
        <v>99.8</v>
      </c>
      <c r="C289">
        <f t="shared" si="54"/>
        <v>0.46185303540751677</v>
      </c>
      <c r="D289">
        <f t="shared" si="55"/>
        <v>0.52981280552245047</v>
      </c>
      <c r="E289">
        <f t="shared" si="56"/>
        <v>0.12205418483282868</v>
      </c>
      <c r="F289">
        <f t="shared" si="57"/>
        <v>-8.1825125511982233E-2</v>
      </c>
      <c r="G289">
        <f t="shared" si="58"/>
        <v>-1.3865355397048479E-2</v>
      </c>
      <c r="H289">
        <f t="shared" si="59"/>
        <v>0.39389326529257335</v>
      </c>
      <c r="I289">
        <f t="shared" si="60"/>
        <v>-8.1825125511982233E-2</v>
      </c>
      <c r="J289">
        <f t="shared" si="61"/>
        <v>-8.1825125511982233E-2</v>
      </c>
      <c r="K289">
        <f t="shared" si="62"/>
        <v>0.25797372506270583</v>
      </c>
      <c r="L289">
        <f t="shared" si="63"/>
        <v>0.52981280552245047</v>
      </c>
      <c r="M289">
        <f t="shared" si="64"/>
        <v>-0.14978489562692562</v>
      </c>
      <c r="N289">
        <f t="shared" si="65"/>
        <v>-1.3865355397048479E-2</v>
      </c>
      <c r="O289">
        <f t="shared" si="66"/>
        <v>0.19001395494776244</v>
      </c>
    </row>
    <row r="290" spans="1:15" x14ac:dyDescent="0.3">
      <c r="A290">
        <v>43466</v>
      </c>
      <c r="B290" s="7">
        <v>100.1</v>
      </c>
      <c r="C290">
        <f t="shared" si="54"/>
        <v>0.14409441471789322</v>
      </c>
      <c r="D290">
        <f t="shared" si="55"/>
        <v>0.25797372506270583</v>
      </c>
      <c r="E290">
        <f t="shared" si="56"/>
        <v>0.29593349517764156</v>
      </c>
      <c r="F290">
        <f t="shared" si="57"/>
        <v>6.8174874488016346E-2</v>
      </c>
      <c r="G290">
        <f t="shared" si="58"/>
        <v>-4.5704435856796261E-2</v>
      </c>
      <c r="H290">
        <f t="shared" si="59"/>
        <v>-7.7446657418605196E-3</v>
      </c>
      <c r="I290">
        <f t="shared" si="60"/>
        <v>0.22001395494776471</v>
      </c>
      <c r="J290">
        <f t="shared" si="61"/>
        <v>-4.5704435856796261E-2</v>
      </c>
      <c r="K290">
        <f t="shared" si="62"/>
        <v>-4.5704435856796261E-2</v>
      </c>
      <c r="L290">
        <f t="shared" si="63"/>
        <v>0.14409441471789322</v>
      </c>
      <c r="M290">
        <f t="shared" si="64"/>
        <v>0.29593349517764156</v>
      </c>
      <c r="N290">
        <f t="shared" si="65"/>
        <v>-8.366420597173739E-2</v>
      </c>
      <c r="O290">
        <f t="shared" si="66"/>
        <v>-7.7446657418605196E-3</v>
      </c>
    </row>
    <row r="291" spans="1:15" x14ac:dyDescent="0.3">
      <c r="A291">
        <v>43497</v>
      </c>
      <c r="B291" s="7">
        <v>100.8</v>
      </c>
      <c r="C291">
        <f t="shared" si="54"/>
        <v>0.1026576331087645</v>
      </c>
      <c r="D291">
        <f t="shared" si="55"/>
        <v>-0.12162397608667314</v>
      </c>
      <c r="E291">
        <f t="shared" si="56"/>
        <v>-0.21774466574185938</v>
      </c>
      <c r="F291">
        <f t="shared" si="57"/>
        <v>-0.24978489562691994</v>
      </c>
      <c r="G291">
        <f t="shared" si="58"/>
        <v>-5.7543516316547444E-2</v>
      </c>
      <c r="H291">
        <f t="shared" si="59"/>
        <v>3.8577173338638811E-2</v>
      </c>
      <c r="I291">
        <f t="shared" si="60"/>
        <v>6.5369434535782426E-3</v>
      </c>
      <c r="J291">
        <f t="shared" si="61"/>
        <v>-0.18570443585679428</v>
      </c>
      <c r="K291">
        <f t="shared" si="62"/>
        <v>3.8577173338638811E-2</v>
      </c>
      <c r="L291">
        <f t="shared" si="63"/>
        <v>3.8577173338638811E-2</v>
      </c>
      <c r="M291">
        <f t="shared" si="64"/>
        <v>-0.12162397608667314</v>
      </c>
      <c r="N291">
        <f t="shared" si="65"/>
        <v>-0.24978489562691994</v>
      </c>
      <c r="O291">
        <f t="shared" si="66"/>
        <v>7.0617403223703926E-2</v>
      </c>
    </row>
    <row r="292" spans="1:15" x14ac:dyDescent="0.3">
      <c r="A292">
        <v>43525</v>
      </c>
      <c r="B292" s="7">
        <v>99.8</v>
      </c>
      <c r="C292">
        <f t="shared" si="54"/>
        <v>0.46185303540751677</v>
      </c>
      <c r="D292">
        <f t="shared" si="55"/>
        <v>-0.21774466574185938</v>
      </c>
      <c r="E292">
        <f t="shared" si="56"/>
        <v>0.25797372506270583</v>
      </c>
      <c r="F292">
        <f t="shared" si="57"/>
        <v>0.46185303540751677</v>
      </c>
      <c r="G292">
        <f t="shared" si="58"/>
        <v>0.52981280552245047</v>
      </c>
      <c r="H292">
        <f t="shared" si="59"/>
        <v>0.12205418483282868</v>
      </c>
      <c r="I292">
        <f t="shared" si="60"/>
        <v>-8.1825125511982233E-2</v>
      </c>
      <c r="J292">
        <f t="shared" si="61"/>
        <v>-1.3865355397048479E-2</v>
      </c>
      <c r="K292">
        <f t="shared" si="62"/>
        <v>0.39389326529257335</v>
      </c>
      <c r="L292">
        <f t="shared" si="63"/>
        <v>-8.1825125511982233E-2</v>
      </c>
      <c r="M292">
        <f t="shared" si="64"/>
        <v>-8.1825125511982233E-2</v>
      </c>
      <c r="N292">
        <f t="shared" si="65"/>
        <v>0.25797372506270583</v>
      </c>
      <c r="O292">
        <f t="shared" si="66"/>
        <v>0.52981280552245047</v>
      </c>
    </row>
    <row r="293" spans="1:15" x14ac:dyDescent="0.3">
      <c r="A293">
        <v>43556</v>
      </c>
      <c r="B293" s="7">
        <v>100.3</v>
      </c>
      <c r="C293">
        <f t="shared" si="54"/>
        <v>3.2255334258140617E-2</v>
      </c>
      <c r="D293">
        <f t="shared" si="55"/>
        <v>0.12205418483282868</v>
      </c>
      <c r="E293">
        <f t="shared" si="56"/>
        <v>-5.7543516316547444E-2</v>
      </c>
      <c r="F293">
        <f t="shared" si="57"/>
        <v>6.8174874488016346E-2</v>
      </c>
      <c r="G293">
        <f t="shared" si="58"/>
        <v>0.12205418483282868</v>
      </c>
      <c r="H293">
        <f t="shared" si="59"/>
        <v>0.14001395494776528</v>
      </c>
      <c r="I293">
        <f t="shared" si="60"/>
        <v>3.2255334258140617E-2</v>
      </c>
      <c r="J293">
        <f t="shared" si="61"/>
        <v>-2.1623976086671708E-2</v>
      </c>
      <c r="K293">
        <f t="shared" si="62"/>
        <v>-3.664205971735118E-3</v>
      </c>
      <c r="L293">
        <f t="shared" si="63"/>
        <v>0.10409441471788954</v>
      </c>
      <c r="M293">
        <f t="shared" si="64"/>
        <v>-2.1623976086671708E-2</v>
      </c>
      <c r="N293">
        <f t="shared" si="65"/>
        <v>-2.1623976086671708E-2</v>
      </c>
      <c r="O293">
        <f t="shared" si="66"/>
        <v>6.8174874488016346E-2</v>
      </c>
    </row>
    <row r="294" spans="1:15" x14ac:dyDescent="0.3">
      <c r="A294">
        <v>43586</v>
      </c>
      <c r="B294" s="7">
        <v>100.5</v>
      </c>
      <c r="C294">
        <f t="shared" si="54"/>
        <v>4.1625379839028444E-4</v>
      </c>
      <c r="D294">
        <f t="shared" si="55"/>
        <v>-3.664205971735118E-3</v>
      </c>
      <c r="E294">
        <f t="shared" si="56"/>
        <v>-1.3865355397048479E-2</v>
      </c>
      <c r="F294">
        <f t="shared" si="57"/>
        <v>6.5369434535782426E-3</v>
      </c>
      <c r="G294">
        <f t="shared" si="58"/>
        <v>-7.7446657418605196E-3</v>
      </c>
      <c r="H294">
        <f t="shared" si="59"/>
        <v>-1.3865355397048479E-2</v>
      </c>
      <c r="I294">
        <f t="shared" si="60"/>
        <v>-1.5905585282111036E-2</v>
      </c>
      <c r="J294">
        <f t="shared" si="61"/>
        <v>-3.664205971735118E-3</v>
      </c>
      <c r="K294">
        <f t="shared" si="62"/>
        <v>2.4564836834528405E-3</v>
      </c>
      <c r="L294">
        <f t="shared" si="63"/>
        <v>4.1625379839028444E-4</v>
      </c>
      <c r="M294">
        <f t="shared" si="64"/>
        <v>-1.1825125511985632E-2</v>
      </c>
      <c r="N294">
        <f t="shared" si="65"/>
        <v>2.4564836834528405E-3</v>
      </c>
      <c r="O294">
        <f t="shared" si="66"/>
        <v>2.4564836834528405E-3</v>
      </c>
    </row>
    <row r="295" spans="1:15" x14ac:dyDescent="0.3">
      <c r="A295">
        <v>43617</v>
      </c>
      <c r="B295" s="7">
        <v>99.9</v>
      </c>
      <c r="C295">
        <f t="shared" si="54"/>
        <v>0.3359334951776316</v>
      </c>
      <c r="D295">
        <f t="shared" si="55"/>
        <v>-1.1825125511985632E-2</v>
      </c>
      <c r="E295">
        <f t="shared" si="56"/>
        <v>0.10409441471788954</v>
      </c>
      <c r="F295">
        <f t="shared" si="57"/>
        <v>0.39389326529257335</v>
      </c>
      <c r="G295">
        <f t="shared" si="58"/>
        <v>-0.18570443585679428</v>
      </c>
      <c r="H295">
        <f t="shared" si="59"/>
        <v>0.22001395494776471</v>
      </c>
      <c r="I295">
        <f t="shared" si="60"/>
        <v>0.39389326529257335</v>
      </c>
      <c r="J295">
        <f t="shared" si="61"/>
        <v>0.45185303540750682</v>
      </c>
      <c r="K295">
        <f t="shared" si="62"/>
        <v>0.10409441471788954</v>
      </c>
      <c r="L295">
        <f t="shared" si="63"/>
        <v>-6.97848956269191E-2</v>
      </c>
      <c r="M295">
        <f t="shared" si="64"/>
        <v>-1.1825125511985632E-2</v>
      </c>
      <c r="N295">
        <f t="shared" si="65"/>
        <v>0.3359334951776316</v>
      </c>
      <c r="O295">
        <f t="shared" si="66"/>
        <v>-6.97848956269191E-2</v>
      </c>
    </row>
    <row r="296" spans="1:15" x14ac:dyDescent="0.3">
      <c r="A296">
        <v>43647</v>
      </c>
      <c r="B296" s="7">
        <v>100.2</v>
      </c>
      <c r="C296">
        <f t="shared" si="54"/>
        <v>7.8174874488012663E-2</v>
      </c>
      <c r="D296">
        <f t="shared" si="55"/>
        <v>0.162054184832823</v>
      </c>
      <c r="E296">
        <f t="shared" si="56"/>
        <v>-5.7044358567976735E-3</v>
      </c>
      <c r="F296">
        <f t="shared" si="57"/>
        <v>5.0215104373077211E-2</v>
      </c>
      <c r="G296">
        <f t="shared" si="58"/>
        <v>0.19001395494776244</v>
      </c>
      <c r="H296">
        <f t="shared" si="59"/>
        <v>-8.9583746201608014E-2</v>
      </c>
      <c r="I296">
        <f t="shared" si="60"/>
        <v>0.10613464460295209</v>
      </c>
      <c r="J296">
        <f t="shared" si="61"/>
        <v>0.19001395494776244</v>
      </c>
      <c r="K296">
        <f t="shared" si="62"/>
        <v>0.21797372506269788</v>
      </c>
      <c r="L296">
        <f t="shared" si="63"/>
        <v>5.0215104373077211E-2</v>
      </c>
      <c r="M296">
        <f t="shared" si="64"/>
        <v>-3.3664205971733127E-2</v>
      </c>
      <c r="N296">
        <f t="shared" si="65"/>
        <v>-5.7044358567976735E-3</v>
      </c>
      <c r="O296">
        <f t="shared" si="66"/>
        <v>0.162054184832823</v>
      </c>
    </row>
    <row r="297" spans="1:15" x14ac:dyDescent="0.3">
      <c r="A297">
        <v>43678</v>
      </c>
      <c r="B297" s="7">
        <v>100.3</v>
      </c>
      <c r="C297">
        <f t="shared" si="54"/>
        <v>3.2255334258140617E-2</v>
      </c>
      <c r="D297">
        <f t="shared" si="55"/>
        <v>5.0215104373077211E-2</v>
      </c>
      <c r="E297">
        <f t="shared" si="56"/>
        <v>0.10409441471788954</v>
      </c>
      <c r="F297">
        <f t="shared" si="57"/>
        <v>-3.664205971735118E-3</v>
      </c>
      <c r="G297">
        <f t="shared" si="58"/>
        <v>3.2255334258140617E-2</v>
      </c>
      <c r="H297">
        <f t="shared" si="59"/>
        <v>0.12205418483282868</v>
      </c>
      <c r="I297">
        <f t="shared" si="60"/>
        <v>-5.7543516316547444E-2</v>
      </c>
      <c r="J297">
        <f t="shared" si="61"/>
        <v>6.8174874488016346E-2</v>
      </c>
      <c r="K297">
        <f t="shared" si="62"/>
        <v>0.12205418483282868</v>
      </c>
      <c r="L297">
        <f t="shared" si="63"/>
        <v>0.14001395494776528</v>
      </c>
      <c r="M297">
        <f t="shared" si="64"/>
        <v>3.2255334258140617E-2</v>
      </c>
      <c r="N297">
        <f t="shared" si="65"/>
        <v>-2.1623976086671708E-2</v>
      </c>
      <c r="O297">
        <f t="shared" si="66"/>
        <v>-3.664205971735118E-3</v>
      </c>
    </row>
    <row r="298" spans="1:15" x14ac:dyDescent="0.3">
      <c r="A298">
        <v>43709</v>
      </c>
      <c r="B298" s="7">
        <v>100.3</v>
      </c>
      <c r="C298">
        <f t="shared" si="54"/>
        <v>3.2255334258140617E-2</v>
      </c>
      <c r="D298">
        <f t="shared" si="55"/>
        <v>3.2255334258140617E-2</v>
      </c>
      <c r="E298">
        <f t="shared" si="56"/>
        <v>5.0215104373077211E-2</v>
      </c>
      <c r="F298">
        <f t="shared" si="57"/>
        <v>0.10409441471788954</v>
      </c>
      <c r="G298">
        <f t="shared" si="58"/>
        <v>-3.664205971735118E-3</v>
      </c>
      <c r="H298">
        <f t="shared" si="59"/>
        <v>3.2255334258140617E-2</v>
      </c>
      <c r="I298">
        <f t="shared" si="60"/>
        <v>0.12205418483282868</v>
      </c>
      <c r="J298">
        <f t="shared" si="61"/>
        <v>-5.7543516316547444E-2</v>
      </c>
      <c r="K298">
        <f t="shared" si="62"/>
        <v>6.8174874488016346E-2</v>
      </c>
      <c r="L298">
        <f t="shared" si="63"/>
        <v>0.12205418483282868</v>
      </c>
      <c r="M298">
        <f t="shared" si="64"/>
        <v>0.14001395494776528</v>
      </c>
      <c r="N298">
        <f t="shared" si="65"/>
        <v>3.2255334258140617E-2</v>
      </c>
      <c r="O298">
        <f t="shared" si="66"/>
        <v>-2.1623976086671708E-2</v>
      </c>
    </row>
    <row r="299" spans="1:15" x14ac:dyDescent="0.3">
      <c r="A299">
        <v>43739</v>
      </c>
      <c r="B299" s="7">
        <v>100.6</v>
      </c>
      <c r="C299">
        <f t="shared" si="54"/>
        <v>1.449671356851426E-2</v>
      </c>
      <c r="D299">
        <f t="shared" si="55"/>
        <v>-2.1623976086671708E-2</v>
      </c>
      <c r="E299">
        <f t="shared" si="56"/>
        <v>-2.1623976086671708E-2</v>
      </c>
      <c r="F299">
        <f t="shared" si="57"/>
        <v>-3.3664205971733127E-2</v>
      </c>
      <c r="G299">
        <f t="shared" si="58"/>
        <v>-6.97848956269191E-2</v>
      </c>
      <c r="H299">
        <f t="shared" si="59"/>
        <v>2.4564836834528405E-3</v>
      </c>
      <c r="I299">
        <f t="shared" si="60"/>
        <v>-2.1623976086671708E-2</v>
      </c>
      <c r="J299">
        <f t="shared" si="61"/>
        <v>-8.1825125511982233E-2</v>
      </c>
      <c r="K299">
        <f t="shared" si="62"/>
        <v>3.8577173338638811E-2</v>
      </c>
      <c r="L299">
        <f t="shared" si="63"/>
        <v>-4.5704435856796261E-2</v>
      </c>
      <c r="M299">
        <f t="shared" si="64"/>
        <v>-8.1825125511982233E-2</v>
      </c>
      <c r="N299">
        <f t="shared" si="65"/>
        <v>-9.3865355397043646E-2</v>
      </c>
      <c r="O299">
        <f t="shared" si="66"/>
        <v>-2.1623976086671708E-2</v>
      </c>
    </row>
    <row r="300" spans="1:15" x14ac:dyDescent="0.3">
      <c r="A300">
        <v>43770</v>
      </c>
      <c r="B300" s="7">
        <v>101</v>
      </c>
      <c r="C300">
        <f t="shared" si="54"/>
        <v>0.270818552649017</v>
      </c>
      <c r="D300">
        <f t="shared" si="55"/>
        <v>6.2657633108763364E-2</v>
      </c>
      <c r="E300">
        <f t="shared" si="56"/>
        <v>-9.3463056546423173E-2</v>
      </c>
      <c r="F300">
        <f t="shared" si="57"/>
        <v>-9.3463056546423173E-2</v>
      </c>
      <c r="G300">
        <f t="shared" si="58"/>
        <v>-0.14550328643148289</v>
      </c>
      <c r="H300">
        <f t="shared" si="59"/>
        <v>-0.30162397608666941</v>
      </c>
      <c r="I300">
        <f t="shared" si="60"/>
        <v>1.0617403223703645E-2</v>
      </c>
      <c r="J300">
        <f t="shared" si="61"/>
        <v>-9.3463056546423173E-2</v>
      </c>
      <c r="K300">
        <f t="shared" si="62"/>
        <v>-0.35366420597173653</v>
      </c>
      <c r="L300">
        <f t="shared" si="63"/>
        <v>0.16673809287889019</v>
      </c>
      <c r="M300">
        <f t="shared" si="64"/>
        <v>-0.19754351631655001</v>
      </c>
      <c r="N300">
        <f t="shared" si="65"/>
        <v>-0.35366420597173653</v>
      </c>
      <c r="O300">
        <f t="shared" si="66"/>
        <v>-0.40570443585679627</v>
      </c>
    </row>
    <row r="301" spans="1:15" x14ac:dyDescent="0.3">
      <c r="A301">
        <v>43800</v>
      </c>
      <c r="B301" s="7">
        <v>101.4</v>
      </c>
      <c r="C301">
        <f t="shared" si="54"/>
        <v>0.84714039172952882</v>
      </c>
      <c r="D301">
        <f t="shared" si="55"/>
        <v>0.47897947218927067</v>
      </c>
      <c r="E301">
        <f t="shared" si="56"/>
        <v>0.11081855264901246</v>
      </c>
      <c r="F301">
        <f t="shared" si="57"/>
        <v>-0.16530213700617466</v>
      </c>
      <c r="G301">
        <f t="shared" si="58"/>
        <v>-0.16530213700617466</v>
      </c>
      <c r="H301">
        <f t="shared" si="59"/>
        <v>-0.25734236689123263</v>
      </c>
      <c r="I301">
        <f t="shared" si="60"/>
        <v>-0.53346305654641979</v>
      </c>
      <c r="J301">
        <f t="shared" si="61"/>
        <v>1.8778322763954448E-2</v>
      </c>
      <c r="K301">
        <f t="shared" si="62"/>
        <v>-0.16530213700617466</v>
      </c>
      <c r="L301">
        <f t="shared" si="63"/>
        <v>-0.62550328643149089</v>
      </c>
      <c r="M301">
        <f t="shared" si="64"/>
        <v>0.29489901241914157</v>
      </c>
      <c r="N301">
        <f t="shared" si="65"/>
        <v>-0.34938259677630373</v>
      </c>
      <c r="O301">
        <f t="shared" si="66"/>
        <v>-0.62550328643149089</v>
      </c>
    </row>
    <row r="302" spans="1:15" x14ac:dyDescent="0.3">
      <c r="A302">
        <v>43831</v>
      </c>
      <c r="B302" s="7">
        <v>101.2</v>
      </c>
      <c r="C302">
        <f t="shared" si="54"/>
        <v>0.51897947218927176</v>
      </c>
      <c r="D302">
        <f t="shared" si="55"/>
        <v>0.66305993195939972</v>
      </c>
      <c r="E302">
        <f t="shared" si="56"/>
        <v>0.37489901241914381</v>
      </c>
      <c r="F302">
        <f t="shared" si="57"/>
        <v>8.673809287888791E-2</v>
      </c>
      <c r="G302">
        <f t="shared" si="58"/>
        <v>-0.1293825967762989</v>
      </c>
      <c r="H302">
        <f t="shared" si="59"/>
        <v>-0.1293825967762989</v>
      </c>
      <c r="I302">
        <f t="shared" si="60"/>
        <v>-0.20142282666135777</v>
      </c>
      <c r="J302">
        <f t="shared" si="61"/>
        <v>-0.41754351631654457</v>
      </c>
      <c r="K302">
        <f t="shared" si="62"/>
        <v>1.4697862993829048E-2</v>
      </c>
      <c r="L302">
        <f t="shared" si="63"/>
        <v>-0.1293825967762989</v>
      </c>
      <c r="M302">
        <f t="shared" si="64"/>
        <v>-0.48958374620161371</v>
      </c>
      <c r="N302">
        <f t="shared" si="65"/>
        <v>0.23081855264901588</v>
      </c>
      <c r="O302">
        <f t="shared" si="66"/>
        <v>-0.27346305654642689</v>
      </c>
    </row>
    <row r="303" spans="1:15" x14ac:dyDescent="0.3">
      <c r="A303">
        <v>43862</v>
      </c>
      <c r="B303" s="7">
        <v>99.8</v>
      </c>
      <c r="C303">
        <f t="shared" si="54"/>
        <v>0.46185303540751677</v>
      </c>
      <c r="D303">
        <f t="shared" si="55"/>
        <v>-0.48958374620161371</v>
      </c>
      <c r="E303">
        <f t="shared" si="56"/>
        <v>-0.62550328643149089</v>
      </c>
      <c r="F303">
        <f t="shared" si="57"/>
        <v>-0.35366420597173653</v>
      </c>
      <c r="G303">
        <f t="shared" si="58"/>
        <v>-8.1825125511982233E-2</v>
      </c>
      <c r="H303">
        <f t="shared" si="59"/>
        <v>0.12205418483282868</v>
      </c>
      <c r="I303">
        <f t="shared" si="60"/>
        <v>0.12205418483282868</v>
      </c>
      <c r="J303">
        <f t="shared" si="61"/>
        <v>0.19001395494776244</v>
      </c>
      <c r="K303">
        <f t="shared" si="62"/>
        <v>0.39389326529257335</v>
      </c>
      <c r="L303">
        <f t="shared" si="63"/>
        <v>-1.3865355397048479E-2</v>
      </c>
      <c r="M303">
        <f t="shared" si="64"/>
        <v>0.12205418483282868</v>
      </c>
      <c r="N303">
        <f t="shared" si="65"/>
        <v>0.46185303540751677</v>
      </c>
      <c r="O303">
        <f t="shared" si="66"/>
        <v>-0.21774466574185938</v>
      </c>
    </row>
    <row r="304" spans="1:15" x14ac:dyDescent="0.3">
      <c r="A304">
        <v>43891</v>
      </c>
      <c r="B304" s="7">
        <v>99.3</v>
      </c>
      <c r="C304">
        <f t="shared" si="54"/>
        <v>1.3914507365568929</v>
      </c>
      <c r="D304">
        <f t="shared" si="55"/>
        <v>0.80165188598220483</v>
      </c>
      <c r="E304">
        <f t="shared" si="56"/>
        <v>-0.84978489562692849</v>
      </c>
      <c r="F304">
        <f t="shared" si="57"/>
        <v>-1.0857044358568071</v>
      </c>
      <c r="G304">
        <f t="shared" si="58"/>
        <v>-0.61386535539704989</v>
      </c>
      <c r="H304">
        <f t="shared" si="59"/>
        <v>-0.14202627493729275</v>
      </c>
      <c r="I304">
        <f t="shared" si="60"/>
        <v>0.21185303540751674</v>
      </c>
      <c r="J304">
        <f t="shared" si="61"/>
        <v>0.21185303540751674</v>
      </c>
      <c r="K304">
        <f t="shared" si="62"/>
        <v>0.32981280552244763</v>
      </c>
      <c r="L304">
        <f t="shared" si="63"/>
        <v>0.68369211586725709</v>
      </c>
      <c r="M304">
        <f t="shared" si="64"/>
        <v>-2.4066504822361837E-2</v>
      </c>
      <c r="N304">
        <f t="shared" si="65"/>
        <v>0.21185303540751674</v>
      </c>
      <c r="O304">
        <f t="shared" si="66"/>
        <v>0.80165188598220483</v>
      </c>
    </row>
    <row r="305" spans="1:15" x14ac:dyDescent="0.3">
      <c r="A305">
        <v>43922</v>
      </c>
      <c r="B305" s="7">
        <v>98.5</v>
      </c>
      <c r="C305">
        <f t="shared" si="54"/>
        <v>3.9188070583958834</v>
      </c>
      <c r="D305">
        <f t="shared" si="55"/>
        <v>2.3351288974763902</v>
      </c>
      <c r="E305">
        <f t="shared" si="56"/>
        <v>1.3453300469017038</v>
      </c>
      <c r="F305">
        <f t="shared" si="57"/>
        <v>-1.4261067347074301</v>
      </c>
      <c r="G305">
        <f t="shared" si="58"/>
        <v>-1.8220262749373104</v>
      </c>
      <c r="H305">
        <f t="shared" si="59"/>
        <v>-1.0301871944775498</v>
      </c>
      <c r="I305">
        <f t="shared" si="60"/>
        <v>-0.23834811401778924</v>
      </c>
      <c r="J305">
        <f t="shared" si="61"/>
        <v>0.35553119632701713</v>
      </c>
      <c r="K305">
        <f t="shared" si="62"/>
        <v>0.35553119632701713</v>
      </c>
      <c r="L305">
        <f t="shared" si="63"/>
        <v>0.55349096644194318</v>
      </c>
      <c r="M305">
        <f t="shared" si="64"/>
        <v>1.1473702767867495</v>
      </c>
      <c r="N305">
        <f t="shared" si="65"/>
        <v>-4.0388343902863159E-2</v>
      </c>
      <c r="O305">
        <f t="shared" si="66"/>
        <v>0.35553119632701713</v>
      </c>
    </row>
    <row r="306" spans="1:15" x14ac:dyDescent="0.3">
      <c r="A306">
        <v>43952</v>
      </c>
      <c r="B306" s="7">
        <v>100</v>
      </c>
      <c r="C306">
        <f t="shared" si="54"/>
        <v>0.23001395494776355</v>
      </c>
      <c r="D306">
        <f t="shared" si="55"/>
        <v>0.94941050667182347</v>
      </c>
      <c r="E306">
        <f t="shared" si="56"/>
        <v>0.56573234575232623</v>
      </c>
      <c r="F306">
        <f t="shared" si="57"/>
        <v>0.32593349517763959</v>
      </c>
      <c r="G306">
        <f t="shared" si="58"/>
        <v>-0.34550328643148576</v>
      </c>
      <c r="H306">
        <f t="shared" si="59"/>
        <v>-0.44142282666136173</v>
      </c>
      <c r="I306">
        <f t="shared" si="60"/>
        <v>-0.24958374620160972</v>
      </c>
      <c r="J306">
        <f t="shared" si="61"/>
        <v>-5.774466574185768E-2</v>
      </c>
      <c r="K306">
        <f t="shared" si="62"/>
        <v>8.6134644602952948E-2</v>
      </c>
      <c r="L306">
        <f t="shared" si="63"/>
        <v>8.6134644602952948E-2</v>
      </c>
      <c r="M306">
        <f t="shared" si="64"/>
        <v>0.13409441471788755</v>
      </c>
      <c r="N306">
        <f t="shared" si="65"/>
        <v>0.27797372506269818</v>
      </c>
      <c r="O306">
        <f t="shared" si="66"/>
        <v>-9.784895626923076E-3</v>
      </c>
    </row>
    <row r="307" spans="1:15" x14ac:dyDescent="0.3">
      <c r="A307">
        <v>43983</v>
      </c>
      <c r="B307" s="7">
        <v>100.7</v>
      </c>
      <c r="C307">
        <f t="shared" si="54"/>
        <v>4.8577173338642227E-2</v>
      </c>
      <c r="D307">
        <f t="shared" si="55"/>
        <v>-0.10570443585679909</v>
      </c>
      <c r="E307">
        <f t="shared" si="56"/>
        <v>-0.43630788413274346</v>
      </c>
      <c r="F307">
        <f t="shared" si="57"/>
        <v>-0.25998604505224043</v>
      </c>
      <c r="G307">
        <f t="shared" si="58"/>
        <v>-0.14978489562692562</v>
      </c>
      <c r="H307">
        <f t="shared" si="59"/>
        <v>0.15877832276395701</v>
      </c>
      <c r="I307">
        <f t="shared" si="60"/>
        <v>0.20285878253408354</v>
      </c>
      <c r="J307">
        <f t="shared" si="61"/>
        <v>0.11469786299383047</v>
      </c>
      <c r="K307">
        <f t="shared" si="62"/>
        <v>2.6536943453577391E-2</v>
      </c>
      <c r="L307">
        <f t="shared" si="63"/>
        <v>-3.9583746201610849E-2</v>
      </c>
      <c r="M307">
        <f t="shared" si="64"/>
        <v>-3.9583746201610849E-2</v>
      </c>
      <c r="N307">
        <f t="shared" si="65"/>
        <v>-6.1623976086672555E-2</v>
      </c>
      <c r="O307">
        <f t="shared" si="66"/>
        <v>-0.1277446657418608</v>
      </c>
    </row>
    <row r="308" spans="1:15" x14ac:dyDescent="0.3">
      <c r="A308">
        <v>44013</v>
      </c>
      <c r="B308" s="7">
        <v>100.4</v>
      </c>
      <c r="C308">
        <f t="shared" si="54"/>
        <v>6.3357940282640357E-3</v>
      </c>
      <c r="D308">
        <f t="shared" si="55"/>
        <v>-1.7543516316546017E-2</v>
      </c>
      <c r="E308">
        <f t="shared" si="56"/>
        <v>3.8174874488011525E-2</v>
      </c>
      <c r="F308">
        <f t="shared" si="57"/>
        <v>0.15757142621206291</v>
      </c>
      <c r="G308">
        <f t="shared" si="58"/>
        <v>9.389326529256907E-2</v>
      </c>
      <c r="H308">
        <f t="shared" si="59"/>
        <v>5.4094414717885272E-2</v>
      </c>
      <c r="I308">
        <f t="shared" si="60"/>
        <v>-5.7342366891229811E-2</v>
      </c>
      <c r="J308">
        <f t="shared" si="61"/>
        <v>-7.3261907121103559E-2</v>
      </c>
      <c r="K308">
        <f t="shared" si="62"/>
        <v>-4.142282666135607E-2</v>
      </c>
      <c r="L308">
        <f t="shared" si="63"/>
        <v>-9.5837462016085794E-3</v>
      </c>
      <c r="M308">
        <f t="shared" si="64"/>
        <v>1.4295564143201473E-2</v>
      </c>
      <c r="N308">
        <f t="shared" si="65"/>
        <v>1.4295564143201473E-2</v>
      </c>
      <c r="O308">
        <f t="shared" si="66"/>
        <v>2.225533425813778E-2</v>
      </c>
    </row>
    <row r="309" spans="1:15" x14ac:dyDescent="0.3">
      <c r="A309">
        <v>44044</v>
      </c>
      <c r="B309" s="7">
        <v>100.1</v>
      </c>
      <c r="C309">
        <f t="shared" si="54"/>
        <v>0.14409441471789322</v>
      </c>
      <c r="D309">
        <f t="shared" si="55"/>
        <v>3.021510437307522E-2</v>
      </c>
      <c r="E309">
        <f t="shared" si="56"/>
        <v>-8.366420597173739E-2</v>
      </c>
      <c r="F309">
        <f t="shared" si="57"/>
        <v>0.18205418483282895</v>
      </c>
      <c r="G309">
        <f t="shared" si="58"/>
        <v>0.75145073655689743</v>
      </c>
      <c r="H309">
        <f t="shared" si="59"/>
        <v>0.44777257563739531</v>
      </c>
      <c r="I309">
        <f t="shared" si="60"/>
        <v>0.25797372506270583</v>
      </c>
      <c r="J309">
        <f t="shared" si="61"/>
        <v>-0.27346305654642689</v>
      </c>
      <c r="K309">
        <f t="shared" si="62"/>
        <v>-0.34938259677630373</v>
      </c>
      <c r="L309">
        <f t="shared" si="63"/>
        <v>-0.19754351631655001</v>
      </c>
      <c r="M309">
        <f t="shared" si="64"/>
        <v>-4.5704435856796261E-2</v>
      </c>
      <c r="N309">
        <f t="shared" si="65"/>
        <v>6.8174874488016346E-2</v>
      </c>
      <c r="O309">
        <f t="shared" si="66"/>
        <v>6.8174874488016346E-2</v>
      </c>
    </row>
    <row r="310" spans="1:15" x14ac:dyDescent="0.3">
      <c r="A310">
        <v>44075</v>
      </c>
      <c r="B310" s="7">
        <v>100.1</v>
      </c>
      <c r="C310">
        <f t="shared" si="54"/>
        <v>0.14409441471789322</v>
      </c>
      <c r="D310">
        <f t="shared" si="55"/>
        <v>0.14409441471789322</v>
      </c>
      <c r="E310">
        <f t="shared" si="56"/>
        <v>3.021510437307522E-2</v>
      </c>
      <c r="F310">
        <f t="shared" si="57"/>
        <v>-8.366420597173739E-2</v>
      </c>
      <c r="G310">
        <f t="shared" si="58"/>
        <v>0.18205418483282895</v>
      </c>
      <c r="H310">
        <f t="shared" si="59"/>
        <v>0.75145073655689743</v>
      </c>
      <c r="I310">
        <f t="shared" si="60"/>
        <v>0.44777257563739531</v>
      </c>
      <c r="J310">
        <f t="shared" si="61"/>
        <v>0.25797372506270583</v>
      </c>
      <c r="K310">
        <f t="shared" si="62"/>
        <v>-0.27346305654642689</v>
      </c>
      <c r="L310">
        <f t="shared" si="63"/>
        <v>-0.34938259677630373</v>
      </c>
      <c r="M310">
        <f t="shared" si="64"/>
        <v>-0.19754351631655001</v>
      </c>
      <c r="N310">
        <f t="shared" si="65"/>
        <v>-4.5704435856796261E-2</v>
      </c>
      <c r="O310">
        <f t="shared" si="66"/>
        <v>6.8174874488016346E-2</v>
      </c>
    </row>
    <row r="311" spans="1:15" x14ac:dyDescent="0.3">
      <c r="A311">
        <v>44105</v>
      </c>
      <c r="B311" s="7">
        <v>100.1</v>
      </c>
      <c r="C311">
        <f t="shared" si="54"/>
        <v>0.14409441471789322</v>
      </c>
      <c r="D311">
        <f t="shared" si="55"/>
        <v>0.14409441471789322</v>
      </c>
      <c r="E311">
        <f t="shared" si="56"/>
        <v>0.14409441471789322</v>
      </c>
      <c r="F311">
        <f t="shared" si="57"/>
        <v>3.021510437307522E-2</v>
      </c>
      <c r="G311">
        <f t="shared" si="58"/>
        <v>-8.366420597173739E-2</v>
      </c>
      <c r="H311">
        <f t="shared" si="59"/>
        <v>0.18205418483282895</v>
      </c>
      <c r="I311">
        <f t="shared" si="60"/>
        <v>0.75145073655689743</v>
      </c>
      <c r="J311">
        <f t="shared" si="61"/>
        <v>0.44777257563739531</v>
      </c>
      <c r="K311">
        <f t="shared" si="62"/>
        <v>0.25797372506270583</v>
      </c>
      <c r="L311">
        <f t="shared" si="63"/>
        <v>-0.27346305654642689</v>
      </c>
      <c r="M311">
        <f t="shared" si="64"/>
        <v>-0.34938259677630373</v>
      </c>
      <c r="N311">
        <f t="shared" si="65"/>
        <v>-0.19754351631655001</v>
      </c>
      <c r="O311">
        <f t="shared" si="66"/>
        <v>-4.5704435856796261E-2</v>
      </c>
    </row>
    <row r="312" spans="1:15" x14ac:dyDescent="0.3">
      <c r="A312">
        <v>44136</v>
      </c>
      <c r="B312" s="7">
        <v>100</v>
      </c>
      <c r="C312">
        <f t="shared" si="54"/>
        <v>0.23001395494776355</v>
      </c>
      <c r="D312">
        <f t="shared" si="55"/>
        <v>0.18205418483282895</v>
      </c>
      <c r="E312">
        <f t="shared" si="56"/>
        <v>0.18205418483282895</v>
      </c>
      <c r="F312">
        <f t="shared" si="57"/>
        <v>0.18205418483282895</v>
      </c>
      <c r="G312">
        <f t="shared" si="58"/>
        <v>3.8174874488011525E-2</v>
      </c>
      <c r="H312">
        <f t="shared" si="59"/>
        <v>-0.10570443585679909</v>
      </c>
      <c r="I312">
        <f t="shared" si="60"/>
        <v>0.23001395494776355</v>
      </c>
      <c r="J312">
        <f t="shared" si="61"/>
        <v>0.94941050667182347</v>
      </c>
      <c r="K312">
        <f t="shared" si="62"/>
        <v>0.56573234575232623</v>
      </c>
      <c r="L312">
        <f t="shared" si="63"/>
        <v>0.32593349517763959</v>
      </c>
      <c r="M312">
        <f t="shared" si="64"/>
        <v>-0.34550328643148576</v>
      </c>
      <c r="N312">
        <f t="shared" si="65"/>
        <v>-0.44142282666136173</v>
      </c>
      <c r="O312">
        <f t="shared" si="66"/>
        <v>-0.24958374620160972</v>
      </c>
    </row>
    <row r="313" spans="1:15" x14ac:dyDescent="0.3">
      <c r="A313">
        <v>44166</v>
      </c>
      <c r="B313" s="7">
        <v>100.1</v>
      </c>
      <c r="C313">
        <f t="shared" si="54"/>
        <v>0.14409441471789322</v>
      </c>
      <c r="D313">
        <f t="shared" si="55"/>
        <v>0.18205418483282895</v>
      </c>
      <c r="E313">
        <f t="shared" si="56"/>
        <v>0.14409441471789322</v>
      </c>
      <c r="F313">
        <f t="shared" si="57"/>
        <v>0.14409441471789322</v>
      </c>
      <c r="G313">
        <f t="shared" si="58"/>
        <v>0.14409441471789322</v>
      </c>
      <c r="H313">
        <f t="shared" si="59"/>
        <v>3.021510437307522E-2</v>
      </c>
      <c r="I313">
        <f t="shared" si="60"/>
        <v>-8.366420597173739E-2</v>
      </c>
      <c r="J313">
        <f t="shared" si="61"/>
        <v>0.18205418483282895</v>
      </c>
      <c r="K313">
        <f t="shared" si="62"/>
        <v>0.75145073655689743</v>
      </c>
      <c r="L313">
        <f t="shared" si="63"/>
        <v>0.44777257563739531</v>
      </c>
      <c r="M313">
        <f t="shared" si="64"/>
        <v>0.25797372506270583</v>
      </c>
      <c r="N313">
        <f t="shared" si="65"/>
        <v>-0.27346305654642689</v>
      </c>
      <c r="O313">
        <f t="shared" si="66"/>
        <v>-0.34938259677630373</v>
      </c>
    </row>
    <row r="314" spans="1:15" x14ac:dyDescent="0.3">
      <c r="A314">
        <v>44197</v>
      </c>
      <c r="B314" s="7">
        <v>100.1</v>
      </c>
      <c r="C314">
        <f t="shared" si="54"/>
        <v>0.14409441471789322</v>
      </c>
      <c r="D314">
        <f t="shared" si="55"/>
        <v>0.14409441471789322</v>
      </c>
      <c r="E314">
        <f t="shared" si="56"/>
        <v>0.18205418483282895</v>
      </c>
      <c r="F314">
        <f t="shared" si="57"/>
        <v>0.14409441471789322</v>
      </c>
      <c r="G314">
        <f t="shared" si="58"/>
        <v>0.14409441471789322</v>
      </c>
      <c r="H314">
        <f t="shared" si="59"/>
        <v>0.14409441471789322</v>
      </c>
      <c r="I314">
        <f t="shared" si="60"/>
        <v>3.021510437307522E-2</v>
      </c>
      <c r="J314">
        <f t="shared" si="61"/>
        <v>-8.366420597173739E-2</v>
      </c>
      <c r="K314">
        <f t="shared" si="62"/>
        <v>0.18205418483282895</v>
      </c>
      <c r="L314">
        <f t="shared" si="63"/>
        <v>0.75145073655689743</v>
      </c>
      <c r="M314">
        <f t="shared" si="64"/>
        <v>0.44777257563739531</v>
      </c>
      <c r="N314">
        <f t="shared" si="65"/>
        <v>0.25797372506270583</v>
      </c>
      <c r="O314">
        <f t="shared" si="66"/>
        <v>-0.27346305654642689</v>
      </c>
    </row>
    <row r="315" spans="1:15" x14ac:dyDescent="0.3">
      <c r="A315">
        <v>44228</v>
      </c>
      <c r="B315" s="7">
        <v>101.5</v>
      </c>
      <c r="C315">
        <f t="shared" si="54"/>
        <v>1.0412208514996437</v>
      </c>
      <c r="D315">
        <f t="shared" si="55"/>
        <v>-0.38734236689123946</v>
      </c>
      <c r="E315">
        <f t="shared" si="56"/>
        <v>-0.38734236689123946</v>
      </c>
      <c r="F315">
        <f t="shared" si="57"/>
        <v>-0.48938259677629636</v>
      </c>
      <c r="G315">
        <f t="shared" si="58"/>
        <v>-0.38734236689123946</v>
      </c>
      <c r="H315">
        <f t="shared" si="59"/>
        <v>-0.38734236689123946</v>
      </c>
      <c r="I315">
        <f t="shared" si="60"/>
        <v>-0.38734236689123946</v>
      </c>
      <c r="J315">
        <f t="shared" si="61"/>
        <v>-8.122167723603986E-2</v>
      </c>
      <c r="K315">
        <f t="shared" si="62"/>
        <v>0.22489901241914526</v>
      </c>
      <c r="L315">
        <f t="shared" si="63"/>
        <v>-0.48938259677629636</v>
      </c>
      <c r="M315">
        <f t="shared" si="64"/>
        <v>-2.0199860450522364</v>
      </c>
      <c r="N315">
        <f t="shared" si="65"/>
        <v>-1.203664205971738</v>
      </c>
      <c r="O315">
        <f t="shared" si="66"/>
        <v>-0.69346305654642459</v>
      </c>
    </row>
    <row r="316" spans="1:15" x14ac:dyDescent="0.3">
      <c r="A316">
        <v>44256</v>
      </c>
      <c r="B316" s="7">
        <v>99.7</v>
      </c>
      <c r="C316">
        <f t="shared" si="54"/>
        <v>0.60777257563738307</v>
      </c>
      <c r="D316">
        <f t="shared" si="55"/>
        <v>-0.79550328643148149</v>
      </c>
      <c r="E316">
        <f t="shared" si="56"/>
        <v>0.29593349517764156</v>
      </c>
      <c r="F316">
        <f t="shared" si="57"/>
        <v>0.29593349517764156</v>
      </c>
      <c r="G316">
        <f t="shared" si="58"/>
        <v>0.37389326529257416</v>
      </c>
      <c r="H316">
        <f t="shared" si="59"/>
        <v>0.29593349517764156</v>
      </c>
      <c r="I316">
        <f t="shared" si="60"/>
        <v>0.29593349517764156</v>
      </c>
      <c r="J316">
        <f t="shared" si="61"/>
        <v>0.29593349517764156</v>
      </c>
      <c r="K316">
        <f t="shared" si="62"/>
        <v>6.2054184832821581E-2</v>
      </c>
      <c r="L316">
        <f t="shared" si="63"/>
        <v>-0.17182512551198734</v>
      </c>
      <c r="M316">
        <f t="shared" si="64"/>
        <v>0.37389326529257416</v>
      </c>
      <c r="N316">
        <f t="shared" si="65"/>
        <v>1.5432898170166298</v>
      </c>
      <c r="O316">
        <f t="shared" si="66"/>
        <v>0.91961165609713569</v>
      </c>
    </row>
    <row r="317" spans="1:15" x14ac:dyDescent="0.3">
      <c r="A317">
        <v>44287</v>
      </c>
      <c r="B317" s="7">
        <v>100</v>
      </c>
      <c r="C317">
        <f t="shared" si="54"/>
        <v>0.23001395494776355</v>
      </c>
      <c r="D317">
        <f t="shared" si="55"/>
        <v>0.37389326529257416</v>
      </c>
      <c r="E317">
        <f t="shared" si="56"/>
        <v>-0.48938259677629636</v>
      </c>
      <c r="F317">
        <f t="shared" si="57"/>
        <v>0.18205418483282895</v>
      </c>
      <c r="G317">
        <f t="shared" si="58"/>
        <v>0.18205418483282895</v>
      </c>
      <c r="H317">
        <f t="shared" si="59"/>
        <v>0.23001395494776355</v>
      </c>
      <c r="I317">
        <f t="shared" si="60"/>
        <v>0.18205418483282895</v>
      </c>
      <c r="J317">
        <f t="shared" si="61"/>
        <v>0.18205418483282895</v>
      </c>
      <c r="K317">
        <f t="shared" si="62"/>
        <v>0.18205418483282895</v>
      </c>
      <c r="L317">
        <f t="shared" si="63"/>
        <v>3.8174874488011525E-2</v>
      </c>
      <c r="M317">
        <f t="shared" si="64"/>
        <v>-0.10570443585679909</v>
      </c>
      <c r="N317">
        <f t="shared" si="65"/>
        <v>0.23001395494776355</v>
      </c>
      <c r="O317">
        <f t="shared" si="66"/>
        <v>0.94941050667182347</v>
      </c>
    </row>
    <row r="318" spans="1:15" x14ac:dyDescent="0.3">
      <c r="A318">
        <v>44317</v>
      </c>
      <c r="B318" s="7">
        <v>100.2</v>
      </c>
      <c r="C318">
        <f t="shared" si="54"/>
        <v>7.8174874488012663E-2</v>
      </c>
      <c r="D318">
        <f t="shared" si="55"/>
        <v>0.13409441471788755</v>
      </c>
      <c r="E318">
        <f t="shared" si="56"/>
        <v>0.21797372506269788</v>
      </c>
      <c r="F318">
        <f t="shared" si="57"/>
        <v>-0.28530213700616813</v>
      </c>
      <c r="G318">
        <f t="shared" si="58"/>
        <v>0.10613464460295209</v>
      </c>
      <c r="H318">
        <f t="shared" si="59"/>
        <v>0.10613464460295209</v>
      </c>
      <c r="I318">
        <f t="shared" si="60"/>
        <v>0.13409441471788755</v>
      </c>
      <c r="J318">
        <f t="shared" si="61"/>
        <v>0.10613464460295209</v>
      </c>
      <c r="K318">
        <f t="shared" si="62"/>
        <v>0.10613464460295209</v>
      </c>
      <c r="L318">
        <f t="shared" si="63"/>
        <v>0.10613464460295209</v>
      </c>
      <c r="M318">
        <f t="shared" si="64"/>
        <v>2.225533425813778E-2</v>
      </c>
      <c r="N318">
        <f t="shared" si="65"/>
        <v>-6.1623976086672555E-2</v>
      </c>
      <c r="O318">
        <f t="shared" si="66"/>
        <v>0.13409441471788755</v>
      </c>
    </row>
    <row r="319" spans="1:15" x14ac:dyDescent="0.3">
      <c r="A319">
        <v>44348</v>
      </c>
      <c r="B319" s="7">
        <v>100.2</v>
      </c>
      <c r="C319">
        <f t="shared" si="54"/>
        <v>7.8174874488012663E-2</v>
      </c>
      <c r="D319">
        <f t="shared" si="55"/>
        <v>7.8174874488012663E-2</v>
      </c>
      <c r="E319">
        <f t="shared" si="56"/>
        <v>0.13409441471788755</v>
      </c>
      <c r="F319">
        <f t="shared" si="57"/>
        <v>0.21797372506269788</v>
      </c>
      <c r="G319">
        <f t="shared" si="58"/>
        <v>-0.28530213700616813</v>
      </c>
      <c r="H319">
        <f t="shared" si="59"/>
        <v>0.10613464460295209</v>
      </c>
      <c r="I319">
        <f t="shared" si="60"/>
        <v>0.10613464460295209</v>
      </c>
      <c r="J319">
        <f t="shared" si="61"/>
        <v>0.13409441471788755</v>
      </c>
      <c r="K319">
        <f t="shared" si="62"/>
        <v>0.10613464460295209</v>
      </c>
      <c r="L319">
        <f t="shared" si="63"/>
        <v>0.10613464460295209</v>
      </c>
      <c r="M319">
        <f t="shared" si="64"/>
        <v>0.10613464460295209</v>
      </c>
      <c r="N319">
        <f t="shared" si="65"/>
        <v>2.225533425813778E-2</v>
      </c>
      <c r="O319">
        <f t="shared" si="66"/>
        <v>-6.1623976086672555E-2</v>
      </c>
    </row>
    <row r="320" spans="1:15" x14ac:dyDescent="0.3">
      <c r="A320">
        <v>44378</v>
      </c>
      <c r="B320" s="7">
        <v>100.6</v>
      </c>
      <c r="C320">
        <f t="shared" si="54"/>
        <v>1.449671356851426E-2</v>
      </c>
      <c r="D320">
        <f t="shared" si="55"/>
        <v>-3.3664205971733127E-2</v>
      </c>
      <c r="E320">
        <f t="shared" si="56"/>
        <v>-3.3664205971733127E-2</v>
      </c>
      <c r="F320">
        <f t="shared" si="57"/>
        <v>-5.774466574185768E-2</v>
      </c>
      <c r="G320">
        <f t="shared" si="58"/>
        <v>-9.3865355397043646E-2</v>
      </c>
      <c r="H320">
        <f t="shared" si="59"/>
        <v>0.12285878253407388</v>
      </c>
      <c r="I320">
        <f t="shared" si="60"/>
        <v>-4.5704435856796261E-2</v>
      </c>
      <c r="J320">
        <f t="shared" si="61"/>
        <v>-4.5704435856796261E-2</v>
      </c>
      <c r="K320">
        <f t="shared" si="62"/>
        <v>-5.774466574185768E-2</v>
      </c>
      <c r="L320">
        <f t="shared" si="63"/>
        <v>-4.5704435856796261E-2</v>
      </c>
      <c r="M320">
        <f t="shared" si="64"/>
        <v>-4.5704435856796261E-2</v>
      </c>
      <c r="N320">
        <f t="shared" si="65"/>
        <v>-4.5704435856796261E-2</v>
      </c>
      <c r="O320">
        <f t="shared" si="66"/>
        <v>-9.5837462016085794E-3</v>
      </c>
    </row>
    <row r="321" spans="1:15" x14ac:dyDescent="0.3">
      <c r="A321">
        <v>44409</v>
      </c>
      <c r="B321" s="7">
        <v>100.3</v>
      </c>
      <c r="C321">
        <f t="shared" si="54"/>
        <v>3.2255334258140617E-2</v>
      </c>
      <c r="D321">
        <f t="shared" si="55"/>
        <v>-2.1623976086671708E-2</v>
      </c>
      <c r="E321">
        <f t="shared" si="56"/>
        <v>5.0215104373077211E-2</v>
      </c>
      <c r="F321">
        <f t="shared" si="57"/>
        <v>5.0215104373077211E-2</v>
      </c>
      <c r="G321">
        <f t="shared" si="58"/>
        <v>8.6134644602952948E-2</v>
      </c>
      <c r="H321">
        <f t="shared" si="59"/>
        <v>0.14001395494776528</v>
      </c>
      <c r="I321">
        <f t="shared" si="60"/>
        <v>-0.18326190712111123</v>
      </c>
      <c r="J321">
        <f t="shared" si="61"/>
        <v>6.8174874488016346E-2</v>
      </c>
      <c r="K321">
        <f t="shared" si="62"/>
        <v>6.8174874488016346E-2</v>
      </c>
      <c r="L321">
        <f t="shared" si="63"/>
        <v>8.6134644602952948E-2</v>
      </c>
      <c r="M321">
        <f t="shared" si="64"/>
        <v>6.8174874488016346E-2</v>
      </c>
      <c r="N321">
        <f t="shared" si="65"/>
        <v>6.8174874488016346E-2</v>
      </c>
      <c r="O321">
        <f t="shared" si="66"/>
        <v>6.8174874488016346E-2</v>
      </c>
    </row>
    <row r="322" spans="1:15" x14ac:dyDescent="0.3">
      <c r="A322">
        <v>44440</v>
      </c>
      <c r="B322" s="7">
        <v>99.4</v>
      </c>
      <c r="C322">
        <f t="shared" si="54"/>
        <v>1.1655311963269992</v>
      </c>
      <c r="D322">
        <f t="shared" si="55"/>
        <v>0.19389326529257758</v>
      </c>
      <c r="E322">
        <f t="shared" si="56"/>
        <v>-0.1299860450522296</v>
      </c>
      <c r="F322">
        <f t="shared" si="57"/>
        <v>0.30185303540750824</v>
      </c>
      <c r="G322">
        <f t="shared" si="58"/>
        <v>0.30185303540750824</v>
      </c>
      <c r="H322">
        <f t="shared" si="59"/>
        <v>0.51777257563738477</v>
      </c>
      <c r="I322">
        <f t="shared" si="60"/>
        <v>0.84165188598219198</v>
      </c>
      <c r="J322">
        <f t="shared" si="61"/>
        <v>-1.1016239760866666</v>
      </c>
      <c r="K322">
        <f t="shared" si="62"/>
        <v>0.40981280552245419</v>
      </c>
      <c r="L322">
        <f t="shared" si="63"/>
        <v>0.40981280552245419</v>
      </c>
      <c r="M322">
        <f t="shared" si="64"/>
        <v>0.51777257563738477</v>
      </c>
      <c r="N322">
        <f t="shared" si="65"/>
        <v>0.40981280552245419</v>
      </c>
      <c r="O322">
        <f t="shared" si="66"/>
        <v>0.40981280552245419</v>
      </c>
    </row>
    <row r="323" spans="1:15" x14ac:dyDescent="0.3">
      <c r="A323">
        <v>44470</v>
      </c>
      <c r="B323" s="7">
        <v>99.8</v>
      </c>
      <c r="C323">
        <f t="shared" ref="C323:C349" si="67">($B323-AVERAGE($B$2:$B$349))*($B323-AVERAGE($B$2:$B$349))</f>
        <v>0.46185303540751677</v>
      </c>
      <c r="D323">
        <f t="shared" si="55"/>
        <v>0.73369211586726135</v>
      </c>
      <c r="E323">
        <f t="shared" si="56"/>
        <v>0.12205418483282868</v>
      </c>
      <c r="F323">
        <f t="shared" si="57"/>
        <v>-8.1825125511982233E-2</v>
      </c>
      <c r="G323">
        <f t="shared" si="58"/>
        <v>0.19001395494776244</v>
      </c>
      <c r="H323">
        <f t="shared" si="59"/>
        <v>0.19001395494776244</v>
      </c>
      <c r="I323">
        <f t="shared" si="60"/>
        <v>0.32593349517763959</v>
      </c>
      <c r="J323">
        <f t="shared" si="61"/>
        <v>0.52981280552245047</v>
      </c>
      <c r="K323">
        <f t="shared" si="62"/>
        <v>-0.69346305654642459</v>
      </c>
      <c r="L323">
        <f t="shared" si="63"/>
        <v>0.25797372506270583</v>
      </c>
      <c r="M323">
        <f t="shared" si="64"/>
        <v>0.25797372506270583</v>
      </c>
      <c r="N323">
        <f t="shared" si="65"/>
        <v>0.32593349517763959</v>
      </c>
      <c r="O323">
        <f t="shared" si="66"/>
        <v>0.25797372506270583</v>
      </c>
    </row>
    <row r="324" spans="1:15" x14ac:dyDescent="0.3">
      <c r="A324">
        <v>44501</v>
      </c>
      <c r="B324" s="7">
        <v>100.3</v>
      </c>
      <c r="C324">
        <f t="shared" si="67"/>
        <v>3.2255334258140617E-2</v>
      </c>
      <c r="D324">
        <f t="shared" ref="D324:D349" si="68">($B324-AVERAGE($B$2:$B$349))*($B323-AVERAGE($B$2:$B$349))</f>
        <v>0.12205418483282868</v>
      </c>
      <c r="E324">
        <f t="shared" si="56"/>
        <v>0.19389326529257758</v>
      </c>
      <c r="F324">
        <f t="shared" si="57"/>
        <v>3.2255334258140617E-2</v>
      </c>
      <c r="G324">
        <f t="shared" si="58"/>
        <v>-2.1623976086671708E-2</v>
      </c>
      <c r="H324">
        <f t="shared" si="59"/>
        <v>5.0215104373077211E-2</v>
      </c>
      <c r="I324">
        <f t="shared" si="60"/>
        <v>5.0215104373077211E-2</v>
      </c>
      <c r="J324">
        <f t="shared" si="61"/>
        <v>8.6134644602952948E-2</v>
      </c>
      <c r="K324">
        <f t="shared" si="62"/>
        <v>0.14001395494776528</v>
      </c>
      <c r="L324">
        <f t="shared" si="63"/>
        <v>-0.18326190712111123</v>
      </c>
      <c r="M324">
        <f t="shared" si="64"/>
        <v>6.8174874488016346E-2</v>
      </c>
      <c r="N324">
        <f t="shared" si="65"/>
        <v>6.8174874488016346E-2</v>
      </c>
      <c r="O324">
        <f t="shared" si="66"/>
        <v>8.6134644602952948E-2</v>
      </c>
    </row>
    <row r="325" spans="1:15" x14ac:dyDescent="0.3">
      <c r="A325">
        <v>44531</v>
      </c>
      <c r="B325" s="7">
        <v>99.8</v>
      </c>
      <c r="C325">
        <f t="shared" si="67"/>
        <v>0.46185303540751677</v>
      </c>
      <c r="D325">
        <f t="shared" si="68"/>
        <v>0.12205418483282868</v>
      </c>
      <c r="E325">
        <f t="shared" ref="E325:E349" si="69">($B325-AVERAGE($B$2:$B$349))*($B323-AVERAGE($B$2:$B$349))</f>
        <v>0.46185303540751677</v>
      </c>
      <c r="F325">
        <f t="shared" si="57"/>
        <v>0.73369211586726135</v>
      </c>
      <c r="G325">
        <f t="shared" si="58"/>
        <v>0.12205418483282868</v>
      </c>
      <c r="H325">
        <f t="shared" si="59"/>
        <v>-8.1825125511982233E-2</v>
      </c>
      <c r="I325">
        <f t="shared" si="60"/>
        <v>0.19001395494776244</v>
      </c>
      <c r="J325">
        <f t="shared" si="61"/>
        <v>0.19001395494776244</v>
      </c>
      <c r="K325">
        <f t="shared" si="62"/>
        <v>0.32593349517763959</v>
      </c>
      <c r="L325">
        <f t="shared" si="63"/>
        <v>0.52981280552245047</v>
      </c>
      <c r="M325">
        <f t="shared" si="64"/>
        <v>-0.69346305654642459</v>
      </c>
      <c r="N325">
        <f t="shared" si="65"/>
        <v>0.25797372506270583</v>
      </c>
      <c r="O325">
        <f t="shared" si="66"/>
        <v>0.25797372506270583</v>
      </c>
    </row>
    <row r="326" spans="1:15" x14ac:dyDescent="0.3">
      <c r="A326">
        <v>44562</v>
      </c>
      <c r="B326" s="7">
        <v>100.2</v>
      </c>
      <c r="C326">
        <f t="shared" si="67"/>
        <v>7.8174874488012663E-2</v>
      </c>
      <c r="D326">
        <f t="shared" si="68"/>
        <v>0.19001395494776244</v>
      </c>
      <c r="E326">
        <f t="shared" si="69"/>
        <v>5.0215104373077211E-2</v>
      </c>
      <c r="F326">
        <f t="shared" ref="F326:F349" si="70">($B326-AVERAGE($B$2:$B$349))*($B323-AVERAGE($B$2:$B$349))</f>
        <v>0.19001395494776244</v>
      </c>
      <c r="G326">
        <f t="shared" si="58"/>
        <v>0.30185303540750824</v>
      </c>
      <c r="H326">
        <f t="shared" si="59"/>
        <v>5.0215104373077211E-2</v>
      </c>
      <c r="I326">
        <f t="shared" si="60"/>
        <v>-3.3664205971733127E-2</v>
      </c>
      <c r="J326">
        <f t="shared" si="61"/>
        <v>7.8174874488012663E-2</v>
      </c>
      <c r="K326">
        <f t="shared" si="62"/>
        <v>7.8174874488012663E-2</v>
      </c>
      <c r="L326">
        <f t="shared" si="63"/>
        <v>0.13409441471788755</v>
      </c>
      <c r="M326">
        <f t="shared" si="64"/>
        <v>0.21797372506269788</v>
      </c>
      <c r="N326">
        <f t="shared" si="65"/>
        <v>-0.28530213700616813</v>
      </c>
      <c r="O326">
        <f t="shared" si="66"/>
        <v>0.10613464460295209</v>
      </c>
    </row>
    <row r="327" spans="1:15" x14ac:dyDescent="0.3">
      <c r="A327">
        <v>44593</v>
      </c>
      <c r="B327" s="7">
        <v>101</v>
      </c>
      <c r="C327">
        <f t="shared" si="67"/>
        <v>0.270818552649017</v>
      </c>
      <c r="D327">
        <f t="shared" si="68"/>
        <v>-0.14550328643148289</v>
      </c>
      <c r="E327">
        <f t="shared" si="69"/>
        <v>-0.35366420597173653</v>
      </c>
      <c r="F327">
        <f t="shared" si="70"/>
        <v>-9.3463056546423173E-2</v>
      </c>
      <c r="G327">
        <f t="shared" ref="G327:G349" si="71">($B327-AVERAGE($B$2:$B$349))*($B323-AVERAGE($B$2:$B$349))</f>
        <v>-0.35366420597173653</v>
      </c>
      <c r="H327">
        <f t="shared" si="59"/>
        <v>-0.56182512551198283</v>
      </c>
      <c r="I327">
        <f t="shared" si="60"/>
        <v>-9.3463056546423173E-2</v>
      </c>
      <c r="J327">
        <f t="shared" si="61"/>
        <v>6.2657633108763364E-2</v>
      </c>
      <c r="K327">
        <f t="shared" si="62"/>
        <v>-0.14550328643148289</v>
      </c>
      <c r="L327">
        <f t="shared" si="63"/>
        <v>-0.14550328643148289</v>
      </c>
      <c r="M327">
        <f t="shared" si="64"/>
        <v>-0.24958374620160972</v>
      </c>
      <c r="N327">
        <f t="shared" si="65"/>
        <v>-0.40570443585679627</v>
      </c>
      <c r="O327">
        <f t="shared" si="66"/>
        <v>0.53101970207433036</v>
      </c>
    </row>
    <row r="328" spans="1:15" x14ac:dyDescent="0.3">
      <c r="A328">
        <v>44621</v>
      </c>
      <c r="B328" s="7">
        <v>100.7</v>
      </c>
      <c r="C328">
        <f t="shared" si="67"/>
        <v>4.8577173338642227E-2</v>
      </c>
      <c r="D328">
        <f t="shared" si="68"/>
        <v>0.11469786299383047</v>
      </c>
      <c r="E328">
        <f t="shared" si="69"/>
        <v>-6.1623976086672555E-2</v>
      </c>
      <c r="F328">
        <f t="shared" si="70"/>
        <v>-0.14978489562692562</v>
      </c>
      <c r="G328">
        <f t="shared" si="71"/>
        <v>-3.9583746201610849E-2</v>
      </c>
      <c r="H328">
        <f t="shared" ref="H328:H349" si="72">($B328-AVERAGE($B$2:$B$349))*($B323-AVERAGE($B$2:$B$349))</f>
        <v>-0.14978489562692562</v>
      </c>
      <c r="I328">
        <f t="shared" si="60"/>
        <v>-0.23794581516717558</v>
      </c>
      <c r="J328">
        <f t="shared" si="61"/>
        <v>-3.9583746201610849E-2</v>
      </c>
      <c r="K328">
        <f t="shared" si="62"/>
        <v>2.6536943453577391E-2</v>
      </c>
      <c r="L328">
        <f t="shared" si="63"/>
        <v>-6.1623976086672555E-2</v>
      </c>
      <c r="M328">
        <f t="shared" si="64"/>
        <v>-6.1623976086672555E-2</v>
      </c>
      <c r="N328">
        <f t="shared" si="65"/>
        <v>-0.10570443585679909</v>
      </c>
      <c r="O328">
        <f t="shared" si="66"/>
        <v>-0.17182512551198734</v>
      </c>
    </row>
    <row r="329" spans="1:15" x14ac:dyDescent="0.3">
      <c r="A329">
        <v>44652</v>
      </c>
      <c r="B329" s="7">
        <v>100.2</v>
      </c>
      <c r="C329">
        <f t="shared" si="67"/>
        <v>7.8174874488012663E-2</v>
      </c>
      <c r="D329">
        <f t="shared" si="68"/>
        <v>-6.1623976086672555E-2</v>
      </c>
      <c r="E329">
        <f t="shared" si="69"/>
        <v>-0.14550328643148289</v>
      </c>
      <c r="F329">
        <f t="shared" si="70"/>
        <v>7.8174874488012663E-2</v>
      </c>
      <c r="G329">
        <f t="shared" si="71"/>
        <v>0.19001395494776244</v>
      </c>
      <c r="H329">
        <f t="shared" si="72"/>
        <v>5.0215104373077211E-2</v>
      </c>
      <c r="I329">
        <f t="shared" ref="I329:I349" si="73">($B329-AVERAGE($B$2:$B$349))*($B323-AVERAGE($B$2:$B$349))</f>
        <v>0.19001395494776244</v>
      </c>
      <c r="J329">
        <f t="shared" si="61"/>
        <v>0.30185303540750824</v>
      </c>
      <c r="K329">
        <f t="shared" si="62"/>
        <v>5.0215104373077211E-2</v>
      </c>
      <c r="L329">
        <f t="shared" si="63"/>
        <v>-3.3664205971733127E-2</v>
      </c>
      <c r="M329">
        <f t="shared" si="64"/>
        <v>7.8174874488012663E-2</v>
      </c>
      <c r="N329">
        <f t="shared" si="65"/>
        <v>7.8174874488012663E-2</v>
      </c>
      <c r="O329">
        <f t="shared" si="66"/>
        <v>0.13409441471788755</v>
      </c>
    </row>
    <row r="330" spans="1:15" x14ac:dyDescent="0.3">
      <c r="A330">
        <v>44682</v>
      </c>
      <c r="B330" s="7">
        <v>100.4</v>
      </c>
      <c r="C330">
        <f t="shared" si="67"/>
        <v>6.3357940282640357E-3</v>
      </c>
      <c r="D330">
        <f t="shared" si="68"/>
        <v>2.225533425813778E-2</v>
      </c>
      <c r="E330">
        <f t="shared" si="69"/>
        <v>-1.7543516316546017E-2</v>
      </c>
      <c r="F330">
        <f t="shared" si="70"/>
        <v>-4.142282666135607E-2</v>
      </c>
      <c r="G330">
        <f t="shared" si="71"/>
        <v>2.225533425813778E-2</v>
      </c>
      <c r="H330">
        <f t="shared" si="72"/>
        <v>5.4094414717885272E-2</v>
      </c>
      <c r="I330">
        <f t="shared" si="73"/>
        <v>1.4295564143201473E-2</v>
      </c>
      <c r="J330">
        <f t="shared" ref="J330:J349" si="74">($B330-AVERAGE($B$2:$B$349))*($B323-AVERAGE($B$2:$B$349))</f>
        <v>5.4094414717885272E-2</v>
      </c>
      <c r="K330">
        <f t="shared" si="62"/>
        <v>8.593349517763163E-2</v>
      </c>
      <c r="L330">
        <f t="shared" si="63"/>
        <v>1.4295564143201473E-2</v>
      </c>
      <c r="M330">
        <f t="shared" si="64"/>
        <v>-9.5837462016085794E-3</v>
      </c>
      <c r="N330">
        <f t="shared" si="65"/>
        <v>2.225533425813778E-2</v>
      </c>
      <c r="O330">
        <f t="shared" si="66"/>
        <v>2.225533425813778E-2</v>
      </c>
    </row>
    <row r="331" spans="1:15" x14ac:dyDescent="0.3">
      <c r="A331">
        <v>44713</v>
      </c>
      <c r="B331" s="7">
        <v>100.7</v>
      </c>
      <c r="C331">
        <f t="shared" si="67"/>
        <v>4.8577173338642227E-2</v>
      </c>
      <c r="D331">
        <f t="shared" si="68"/>
        <v>-1.7543516316546017E-2</v>
      </c>
      <c r="E331">
        <f t="shared" si="69"/>
        <v>-6.1623976086672555E-2</v>
      </c>
      <c r="F331">
        <f t="shared" si="70"/>
        <v>4.8577173338642227E-2</v>
      </c>
      <c r="G331">
        <f t="shared" si="71"/>
        <v>0.11469786299383047</v>
      </c>
      <c r="H331">
        <f t="shared" si="72"/>
        <v>-6.1623976086672555E-2</v>
      </c>
      <c r="I331">
        <f t="shared" si="73"/>
        <v>-0.14978489562692562</v>
      </c>
      <c r="J331">
        <f t="shared" si="74"/>
        <v>-3.9583746201610849E-2</v>
      </c>
      <c r="K331">
        <f t="shared" ref="K331:K349" si="75">($B331-AVERAGE($B$2:$B$349))*($B323-AVERAGE($B$2:$B$349))</f>
        <v>-0.14978489562692562</v>
      </c>
      <c r="L331">
        <f t="shared" si="63"/>
        <v>-0.23794581516717558</v>
      </c>
      <c r="M331">
        <f t="shared" si="64"/>
        <v>-3.9583746201610849E-2</v>
      </c>
      <c r="N331">
        <f t="shared" si="65"/>
        <v>2.6536943453577391E-2</v>
      </c>
      <c r="O331">
        <f t="shared" si="66"/>
        <v>-6.1623976086672555E-2</v>
      </c>
    </row>
    <row r="332" spans="1:15" x14ac:dyDescent="0.3">
      <c r="A332">
        <v>44743</v>
      </c>
      <c r="B332" s="7">
        <v>100.4</v>
      </c>
      <c r="C332">
        <f t="shared" si="67"/>
        <v>6.3357940282640357E-3</v>
      </c>
      <c r="D332">
        <f t="shared" si="68"/>
        <v>-1.7543516316546017E-2</v>
      </c>
      <c r="E332">
        <f t="shared" si="69"/>
        <v>6.3357940282640357E-3</v>
      </c>
      <c r="F332">
        <f t="shared" si="70"/>
        <v>2.225533425813778E-2</v>
      </c>
      <c r="G332">
        <f t="shared" si="71"/>
        <v>-1.7543516316546017E-2</v>
      </c>
      <c r="H332">
        <f t="shared" si="72"/>
        <v>-4.142282666135607E-2</v>
      </c>
      <c r="I332">
        <f t="shared" si="73"/>
        <v>2.225533425813778E-2</v>
      </c>
      <c r="J332">
        <f t="shared" si="74"/>
        <v>5.4094414717885272E-2</v>
      </c>
      <c r="K332">
        <f t="shared" si="75"/>
        <v>1.4295564143201473E-2</v>
      </c>
      <c r="L332">
        <f t="shared" ref="L332:L349" si="76">($B332-AVERAGE($B$2:$B$349))*($B323-AVERAGE($B$2:$B$349))</f>
        <v>5.4094414717885272E-2</v>
      </c>
      <c r="M332">
        <f t="shared" si="64"/>
        <v>8.593349517763163E-2</v>
      </c>
      <c r="N332">
        <f t="shared" si="65"/>
        <v>1.4295564143201473E-2</v>
      </c>
      <c r="O332">
        <f t="shared" si="66"/>
        <v>-9.5837462016085794E-3</v>
      </c>
    </row>
    <row r="333" spans="1:15" x14ac:dyDescent="0.3">
      <c r="A333">
        <v>44774</v>
      </c>
      <c r="B333" s="7">
        <v>100</v>
      </c>
      <c r="C333">
        <f t="shared" si="67"/>
        <v>0.23001395494776355</v>
      </c>
      <c r="D333">
        <f t="shared" si="68"/>
        <v>3.8174874488011525E-2</v>
      </c>
      <c r="E333">
        <f t="shared" si="69"/>
        <v>-0.10570443585679909</v>
      </c>
      <c r="F333">
        <f t="shared" si="70"/>
        <v>3.8174874488011525E-2</v>
      </c>
      <c r="G333">
        <f t="shared" si="71"/>
        <v>0.13409441471788755</v>
      </c>
      <c r="H333">
        <f t="shared" si="72"/>
        <v>-0.10570443585679909</v>
      </c>
      <c r="I333">
        <f t="shared" si="73"/>
        <v>-0.24958374620160972</v>
      </c>
      <c r="J333">
        <f t="shared" si="74"/>
        <v>0.13409441471788755</v>
      </c>
      <c r="K333">
        <f t="shared" si="75"/>
        <v>0.32593349517763959</v>
      </c>
      <c r="L333">
        <f t="shared" si="76"/>
        <v>8.6134644602952948E-2</v>
      </c>
      <c r="M333">
        <f t="shared" ref="M333:M349" si="77">($B333-AVERAGE($B$2:$B$349))*($B323-AVERAGE($B$2:$B$349))</f>
        <v>0.32593349517763959</v>
      </c>
      <c r="N333">
        <f t="shared" si="65"/>
        <v>0.51777257563738477</v>
      </c>
      <c r="O333">
        <f t="shared" si="66"/>
        <v>8.6134644602952948E-2</v>
      </c>
    </row>
    <row r="334" spans="1:15" x14ac:dyDescent="0.3">
      <c r="A334">
        <v>44805</v>
      </c>
      <c r="B334" s="7">
        <v>100.4</v>
      </c>
      <c r="C334">
        <f t="shared" si="67"/>
        <v>6.3357940282640357E-3</v>
      </c>
      <c r="D334">
        <f t="shared" si="68"/>
        <v>3.8174874488011525E-2</v>
      </c>
      <c r="E334">
        <f t="shared" si="69"/>
        <v>6.3357940282640357E-3</v>
      </c>
      <c r="F334">
        <f t="shared" si="70"/>
        <v>-1.7543516316546017E-2</v>
      </c>
      <c r="G334">
        <f t="shared" si="71"/>
        <v>6.3357940282640357E-3</v>
      </c>
      <c r="H334">
        <f t="shared" si="72"/>
        <v>2.225533425813778E-2</v>
      </c>
      <c r="I334">
        <f t="shared" si="73"/>
        <v>-1.7543516316546017E-2</v>
      </c>
      <c r="J334">
        <f t="shared" si="74"/>
        <v>-4.142282666135607E-2</v>
      </c>
      <c r="K334">
        <f t="shared" si="75"/>
        <v>2.225533425813778E-2</v>
      </c>
      <c r="L334">
        <f t="shared" si="76"/>
        <v>5.4094414717885272E-2</v>
      </c>
      <c r="M334">
        <f t="shared" si="77"/>
        <v>1.4295564143201473E-2</v>
      </c>
      <c r="N334">
        <f t="shared" ref="N334:N349" si="78">($B334-AVERAGE($B$2:$B$349))*($B323-AVERAGE($B$2:$B$349))</f>
        <v>5.4094414717885272E-2</v>
      </c>
      <c r="O334">
        <f t="shared" si="66"/>
        <v>8.593349517763163E-2</v>
      </c>
    </row>
    <row r="335" spans="1:15" x14ac:dyDescent="0.3">
      <c r="A335">
        <v>44835</v>
      </c>
      <c r="B335" s="7">
        <v>100.2</v>
      </c>
      <c r="C335">
        <f t="shared" si="67"/>
        <v>7.8174874488012663E-2</v>
      </c>
      <c r="D335">
        <f t="shared" si="68"/>
        <v>2.225533425813778E-2</v>
      </c>
      <c r="E335">
        <f t="shared" si="69"/>
        <v>0.13409441471788755</v>
      </c>
      <c r="F335">
        <f t="shared" si="70"/>
        <v>2.225533425813778E-2</v>
      </c>
      <c r="G335">
        <f t="shared" si="71"/>
        <v>-6.1623976086672555E-2</v>
      </c>
      <c r="H335">
        <f t="shared" si="72"/>
        <v>2.225533425813778E-2</v>
      </c>
      <c r="I335">
        <f t="shared" si="73"/>
        <v>7.8174874488012663E-2</v>
      </c>
      <c r="J335">
        <f t="shared" si="74"/>
        <v>-6.1623976086672555E-2</v>
      </c>
      <c r="K335">
        <f t="shared" si="75"/>
        <v>-0.14550328643148289</v>
      </c>
      <c r="L335">
        <f t="shared" si="76"/>
        <v>7.8174874488012663E-2</v>
      </c>
      <c r="M335">
        <f t="shared" si="77"/>
        <v>0.19001395494776244</v>
      </c>
      <c r="N335">
        <f t="shared" si="78"/>
        <v>5.0215104373077211E-2</v>
      </c>
      <c r="O335">
        <f t="shared" ref="O335:O349" si="79">($B335-AVERAGE($B$2:$B$349))*($B323-AVERAGE($B$2:$B$349))</f>
        <v>0.19001395494776244</v>
      </c>
    </row>
    <row r="336" spans="1:15" x14ac:dyDescent="0.3">
      <c r="A336">
        <v>44866</v>
      </c>
      <c r="B336" s="7">
        <v>100.4</v>
      </c>
      <c r="C336">
        <f t="shared" si="67"/>
        <v>6.3357940282640357E-3</v>
      </c>
      <c r="D336">
        <f t="shared" si="68"/>
        <v>2.225533425813778E-2</v>
      </c>
      <c r="E336">
        <f t="shared" si="69"/>
        <v>6.3357940282640357E-3</v>
      </c>
      <c r="F336">
        <f t="shared" si="70"/>
        <v>3.8174874488011525E-2</v>
      </c>
      <c r="G336">
        <f t="shared" si="71"/>
        <v>6.3357940282640357E-3</v>
      </c>
      <c r="H336">
        <f t="shared" si="72"/>
        <v>-1.7543516316546017E-2</v>
      </c>
      <c r="I336">
        <f t="shared" si="73"/>
        <v>6.3357940282640357E-3</v>
      </c>
      <c r="J336">
        <f t="shared" si="74"/>
        <v>2.225533425813778E-2</v>
      </c>
      <c r="K336">
        <f t="shared" si="75"/>
        <v>-1.7543516316546017E-2</v>
      </c>
      <c r="L336">
        <f t="shared" si="76"/>
        <v>-4.142282666135607E-2</v>
      </c>
      <c r="M336">
        <f t="shared" si="77"/>
        <v>2.225533425813778E-2</v>
      </c>
      <c r="N336">
        <f t="shared" si="78"/>
        <v>5.4094414717885272E-2</v>
      </c>
      <c r="O336">
        <f t="shared" si="79"/>
        <v>1.4295564143201473E-2</v>
      </c>
    </row>
    <row r="337" spans="1:15" x14ac:dyDescent="0.3">
      <c r="A337">
        <v>44896</v>
      </c>
      <c r="B337" s="7">
        <v>100</v>
      </c>
      <c r="C337">
        <f t="shared" si="67"/>
        <v>0.23001395494776355</v>
      </c>
      <c r="D337">
        <f t="shared" si="68"/>
        <v>3.8174874488011525E-2</v>
      </c>
      <c r="E337">
        <f t="shared" si="69"/>
        <v>0.13409441471788755</v>
      </c>
      <c r="F337">
        <f t="shared" si="70"/>
        <v>3.8174874488011525E-2</v>
      </c>
      <c r="G337">
        <f t="shared" si="71"/>
        <v>0.23001395494776355</v>
      </c>
      <c r="H337">
        <f t="shared" si="72"/>
        <v>3.8174874488011525E-2</v>
      </c>
      <c r="I337">
        <f t="shared" si="73"/>
        <v>-0.10570443585679909</v>
      </c>
      <c r="J337">
        <f t="shared" si="74"/>
        <v>3.8174874488011525E-2</v>
      </c>
      <c r="K337">
        <f t="shared" si="75"/>
        <v>0.13409441471788755</v>
      </c>
      <c r="L337">
        <f t="shared" si="76"/>
        <v>-0.10570443585679909</v>
      </c>
      <c r="M337">
        <f t="shared" si="77"/>
        <v>-0.24958374620160972</v>
      </c>
      <c r="N337">
        <f t="shared" si="78"/>
        <v>0.13409441471788755</v>
      </c>
      <c r="O337">
        <f t="shared" si="79"/>
        <v>0.32593349517763959</v>
      </c>
    </row>
    <row r="338" spans="1:15" x14ac:dyDescent="0.3">
      <c r="A338">
        <v>44927</v>
      </c>
      <c r="B338" s="7">
        <v>100.5</v>
      </c>
      <c r="C338">
        <f t="shared" si="67"/>
        <v>4.1625379839028444E-4</v>
      </c>
      <c r="D338">
        <f t="shared" si="68"/>
        <v>-9.784895626923076E-3</v>
      </c>
      <c r="E338">
        <f t="shared" si="69"/>
        <v>-1.6239760866722716E-3</v>
      </c>
      <c r="F338">
        <f t="shared" si="70"/>
        <v>-5.7044358567976735E-3</v>
      </c>
      <c r="G338">
        <f t="shared" si="71"/>
        <v>-1.6239760866722716E-3</v>
      </c>
      <c r="H338">
        <f t="shared" si="72"/>
        <v>-9.784895626923076E-3</v>
      </c>
      <c r="I338">
        <f t="shared" si="73"/>
        <v>-1.6239760866722716E-3</v>
      </c>
      <c r="J338">
        <f t="shared" si="74"/>
        <v>4.4967135685156871E-3</v>
      </c>
      <c r="K338">
        <f t="shared" si="75"/>
        <v>-1.6239760866722716E-3</v>
      </c>
      <c r="L338">
        <f t="shared" si="76"/>
        <v>-5.7044358567976735E-3</v>
      </c>
      <c r="M338">
        <f t="shared" si="77"/>
        <v>4.4967135685156871E-3</v>
      </c>
      <c r="N338">
        <f t="shared" si="78"/>
        <v>1.0617403223703645E-2</v>
      </c>
      <c r="O338">
        <f t="shared" si="79"/>
        <v>-5.7044358567976735E-3</v>
      </c>
    </row>
    <row r="339" spans="1:15" x14ac:dyDescent="0.3">
      <c r="A339">
        <v>44958</v>
      </c>
      <c r="B339" s="7">
        <v>100.5</v>
      </c>
      <c r="C339">
        <f t="shared" si="67"/>
        <v>4.1625379839028444E-4</v>
      </c>
      <c r="D339">
        <f t="shared" si="68"/>
        <v>4.1625379839028444E-4</v>
      </c>
      <c r="E339">
        <f t="shared" si="69"/>
        <v>-9.784895626923076E-3</v>
      </c>
      <c r="F339">
        <f t="shared" si="70"/>
        <v>-1.6239760866722716E-3</v>
      </c>
      <c r="G339">
        <f t="shared" si="71"/>
        <v>-5.7044358567976735E-3</v>
      </c>
      <c r="H339">
        <f t="shared" si="72"/>
        <v>-1.6239760866722716E-3</v>
      </c>
      <c r="I339">
        <f t="shared" si="73"/>
        <v>-9.784895626923076E-3</v>
      </c>
      <c r="J339">
        <f t="shared" si="74"/>
        <v>-1.6239760866722716E-3</v>
      </c>
      <c r="K339">
        <f t="shared" si="75"/>
        <v>4.4967135685156871E-3</v>
      </c>
      <c r="L339">
        <f t="shared" si="76"/>
        <v>-1.6239760866722716E-3</v>
      </c>
      <c r="M339">
        <f t="shared" si="77"/>
        <v>-5.7044358567976735E-3</v>
      </c>
      <c r="N339">
        <f t="shared" si="78"/>
        <v>4.4967135685156871E-3</v>
      </c>
      <c r="O339">
        <f t="shared" si="79"/>
        <v>1.0617403223703645E-2</v>
      </c>
    </row>
    <row r="340" spans="1:15" x14ac:dyDescent="0.3">
      <c r="A340">
        <v>44986</v>
      </c>
      <c r="B340" s="7">
        <v>99.8</v>
      </c>
      <c r="C340">
        <f t="shared" si="67"/>
        <v>0.46185303540751677</v>
      </c>
      <c r="D340">
        <f t="shared" si="68"/>
        <v>-1.3865355397048479E-2</v>
      </c>
      <c r="E340">
        <f t="shared" si="69"/>
        <v>-1.3865355397048479E-2</v>
      </c>
      <c r="F340">
        <f t="shared" si="70"/>
        <v>0.32593349517763959</v>
      </c>
      <c r="G340">
        <f t="shared" si="71"/>
        <v>5.4094414717885272E-2</v>
      </c>
      <c r="H340">
        <f t="shared" si="72"/>
        <v>0.19001395494776244</v>
      </c>
      <c r="I340">
        <f t="shared" si="73"/>
        <v>5.4094414717885272E-2</v>
      </c>
      <c r="J340">
        <f t="shared" si="74"/>
        <v>0.32593349517763959</v>
      </c>
      <c r="K340">
        <f t="shared" si="75"/>
        <v>5.4094414717885272E-2</v>
      </c>
      <c r="L340">
        <f t="shared" si="76"/>
        <v>-0.14978489562692562</v>
      </c>
      <c r="M340">
        <f t="shared" si="77"/>
        <v>5.4094414717885272E-2</v>
      </c>
      <c r="N340">
        <f t="shared" si="78"/>
        <v>0.19001395494776244</v>
      </c>
      <c r="O340">
        <f t="shared" si="79"/>
        <v>-0.14978489562692562</v>
      </c>
    </row>
    <row r="341" spans="1:15" x14ac:dyDescent="0.3">
      <c r="A341">
        <v>45017</v>
      </c>
      <c r="B341" s="7">
        <v>99.7</v>
      </c>
      <c r="C341">
        <f t="shared" si="67"/>
        <v>0.60777257563738307</v>
      </c>
      <c r="D341">
        <f t="shared" si="68"/>
        <v>0.52981280552245047</v>
      </c>
      <c r="E341">
        <f t="shared" si="69"/>
        <v>-1.5905585282111036E-2</v>
      </c>
      <c r="F341">
        <f t="shared" si="70"/>
        <v>-1.5905585282111036E-2</v>
      </c>
      <c r="G341">
        <f t="shared" si="71"/>
        <v>0.37389326529257416</v>
      </c>
      <c r="H341">
        <f t="shared" si="72"/>
        <v>6.2054184832821581E-2</v>
      </c>
      <c r="I341">
        <f t="shared" si="73"/>
        <v>0.21797372506269788</v>
      </c>
      <c r="J341">
        <f t="shared" si="74"/>
        <v>6.2054184832821581E-2</v>
      </c>
      <c r="K341">
        <f t="shared" si="75"/>
        <v>0.37389326529257416</v>
      </c>
      <c r="L341">
        <f t="shared" si="76"/>
        <v>6.2054184832821581E-2</v>
      </c>
      <c r="M341">
        <f t="shared" si="77"/>
        <v>-0.17182512551198734</v>
      </c>
      <c r="N341">
        <f t="shared" si="78"/>
        <v>6.2054184832821581E-2</v>
      </c>
      <c r="O341">
        <f t="shared" si="79"/>
        <v>0.21797372506269788</v>
      </c>
    </row>
    <row r="342" spans="1:15" x14ac:dyDescent="0.3">
      <c r="A342">
        <v>45047</v>
      </c>
      <c r="B342" s="7">
        <v>100</v>
      </c>
      <c r="C342">
        <f t="shared" si="67"/>
        <v>0.23001395494776355</v>
      </c>
      <c r="D342">
        <f t="shared" si="68"/>
        <v>0.37389326529257416</v>
      </c>
      <c r="E342">
        <f t="shared" si="69"/>
        <v>0.32593349517763959</v>
      </c>
      <c r="F342">
        <f t="shared" si="70"/>
        <v>-9.784895626923076E-3</v>
      </c>
      <c r="G342">
        <f t="shared" si="71"/>
        <v>-9.784895626923076E-3</v>
      </c>
      <c r="H342">
        <f t="shared" si="72"/>
        <v>0.23001395494776355</v>
      </c>
      <c r="I342">
        <f t="shared" si="73"/>
        <v>3.8174874488011525E-2</v>
      </c>
      <c r="J342">
        <f t="shared" si="74"/>
        <v>0.13409441471788755</v>
      </c>
      <c r="K342">
        <f t="shared" si="75"/>
        <v>3.8174874488011525E-2</v>
      </c>
      <c r="L342">
        <f t="shared" si="76"/>
        <v>0.23001395494776355</v>
      </c>
      <c r="M342">
        <f t="shared" si="77"/>
        <v>3.8174874488011525E-2</v>
      </c>
      <c r="N342">
        <f t="shared" si="78"/>
        <v>-0.10570443585679909</v>
      </c>
      <c r="O342">
        <f t="shared" si="79"/>
        <v>3.8174874488011525E-2</v>
      </c>
    </row>
    <row r="343" spans="1:15" x14ac:dyDescent="0.3">
      <c r="A343">
        <v>45078</v>
      </c>
      <c r="B343" s="7">
        <v>100.3</v>
      </c>
      <c r="C343">
        <f t="shared" si="67"/>
        <v>3.2255334258140617E-2</v>
      </c>
      <c r="D343">
        <f t="shared" si="68"/>
        <v>8.6134644602952948E-2</v>
      </c>
      <c r="E343">
        <f t="shared" si="69"/>
        <v>0.14001395494776528</v>
      </c>
      <c r="F343">
        <f t="shared" si="70"/>
        <v>0.12205418483282868</v>
      </c>
      <c r="G343">
        <f t="shared" si="71"/>
        <v>-3.664205971735118E-3</v>
      </c>
      <c r="H343">
        <f t="shared" si="72"/>
        <v>-3.664205971735118E-3</v>
      </c>
      <c r="I343">
        <f t="shared" si="73"/>
        <v>8.6134644602952948E-2</v>
      </c>
      <c r="J343">
        <f t="shared" si="74"/>
        <v>1.4295564143201473E-2</v>
      </c>
      <c r="K343">
        <f t="shared" si="75"/>
        <v>5.0215104373077211E-2</v>
      </c>
      <c r="L343">
        <f t="shared" si="76"/>
        <v>1.4295564143201473E-2</v>
      </c>
      <c r="M343">
        <f t="shared" si="77"/>
        <v>8.6134644602952948E-2</v>
      </c>
      <c r="N343">
        <f t="shared" si="78"/>
        <v>1.4295564143201473E-2</v>
      </c>
      <c r="O343">
        <f t="shared" si="79"/>
        <v>-3.9583746201610849E-2</v>
      </c>
    </row>
    <row r="344" spans="1:15" x14ac:dyDescent="0.3">
      <c r="A344">
        <v>45108</v>
      </c>
      <c r="B344" s="7">
        <v>100.5</v>
      </c>
      <c r="C344">
        <f t="shared" si="67"/>
        <v>4.1625379839028444E-4</v>
      </c>
      <c r="D344">
        <f t="shared" si="68"/>
        <v>-3.664205971735118E-3</v>
      </c>
      <c r="E344">
        <f t="shared" si="69"/>
        <v>-9.784895626923076E-3</v>
      </c>
      <c r="F344">
        <f t="shared" si="70"/>
        <v>-1.5905585282111036E-2</v>
      </c>
      <c r="G344">
        <f t="shared" si="71"/>
        <v>-1.3865355397048479E-2</v>
      </c>
      <c r="H344">
        <f t="shared" si="72"/>
        <v>4.1625379839028444E-4</v>
      </c>
      <c r="I344">
        <f t="shared" si="73"/>
        <v>4.1625379839028444E-4</v>
      </c>
      <c r="J344">
        <f t="shared" si="74"/>
        <v>-9.784895626923076E-3</v>
      </c>
      <c r="K344">
        <f t="shared" si="75"/>
        <v>-1.6239760866722716E-3</v>
      </c>
      <c r="L344">
        <f t="shared" si="76"/>
        <v>-5.7044358567976735E-3</v>
      </c>
      <c r="M344">
        <f t="shared" si="77"/>
        <v>-1.6239760866722716E-3</v>
      </c>
      <c r="N344">
        <f t="shared" si="78"/>
        <v>-9.784895626923076E-3</v>
      </c>
      <c r="O344">
        <f t="shared" si="79"/>
        <v>-1.6239760866722716E-3</v>
      </c>
    </row>
    <row r="345" spans="1:15" x14ac:dyDescent="0.3">
      <c r="A345">
        <v>45139</v>
      </c>
      <c r="B345" s="7">
        <v>100.9</v>
      </c>
      <c r="C345">
        <f t="shared" si="67"/>
        <v>0.17673809287889644</v>
      </c>
      <c r="D345">
        <f t="shared" si="68"/>
        <v>8.5771733386410896E-3</v>
      </c>
      <c r="E345">
        <f t="shared" si="69"/>
        <v>-7.5503286431486585E-2</v>
      </c>
      <c r="F345">
        <f t="shared" si="70"/>
        <v>-0.20162397608667512</v>
      </c>
      <c r="G345">
        <f t="shared" si="71"/>
        <v>-0.32774466574186362</v>
      </c>
      <c r="H345">
        <f t="shared" si="72"/>
        <v>-0.28570443585680277</v>
      </c>
      <c r="I345">
        <f t="shared" si="73"/>
        <v>8.5771733386410896E-3</v>
      </c>
      <c r="J345">
        <f t="shared" si="74"/>
        <v>8.5771733386410896E-3</v>
      </c>
      <c r="K345">
        <f t="shared" si="75"/>
        <v>-0.20162397608667512</v>
      </c>
      <c r="L345">
        <f t="shared" si="76"/>
        <v>-3.3463056546419762E-2</v>
      </c>
      <c r="M345">
        <f t="shared" si="77"/>
        <v>-0.11754351631654744</v>
      </c>
      <c r="N345">
        <f t="shared" si="78"/>
        <v>-3.3463056546419762E-2</v>
      </c>
      <c r="O345">
        <f t="shared" si="79"/>
        <v>-0.20162397608667512</v>
      </c>
    </row>
    <row r="346" spans="1:15" x14ac:dyDescent="0.3">
      <c r="A346">
        <v>45170</v>
      </c>
      <c r="B346" s="7">
        <v>101.1</v>
      </c>
      <c r="C346">
        <f t="shared" si="67"/>
        <v>0.38489901241913532</v>
      </c>
      <c r="D346">
        <f t="shared" si="68"/>
        <v>0.26081855264901815</v>
      </c>
      <c r="E346">
        <f t="shared" si="69"/>
        <v>1.2657633108766201E-2</v>
      </c>
      <c r="F346">
        <f t="shared" si="70"/>
        <v>-0.11142282666135978</v>
      </c>
      <c r="G346">
        <f t="shared" si="71"/>
        <v>-0.2975435163165443</v>
      </c>
      <c r="H346">
        <f t="shared" si="72"/>
        <v>-0.48366420597172888</v>
      </c>
      <c r="I346">
        <f t="shared" si="73"/>
        <v>-0.42162397608667029</v>
      </c>
      <c r="J346">
        <f t="shared" si="74"/>
        <v>1.2657633108766201E-2</v>
      </c>
      <c r="K346">
        <f t="shared" si="75"/>
        <v>1.2657633108766201E-2</v>
      </c>
      <c r="L346">
        <f t="shared" si="76"/>
        <v>-0.2975435163165443</v>
      </c>
      <c r="M346">
        <f t="shared" si="77"/>
        <v>-4.9382596776292378E-2</v>
      </c>
      <c r="N346">
        <f t="shared" si="78"/>
        <v>-0.17346305654641836</v>
      </c>
      <c r="O346">
        <f t="shared" si="79"/>
        <v>-4.9382596776292378E-2</v>
      </c>
    </row>
    <row r="347" spans="1:15" x14ac:dyDescent="0.3">
      <c r="A347">
        <v>45200</v>
      </c>
      <c r="B347" s="7">
        <v>100.1</v>
      </c>
      <c r="C347">
        <f t="shared" si="67"/>
        <v>0.14409441471789322</v>
      </c>
      <c r="D347">
        <f t="shared" si="68"/>
        <v>-0.23550328643148574</v>
      </c>
      <c r="E347">
        <f t="shared" si="69"/>
        <v>-0.15958374620161425</v>
      </c>
      <c r="F347">
        <f t="shared" si="70"/>
        <v>-7.7446657418605196E-3</v>
      </c>
      <c r="G347">
        <f t="shared" si="71"/>
        <v>6.8174874488016346E-2</v>
      </c>
      <c r="H347">
        <f t="shared" si="72"/>
        <v>0.18205418483282895</v>
      </c>
      <c r="I347">
        <f t="shared" si="73"/>
        <v>0.29593349517764156</v>
      </c>
      <c r="J347">
        <f t="shared" si="74"/>
        <v>0.25797372506270583</v>
      </c>
      <c r="K347">
        <f t="shared" si="75"/>
        <v>-7.7446657418605196E-3</v>
      </c>
      <c r="L347">
        <f t="shared" si="76"/>
        <v>-7.7446657418605196E-3</v>
      </c>
      <c r="M347">
        <f t="shared" si="77"/>
        <v>0.18205418483282895</v>
      </c>
      <c r="N347">
        <f t="shared" si="78"/>
        <v>3.021510437307522E-2</v>
      </c>
      <c r="O347">
        <f t="shared" si="79"/>
        <v>0.10613464460295209</v>
      </c>
    </row>
    <row r="348" spans="1:15" x14ac:dyDescent="0.3">
      <c r="A348">
        <v>45231</v>
      </c>
      <c r="B348" s="7">
        <v>100.3</v>
      </c>
      <c r="C348">
        <f t="shared" si="67"/>
        <v>3.2255334258140617E-2</v>
      </c>
      <c r="D348">
        <f t="shared" si="68"/>
        <v>6.8174874488016346E-2</v>
      </c>
      <c r="E348">
        <f t="shared" si="69"/>
        <v>-0.11142282666135978</v>
      </c>
      <c r="F348">
        <f t="shared" si="70"/>
        <v>-7.5503286431486585E-2</v>
      </c>
      <c r="G348">
        <f t="shared" si="71"/>
        <v>-3.664205971735118E-3</v>
      </c>
      <c r="H348">
        <f t="shared" si="72"/>
        <v>3.2255334258140617E-2</v>
      </c>
      <c r="I348">
        <f t="shared" si="73"/>
        <v>8.6134644602952948E-2</v>
      </c>
      <c r="J348">
        <f t="shared" si="74"/>
        <v>0.14001395494776528</v>
      </c>
      <c r="K348">
        <f t="shared" si="75"/>
        <v>0.12205418483282868</v>
      </c>
      <c r="L348">
        <f t="shared" si="76"/>
        <v>-3.664205971735118E-3</v>
      </c>
      <c r="M348">
        <f t="shared" si="77"/>
        <v>-3.664205971735118E-3</v>
      </c>
      <c r="N348">
        <f t="shared" si="78"/>
        <v>8.6134644602952948E-2</v>
      </c>
      <c r="O348">
        <f t="shared" si="79"/>
        <v>1.4295564143201473E-2</v>
      </c>
    </row>
    <row r="349" spans="1:15" x14ac:dyDescent="0.3">
      <c r="A349">
        <v>45261</v>
      </c>
      <c r="B349" s="7">
        <v>100.1</v>
      </c>
      <c r="C349">
        <f t="shared" si="67"/>
        <v>0.14409441471789322</v>
      </c>
      <c r="D349">
        <f t="shared" si="68"/>
        <v>6.8174874488016346E-2</v>
      </c>
      <c r="E349">
        <f t="shared" si="69"/>
        <v>0.14409441471789322</v>
      </c>
      <c r="F349">
        <f t="shared" si="70"/>
        <v>-0.23550328643148574</v>
      </c>
      <c r="G349">
        <f t="shared" si="71"/>
        <v>-0.15958374620161425</v>
      </c>
      <c r="H349">
        <f t="shared" si="72"/>
        <v>-7.7446657418605196E-3</v>
      </c>
      <c r="I349">
        <f t="shared" si="73"/>
        <v>6.8174874488016346E-2</v>
      </c>
      <c r="J349">
        <f t="shared" si="74"/>
        <v>0.18205418483282895</v>
      </c>
      <c r="K349">
        <f t="shared" si="75"/>
        <v>0.29593349517764156</v>
      </c>
      <c r="L349">
        <f t="shared" si="76"/>
        <v>0.25797372506270583</v>
      </c>
      <c r="M349">
        <f t="shared" si="77"/>
        <v>-7.7446657418605196E-3</v>
      </c>
      <c r="N349">
        <f t="shared" si="78"/>
        <v>-7.7446657418605196E-3</v>
      </c>
      <c r="O349">
        <f t="shared" si="79"/>
        <v>0.18205418483282895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03BD-1992-4CAE-BF11-F739E2305A5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ADF</vt:lpstr>
      <vt:lpstr>ACF &amp; PACF</vt:lpstr>
      <vt:lpstr>ARIMA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Linh</dc:creator>
  <cp:lastModifiedBy>Nguyễn Đức Linh</cp:lastModifiedBy>
  <dcterms:created xsi:type="dcterms:W3CDTF">2025-05-14T17:06:42Z</dcterms:created>
  <dcterms:modified xsi:type="dcterms:W3CDTF">2025-05-14T18:06:24Z</dcterms:modified>
</cp:coreProperties>
</file>