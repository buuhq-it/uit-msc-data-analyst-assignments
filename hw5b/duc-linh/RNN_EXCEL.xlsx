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cli\Desktop\"/>
    </mc:Choice>
  </mc:AlternateContent>
  <xr:revisionPtr revIDLastSave="0" documentId="13_ncr:1_{85CF4B1E-C1DA-493C-8E5D-461A7B9DD76D}" xr6:coauthVersionLast="47" xr6:coauthVersionMax="47" xr10:uidLastSave="{00000000-0000-0000-0000-000000000000}"/>
  <bookViews>
    <workbookView xWindow="-120" yWindow="-120" windowWidth="29040" windowHeight="15720" xr2:uid="{B7C4FFE6-B34A-4D33-B6A0-8C48F3487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G21" i="1" a="1"/>
  <c r="G21" i="1" s="1"/>
  <c r="G22" i="1" a="1"/>
  <c r="G22" i="1" s="1"/>
  <c r="G20" i="1" a="1"/>
  <c r="G20" i="1" s="1"/>
  <c r="F21" i="1" a="1"/>
  <c r="F21" i="1"/>
  <c r="F22" i="1" a="1"/>
  <c r="F22" i="1"/>
  <c r="F20" i="1" a="1"/>
  <c r="F20" i="1" s="1"/>
  <c r="E21" i="1" a="1"/>
  <c r="E21" i="1"/>
  <c r="D21" i="1" a="1"/>
  <c r="D21" i="1" s="1"/>
  <c r="D27" i="1" s="1"/>
  <c r="D22" i="1" a="1"/>
  <c r="D22" i="1" s="1"/>
  <c r="D28" i="1" s="1"/>
  <c r="J7" i="1" s="1"/>
  <c r="D20" i="1" a="1"/>
  <c r="D20" i="1" s="1"/>
  <c r="D26" i="1" s="1"/>
  <c r="H7" i="1" s="1"/>
  <c r="D35" i="1" l="1" a="1"/>
  <c r="D35" i="1" s="1"/>
  <c r="D39" i="1" s="1"/>
  <c r="I7" i="1"/>
  <c r="E22" i="1" s="1" a="1"/>
  <c r="E22" i="1" s="1"/>
  <c r="E28" i="1" s="1"/>
  <c r="J9" i="1" s="1"/>
  <c r="E20" i="1" l="1" a="1"/>
  <c r="E20" i="1" s="1"/>
  <c r="E26" i="1" s="1"/>
  <c r="H9" i="1" s="1"/>
  <c r="F28" i="1"/>
  <c r="J11" i="1" s="1"/>
  <c r="F27" i="1"/>
  <c r="I11" i="1" s="1"/>
  <c r="G28" i="1"/>
  <c r="F26" i="1"/>
  <c r="G27" i="1"/>
  <c r="G26" i="1"/>
  <c r="E27" i="1"/>
  <c r="I9" i="1" s="1"/>
  <c r="G35" i="1" l="1" a="1"/>
  <c r="G35" i="1" s="1"/>
  <c r="G39" i="1" s="1"/>
  <c r="F35" i="1" a="1"/>
  <c r="F35" i="1" s="1"/>
  <c r="F39" i="1" s="1"/>
  <c r="E35" i="1" a="1"/>
  <c r="E35" i="1" s="1"/>
  <c r="E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<sst xmlns="http://schemas.openxmlformats.org/spreadsheetml/2006/main" count="25" uniqueCount="25">
  <si>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 xml:space="preserve">Kích thước input x_t: </t>
  </si>
  <si>
    <t>Kích thước hidden state h_t:</t>
  </si>
  <si>
    <t>Kích thước output y_t</t>
  </si>
  <si>
    <t xml:space="preserve">Độ dài chuỗi thời gian </t>
  </si>
  <si>
    <t>X1</t>
  </si>
  <si>
    <t>X2</t>
  </si>
  <si>
    <t>X3</t>
  </si>
  <si>
    <t>X4</t>
  </si>
  <si>
    <t>Wx</t>
  </si>
  <si>
    <t>Wh</t>
  </si>
  <si>
    <t>bh</t>
  </si>
  <si>
    <t>Hidden stage</t>
  </si>
  <si>
    <t>F1</t>
  </si>
  <si>
    <t>F{t} = Wx*X{t} + Wh*H{t-1} + bh</t>
  </si>
  <si>
    <t>H{t} = tanh(A{t})</t>
  </si>
  <si>
    <t>H1</t>
  </si>
  <si>
    <t>Wy</t>
  </si>
  <si>
    <t>by</t>
  </si>
  <si>
    <t>O{t} = Wy * H{t} + by</t>
  </si>
  <si>
    <t>Ouput</t>
  </si>
  <si>
    <t>Y1</t>
  </si>
  <si>
    <t>Y2</t>
  </si>
  <si>
    <t>Y3</t>
  </si>
  <si>
    <t>Y4</t>
  </si>
  <si>
    <t>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</si>
</sst>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091E-90B0-49DF-817B-7D7FE69C828F}">
  <dimension ref="A1:K39"/>
  <sheetViews>
    <sheetView tabSelected="1" zoomScale="85" zoomScaleNormal="85" workbookViewId="0">
      <selection activeCell="P19" sqref="P19"/>
    </sheetView>
  </sheetViews>
  <sheetFormatPr defaultRowHeight="15" x14ac:dyDescent="0.25"/>
  <cols>
    <col min="1" max="1" width="25.7109375" bestFit="1" customWidth="1"/>
    <col min="7" max="7" width="20.140625" customWidth="1"/>
    <col min="8" max="8" width="13.7109375" customWidth="1"/>
  </cols>
  <sheetData>
    <row r="1" spans="1:11" x14ac:dyDescent="0.25">
      <c r="A1" t="s">
        <v>0</v>
      </c>
      <c r="B1">
        <v>4</v>
      </c>
    </row>
    <row r="2" spans="1:11" x14ac:dyDescent="0.25">
      <c r="A2" t="s">
        <v>1</v>
      </c>
      <c r="B2">
        <v>3</v>
      </c>
    </row>
    <row r="3" spans="1:11" x14ac:dyDescent="0.25">
      <c r="A3" t="s">
        <v>2</v>
      </c>
      <c r="B3">
        <v>1</v>
      </c>
    </row>
    <row r="4" spans="1:11" x14ac:dyDescent="0.25">
      <c r="A4" t="s">
        <v>3</v>
      </c>
      <c r="B4">
        <v>4</v>
      </c>
      <c r="D4" t="s">
        <v>4</v>
      </c>
      <c r="H4" t="s">
        <v>11</v>
      </c>
    </row>
    <row r="5" spans="1:11" x14ac:dyDescent="0.25">
      <c r="D5" s="2">
        <v>2</v>
      </c>
      <c r="E5" s="2">
        <v>-1</v>
      </c>
      <c r="F5" s="2">
        <v>0</v>
      </c>
      <c r="G5" s="2">
        <v>1</v>
      </c>
      <c r="H5" s="3">
        <v>0</v>
      </c>
      <c r="I5" s="3">
        <v>0</v>
      </c>
      <c r="J5" s="3">
        <v>0</v>
      </c>
      <c r="K5" s="1">
        <v>1</v>
      </c>
    </row>
    <row r="6" spans="1:11" x14ac:dyDescent="0.25">
      <c r="D6" t="s">
        <v>5</v>
      </c>
    </row>
    <row r="7" spans="1:11" x14ac:dyDescent="0.25">
      <c r="D7" s="2">
        <v>1</v>
      </c>
      <c r="E7" s="2">
        <v>0</v>
      </c>
      <c r="F7" s="2">
        <v>1</v>
      </c>
      <c r="G7" s="2">
        <v>0</v>
      </c>
      <c r="H7" s="5">
        <f>D26</f>
        <v>0.99932929973906692</v>
      </c>
      <c r="I7" s="5">
        <f>D27</f>
        <v>-0.99505475368673058</v>
      </c>
      <c r="J7" s="5">
        <f>D28</f>
        <v>-0.76159415595576485</v>
      </c>
      <c r="K7" s="1">
        <v>1</v>
      </c>
    </row>
    <row r="8" spans="1:11" x14ac:dyDescent="0.25">
      <c r="D8" t="s">
        <v>6</v>
      </c>
    </row>
    <row r="9" spans="1:11" x14ac:dyDescent="0.25">
      <c r="D9" s="2">
        <v>1</v>
      </c>
      <c r="E9" s="2">
        <v>1</v>
      </c>
      <c r="F9" s="2">
        <v>0</v>
      </c>
      <c r="G9" s="2">
        <v>0</v>
      </c>
      <c r="H9" s="5">
        <f>E26</f>
        <v>0.84480840963339454</v>
      </c>
      <c r="I9" s="5">
        <f>E27</f>
        <v>-0.94212754684389821</v>
      </c>
      <c r="J9" s="5">
        <f>E28</f>
        <v>4.945206000904266E-3</v>
      </c>
      <c r="K9" s="1">
        <v>1</v>
      </c>
    </row>
    <row r="10" spans="1:11" x14ac:dyDescent="0.25">
      <c r="D10" t="s">
        <v>7</v>
      </c>
    </row>
    <row r="11" spans="1:11" x14ac:dyDescent="0.25">
      <c r="D11" s="2">
        <v>1</v>
      </c>
      <c r="E11" s="2">
        <v>2</v>
      </c>
      <c r="F11" s="2">
        <v>-1</v>
      </c>
      <c r="G11" s="2">
        <v>2</v>
      </c>
      <c r="H11" s="5">
        <f>F26</f>
        <v>0.99332710896593535</v>
      </c>
      <c r="I11" s="5">
        <f>F27</f>
        <v>6.2735161988205848E-2</v>
      </c>
      <c r="J11" s="5">
        <f>F28</f>
        <v>0.78484821598210719</v>
      </c>
      <c r="K11" s="1">
        <v>1</v>
      </c>
    </row>
    <row r="13" spans="1:11" x14ac:dyDescent="0.25">
      <c r="D13" s="7" t="s">
        <v>8</v>
      </c>
      <c r="E13" s="7"/>
      <c r="F13" s="7"/>
      <c r="G13" s="7"/>
      <c r="H13" s="8" t="s">
        <v>9</v>
      </c>
      <c r="I13" s="8"/>
      <c r="J13" s="8"/>
      <c r="K13" s="2" t="s">
        <v>10</v>
      </c>
    </row>
    <row r="14" spans="1:11" x14ac:dyDescent="0.25">
      <c r="D14" s="7">
        <v>1</v>
      </c>
      <c r="E14" s="7">
        <v>0</v>
      </c>
      <c r="F14" s="7">
        <v>-1</v>
      </c>
      <c r="G14" s="7">
        <v>1</v>
      </c>
      <c r="H14" s="8">
        <v>1</v>
      </c>
      <c r="I14" s="8">
        <v>0</v>
      </c>
      <c r="J14" s="8">
        <v>1</v>
      </c>
      <c r="K14" s="2">
        <v>1</v>
      </c>
    </row>
    <row r="15" spans="1:11" x14ac:dyDescent="0.25">
      <c r="D15" s="7">
        <v>0</v>
      </c>
      <c r="E15" s="7">
        <v>2</v>
      </c>
      <c r="F15" s="7">
        <v>1</v>
      </c>
      <c r="G15" s="7">
        <v>0</v>
      </c>
      <c r="H15" s="8">
        <v>0</v>
      </c>
      <c r="I15" s="8">
        <v>1</v>
      </c>
      <c r="J15" s="8">
        <v>1</v>
      </c>
      <c r="K15" s="2">
        <v>-1</v>
      </c>
    </row>
    <row r="16" spans="1:11" x14ac:dyDescent="0.25">
      <c r="D16" s="7">
        <v>1</v>
      </c>
      <c r="E16" s="7">
        <v>2</v>
      </c>
      <c r="F16" s="7">
        <v>1</v>
      </c>
      <c r="G16" s="7">
        <v>0</v>
      </c>
      <c r="H16" s="8">
        <v>0</v>
      </c>
      <c r="I16" s="8">
        <v>1</v>
      </c>
      <c r="J16" s="8">
        <v>0</v>
      </c>
      <c r="K16" s="2">
        <v>-1</v>
      </c>
    </row>
    <row r="18" spans="4:7" x14ac:dyDescent="0.25">
      <c r="D18" s="4" t="s">
        <v>13</v>
      </c>
    </row>
    <row r="19" spans="4:7" x14ac:dyDescent="0.25">
      <c r="D19" t="s">
        <v>12</v>
      </c>
    </row>
    <row r="20" spans="4:7" x14ac:dyDescent="0.25">
      <c r="D20" cm="1">
        <f t="array" ref="D20">MMULT($D14:$K14,TRANSPOSE($D$5:$K$5))</f>
        <v>4</v>
      </c>
      <c r="E20" cm="1">
        <f t="array" ref="E20">MMULT($D14:$K14,TRANSPOSE($D$7:$K$7))</f>
        <v>1.237735143783302</v>
      </c>
      <c r="F20" cm="1">
        <f t="array" ref="F20">MMULT($D14:$K14,TRANSPOSE($D$9:$K$9))</f>
        <v>2.8497536156342989</v>
      </c>
      <c r="G20" cm="1">
        <f t="array" ref="G20">MMULT($D14:$K14,TRANSPOSE($D$11:$K$11))</f>
        <v>6.7781753249480428</v>
      </c>
    </row>
    <row r="21" spans="4:7" x14ac:dyDescent="0.25">
      <c r="D21" cm="1">
        <f t="array" ref="D21">MMULT($D15:$K15,TRANSPOSE($D$5:$K$5))</f>
        <v>-3</v>
      </c>
      <c r="E21" cm="1">
        <f t="array" ref="E21">MMULT($D15:$K15,TRANSPOSE($D$7:$K$7))</f>
        <v>-1.7566489096424953</v>
      </c>
      <c r="F21" cm="1">
        <f t="array" ref="F21">MMULT($D15:$K15,TRANSPOSE($D$9:$K$9))</f>
        <v>6.2817659157005989E-2</v>
      </c>
      <c r="G21" cm="1">
        <f t="array" ref="G21">MMULT($D15:$K15,TRANSPOSE($D$11:$K$11))</f>
        <v>2.847583377970313</v>
      </c>
    </row>
    <row r="22" spans="4:7" x14ac:dyDescent="0.25">
      <c r="D22" cm="1">
        <f t="array" ref="D22">MMULT($D16:$K16,TRANSPOSE($D$5:$K$5))</f>
        <v>-1</v>
      </c>
      <c r="E22" cm="1">
        <f t="array" ref="E22">MMULT($D16:$K16,TRANSPOSE($D$7:$K$7))</f>
        <v>4.9452463132695357E-3</v>
      </c>
      <c r="F22" cm="1">
        <f t="array" ref="F22">MMULT($D16:$K16,TRANSPOSE($D$9:$K$9))</f>
        <v>1.0578724531561017</v>
      </c>
      <c r="G22" cm="1">
        <f t="array" ref="G22">MMULT($D16:$K16,TRANSPOSE($D$11:$K$11))</f>
        <v>3.0627351619882059</v>
      </c>
    </row>
    <row r="24" spans="4:7" x14ac:dyDescent="0.25">
      <c r="D24" s="4" t="s">
        <v>14</v>
      </c>
    </row>
    <row r="25" spans="4:7" x14ac:dyDescent="0.25">
      <c r="D25" t="s">
        <v>15</v>
      </c>
    </row>
    <row r="26" spans="4:7" x14ac:dyDescent="0.25">
      <c r="D26" s="5">
        <f>TANH(D20)</f>
        <v>0.99932929973906692</v>
      </c>
      <c r="E26" s="5">
        <f>TANH(E20)</f>
        <v>0.84480840963339454</v>
      </c>
      <c r="F26" s="5">
        <f>TANH(F20)</f>
        <v>0.99332710896593535</v>
      </c>
      <c r="G26" s="10">
        <f>TANH(G20)</f>
        <v>0.99999740832135109</v>
      </c>
    </row>
    <row r="27" spans="4:7" x14ac:dyDescent="0.25">
      <c r="D27" s="5">
        <f t="shared" ref="D27:D28" si="0">TANH(D21)</f>
        <v>-0.99505475368673058</v>
      </c>
      <c r="E27" s="5">
        <f t="shared" ref="E27:G28" si="1">TANH(E21)</f>
        <v>-0.94212754684389821</v>
      </c>
      <c r="F27" s="5">
        <f t="shared" si="1"/>
        <v>6.2735161988205848E-2</v>
      </c>
      <c r="G27" s="10">
        <f t="shared" si="1"/>
        <v>0.99329817976335721</v>
      </c>
    </row>
    <row r="28" spans="4:7" x14ac:dyDescent="0.25">
      <c r="D28" s="5">
        <f t="shared" si="0"/>
        <v>-0.76159415595576485</v>
      </c>
      <c r="E28" s="5">
        <f t="shared" si="1"/>
        <v>4.945206000904266E-3</v>
      </c>
      <c r="F28" s="5">
        <f t="shared" si="1"/>
        <v>0.78484821598210719</v>
      </c>
      <c r="G28" s="10">
        <f t="shared" si="1"/>
        <v>0.99563661531598702</v>
      </c>
    </row>
    <row r="29" spans="4:7" x14ac:dyDescent="0.25">
      <c r="D29" s="6">
        <v>1</v>
      </c>
      <c r="E29" s="6">
        <v>1</v>
      </c>
      <c r="F29" s="6">
        <v>1</v>
      </c>
      <c r="G29" s="6">
        <v>1</v>
      </c>
    </row>
    <row r="31" spans="4:7" x14ac:dyDescent="0.25">
      <c r="D31" s="9" t="s">
        <v>16</v>
      </c>
      <c r="E31" s="9"/>
      <c r="F31" s="9"/>
      <c r="G31" s="9" t="s">
        <v>17</v>
      </c>
    </row>
    <row r="32" spans="4:7" x14ac:dyDescent="0.25">
      <c r="D32" s="9">
        <v>3</v>
      </c>
      <c r="E32" s="9">
        <v>0</v>
      </c>
      <c r="F32" s="9">
        <v>-1</v>
      </c>
      <c r="G32" s="9">
        <v>3</v>
      </c>
    </row>
    <row r="34" spans="3:7" x14ac:dyDescent="0.25">
      <c r="D34" t="s">
        <v>18</v>
      </c>
    </row>
    <row r="35" spans="3:7" x14ac:dyDescent="0.25">
      <c r="D35" cm="1">
        <f t="array" ref="D35">MMULT($D$32:$G$32,D26:D29)</f>
        <v>6.7595820551729657</v>
      </c>
      <c r="E35" cm="1">
        <f t="array" ref="E35">MMULT($D$32:$G$32,E26:E29)</f>
        <v>5.5294800228992802</v>
      </c>
      <c r="F35" cm="1">
        <f t="array" ref="F35">MMULT($D$32:$G$32,F26:F29)</f>
        <v>5.1951331109156991</v>
      </c>
      <c r="G35" cm="1">
        <f t="array" ref="G35">MMULT($D$32:$G$32,G26:G29)</f>
        <v>5.0043556096480666</v>
      </c>
    </row>
    <row r="37" spans="3:7" x14ac:dyDescent="0.25">
      <c r="D37" s="4" t="s">
        <v>19</v>
      </c>
    </row>
    <row r="38" spans="3:7" x14ac:dyDescent="0.25">
      <c r="D38" t="s">
        <v>20</v>
      </c>
      <c r="E38" t="s">
        <v>21</v>
      </c>
      <c r="F38" t="s">
        <v>22</v>
      </c>
      <c r="G38" t="s">
        <v>23</v>
      </c>
    </row>
    <row r="39" spans="3:7" x14ac:dyDescent="0.25">
      <c r="C39" s="11" t="s">
        <v>24</v>
      </c>
      <c r="D39" s="4">
        <f>1/(1+EXP(-D35))</f>
        <v>0.99884162960909084</v>
      </c>
      <c r="E39" s="4">
        <f>1/(1+EXP(-E35))</f>
        <v>0.99604763135486318</v>
      </c>
      <c r="F39" s="4">
        <f>1/(1+EXP(-F35))</f>
        <v>0.99448708237122485</v>
      </c>
      <c r="G39" s="4">
        <f>1/(1+EXP(-G35))</f>
        <v>0.99333604328616831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DucLinh Nguyen</dc:creator>
  <cp:lastModifiedBy>DucLinh Nguyen</cp:lastModifiedBy>
  <dcterms:created xsi:type="dcterms:W3CDTF">2025-05-21T17:22:00Z</dcterms:created>
  <dcterms:modified xsi:type="dcterms:W3CDTF">2025-05-21T18:30:19Z</dcterms:modified>
</cp:coreProperties>
</file>