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ucli\Desktop\"/>
    </mc:Choice>
  </mc:AlternateContent>
  <xr:revisionPtr revIDLastSave="0" documentId="13_ncr:1_{74B06AEC-B658-4485-B8D9-A1BBA041A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84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E84" i="1"/>
  <c r="F5" i="1"/>
  <c r="E4" i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3" i="1"/>
</calcChain>
</file>

<file path=xl/sharedStrings.xml><?xml version="1.0" encoding="utf-8"?>
<sst xmlns="http://schemas.openxmlformats.org/spreadsheetml/2006/main" count="129" uniqueCount="122">
  <si>
    <t>Date</t>
  </si>
  <si>
    <t>Matched Price</t>
  </si>
  <si>
    <t>Thursday, January 2, 2025</t>
  </si>
  <si>
    <t>Friday, January 3, 2025</t>
  </si>
  <si>
    <t>Monday, January 6, 2025</t>
  </si>
  <si>
    <t>Tuesday, January 7, 2025</t>
  </si>
  <si>
    <t>Wednesday, January 8, 2025</t>
  </si>
  <si>
    <t>Thursday, January 9, 2025</t>
  </si>
  <si>
    <t>Friday, January 10, 2025</t>
  </si>
  <si>
    <t>Monday, January 13, 2025</t>
  </si>
  <si>
    <t>Tuesday, January 14, 2025</t>
  </si>
  <si>
    <t>Wednesday, January 15, 2025</t>
  </si>
  <si>
    <t>Thursday, January 16, 2025</t>
  </si>
  <si>
    <t>Friday, January 17, 2025</t>
  </si>
  <si>
    <t>Monday, January 20, 2025</t>
  </si>
  <si>
    <t>Tuesday, January 21, 2025</t>
  </si>
  <si>
    <t>Wednesday, January 22, 2025</t>
  </si>
  <si>
    <t>Thursday, January 23, 2025</t>
  </si>
  <si>
    <t>Friday, January 24, 2025</t>
  </si>
  <si>
    <t>Monday, February 3, 2025</t>
  </si>
  <si>
    <t>Tuesday, February 4, 2025</t>
  </si>
  <si>
    <t>Wednesday, February 5, 2025</t>
  </si>
  <si>
    <t>Thursday, February 6, 2025</t>
  </si>
  <si>
    <t>Friday, February 7, 2025</t>
  </si>
  <si>
    <t>Monday, February 10, 2025</t>
  </si>
  <si>
    <t>Tuesday, February 11, 2025</t>
  </si>
  <si>
    <t>Wednesday, February 12, 2025</t>
  </si>
  <si>
    <t>Thursday, February 13, 2025</t>
  </si>
  <si>
    <t>Friday, February 14, 2025</t>
  </si>
  <si>
    <t>Monday, February 17, 2025</t>
  </si>
  <si>
    <t>Tuesday, February 18, 2025</t>
  </si>
  <si>
    <t>Wednesday, February 19, 2025</t>
  </si>
  <si>
    <t>Thursday, February 20, 2025</t>
  </si>
  <si>
    <t>Friday, February 21, 2025</t>
  </si>
  <si>
    <t>Monday, February 24, 2025</t>
  </si>
  <si>
    <t>Tuesday, February 25, 2025</t>
  </si>
  <si>
    <t>Wednesday, February 26, 2025</t>
  </si>
  <si>
    <t>Thursday, February 27, 2025</t>
  </si>
  <si>
    <t>Friday, February 28, 2025</t>
  </si>
  <si>
    <t>Monday, March 3, 2025</t>
  </si>
  <si>
    <t>Tuesday, March 4, 2025</t>
  </si>
  <si>
    <t>Wednesday, March 5, 2025</t>
  </si>
  <si>
    <t>Thursday, March 6, 2025</t>
  </si>
  <si>
    <t>Friday, March 7, 2025</t>
  </si>
  <si>
    <t>Monday, March 10, 2025</t>
  </si>
  <si>
    <t>Tuesday, March 11, 2025</t>
  </si>
  <si>
    <t>Wednesday, March 12, 2025</t>
  </si>
  <si>
    <t>Thursday, March 13, 2025</t>
  </si>
  <si>
    <t>Friday, March 14, 2025</t>
  </si>
  <si>
    <t>Monday, March 17, 2025</t>
  </si>
  <si>
    <t>Tuesday, March 18, 2025</t>
  </si>
  <si>
    <t>Wednesday, March 19, 2025</t>
  </si>
  <si>
    <t>Thursday, March 20, 2025</t>
  </si>
  <si>
    <t>Friday, March 21, 2025</t>
  </si>
  <si>
    <t>Monday, March 24, 2025</t>
  </si>
  <si>
    <t>Tuesday, March 25, 2025</t>
  </si>
  <si>
    <t>Wednesday, March 26, 2025</t>
  </si>
  <si>
    <t>Thursday, March 27, 2025</t>
  </si>
  <si>
    <t>Friday, March 28, 2025</t>
  </si>
  <si>
    <t>Monday, March 31, 2025</t>
  </si>
  <si>
    <t>Tuesday, April 1, 2025</t>
  </si>
  <si>
    <t>Wednesday, April 2, 2025</t>
  </si>
  <si>
    <t>Thursday, April 3, 2025</t>
  </si>
  <si>
    <t>Friday, April 4, 2025</t>
  </si>
  <si>
    <t>Tuesday, April 8, 2025</t>
  </si>
  <si>
    <t>Wednesday, April 9, 2025</t>
  </si>
  <si>
    <t>Thursday, April 10, 2025</t>
  </si>
  <si>
    <t>Friday, April 11, 2025</t>
  </si>
  <si>
    <t>Monday, April 14, 2025</t>
  </si>
  <si>
    <t>Tuesday, April 15, 2025</t>
  </si>
  <si>
    <t>Wednesday, April 16, 2025</t>
  </si>
  <si>
    <t>Thursday, April 17, 2025</t>
  </si>
  <si>
    <t>Friday, April 18, 2025</t>
  </si>
  <si>
    <t>Monday, April 21, 2025</t>
  </si>
  <si>
    <t>Tuesday, April 22, 2025</t>
  </si>
  <si>
    <t>Wednesday, April 23, 2025</t>
  </si>
  <si>
    <t>Thursday, April 24, 2025</t>
  </si>
  <si>
    <t>Friday, April 25, 2025</t>
  </si>
  <si>
    <t>Monday, April 28, 2025</t>
  </si>
  <si>
    <t>Tuesday, April 29, 2025</t>
  </si>
  <si>
    <t>Monday, May 5, 2025</t>
  </si>
  <si>
    <t>Tuesday, May 6, 2025</t>
  </si>
  <si>
    <t>Wednesday, May 7, 2025</t>
  </si>
  <si>
    <t>Thursday, May 8, 2025</t>
  </si>
  <si>
    <t>Friday, May 9, 2025</t>
  </si>
  <si>
    <t>Diff</t>
  </si>
  <si>
    <t>Lag</t>
  </si>
  <si>
    <t>diff_lag1</t>
  </si>
  <si>
    <t>ADF sai phân bậc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</si>
  <si>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</si>
  <si>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</si>
  <si>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</si>
  <si>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</si>
  <si>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</si>
  <si>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</si>
  <si>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</si>
  <si>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</si>
  <si>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</si>
  <si>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</si>
  <si>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</si>
  <si>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</si>
  <si>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</si>
  <si>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</si>
  <si>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</si>
  <si>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</si>
  <si>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</si>
  <si>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</si>
  <si>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</si>
  <si>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</si>
  <si>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</si>
  <si>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</si>
  <si>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</si>
  <si>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</si>
  <si>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Số lượng quan sát</t>
  </si>
  <si>
    <t>ADF Statistic</t>
  </si>
  <si>
    <t>|-3.514| (1%)</t>
  </si>
  <si>
    <t>⇒ Bác bỏ H₀ ở mức ý nghĩa 1%, 5%, và 10%.</t>
  </si>
  <si>
    <t>&lt;&lt; 0.01 ⇒ Rất có ý nghĩa thống kê.</t>
  </si>
  <si>
    <r>
      <t xml:space="preserve">⇒ Chuỗi </t>
    </r>
    <r>
      <rPr>
        <b/>
        <sz val="11"/>
        <color theme="1"/>
        <rFont val="Calibri"/>
        <family val="2"/>
        <scheme val="minor"/>
      </rPr>
      <t>sai phân bậc 1 là dừng</t>
    </r>
    <r>
      <rPr>
        <sz val="11"/>
        <color theme="1"/>
        <rFont val="Calibri"/>
        <family val="2"/>
        <scheme val="minor"/>
      </rPr>
      <t>.</t>
    </r>
  </si>
  <si>
    <t>Số lượng độ trễ = 1</t>
  </si>
  <si>
    <t>1. Kiểm tra tính dừng của chuỗi (Dickey-Fuller Test)</t>
  </si>
  <si>
    <t>Sai phân bậc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</si>
</sst>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Fill="1" applyBorder="1" applyAlignment="1"/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tabSelected="1" workbookViewId="0">
      <selection activeCell="C2" sqref="C2"/>
    </sheetView>
  </sheetViews>
  <sheetFormatPr defaultRowHeight="14.4" x14ac:dyDescent="0.3"/>
  <cols>
    <col min="2" max="2" width="12.6640625" bestFit="1" customWidth="1"/>
    <col min="3" max="3" width="19.6640625" bestFit="1" customWidth="1"/>
    <col min="4" max="4" width="12" bestFit="1" customWidth="1"/>
  </cols>
  <sheetData>
    <row r="1" spans="1:18" x14ac:dyDescent="0.3">
      <c r="A1" t="s">
        <v>0</v>
      </c>
      <c r="B1" t="s">
        <v>1</v>
      </c>
      <c r="C1" t="s">
        <v>121</v>
      </c>
      <c r="D1" t="s">
        <v>85</v>
      </c>
      <c r="E1" t="s">
        <v>86</v>
      </c>
      <c r="F1" t="s">
        <v>87</v>
      </c>
      <c r="M1" t="s">
        <v>120</v>
      </c>
    </row>
    <row r="2" spans="1:18" x14ac:dyDescent="0.3">
      <c r="A2" t="s">
        <v>2</v>
      </c>
      <c r="B2">
        <v>63.1</v>
      </c>
      <c r="M2" t="s">
        <v>89</v>
      </c>
    </row>
    <row r="3" spans="1:18" ht="15" thickBot="1" x14ac:dyDescent="0.35">
      <c r="A3" t="s">
        <v>3</v>
      </c>
      <c r="B3">
        <v>63</v>
      </c>
      <c r="C3">
        <f>B3-B2</f>
        <v>-0.10000000000000142</v>
      </c>
      <c r="I3" t="s">
        <v>88</v>
      </c>
    </row>
    <row r="4" spans="1:18" x14ac:dyDescent="0.3">
      <c r="A4" t="s">
        <v>4</v>
      </c>
      <c r="B4">
        <v>62.5</v>
      </c>
      <c r="C4">
        <f t="shared" ref="C4:D67" si="0">B4-B3</f>
        <v>-0.5</v>
      </c>
      <c r="D4">
        <f>C4-C3</f>
        <v>-0.39999999999999858</v>
      </c>
      <c r="E4">
        <f>C3</f>
        <v>-0.10000000000000142</v>
      </c>
      <c r="I4" t="s">
        <v>85</v>
      </c>
      <c r="J4" t="s">
        <v>86</v>
      </c>
      <c r="K4" t="s">
        <v>87</v>
      </c>
      <c r="M4" s="4" t="s">
        <v>90</v>
      </c>
      <c r="N4" s="4"/>
    </row>
    <row r="5" spans="1:18" x14ac:dyDescent="0.3">
      <c r="A5" t="s">
        <v>5</v>
      </c>
      <c r="B5">
        <v>61.7</v>
      </c>
      <c r="C5">
        <f t="shared" si="0"/>
        <v>-0.79999999999999716</v>
      </c>
      <c r="D5">
        <f t="shared" si="0"/>
        <v>-0.29999999999999716</v>
      </c>
      <c r="E5">
        <f t="shared" ref="E5:E68" si="1">C4</f>
        <v>-0.5</v>
      </c>
      <c r="F5">
        <f>D4</f>
        <v>-0.39999999999999858</v>
      </c>
      <c r="I5">
        <v>-0.29999999999999716</v>
      </c>
      <c r="J5">
        <v>-0.5</v>
      </c>
      <c r="K5">
        <v>-0.39999999999999858</v>
      </c>
      <c r="M5" s="1" t="s">
        <v>91</v>
      </c>
      <c r="N5" s="1">
        <v>0.76746074468640102</v>
      </c>
    </row>
    <row r="6" spans="1:18" x14ac:dyDescent="0.3">
      <c r="A6" t="s">
        <v>6</v>
      </c>
      <c r="B6">
        <v>61.7</v>
      </c>
      <c r="C6">
        <f t="shared" si="0"/>
        <v>0</v>
      </c>
      <c r="D6">
        <f t="shared" si="0"/>
        <v>0.79999999999999716</v>
      </c>
      <c r="E6">
        <f t="shared" si="1"/>
        <v>-0.79999999999999716</v>
      </c>
      <c r="F6">
        <f t="shared" ref="F6:F69" si="2">D5</f>
        <v>-0.29999999999999716</v>
      </c>
      <c r="I6">
        <v>0.79999999999999716</v>
      </c>
      <c r="J6">
        <v>-0.79999999999999716</v>
      </c>
      <c r="K6">
        <v>-0.29999999999999716</v>
      </c>
      <c r="M6" s="1" t="s">
        <v>92</v>
      </c>
      <c r="N6" s="1">
        <v>0.58899599463460528</v>
      </c>
    </row>
    <row r="7" spans="1:18" x14ac:dyDescent="0.3">
      <c r="A7" t="s">
        <v>7</v>
      </c>
      <c r="B7">
        <v>61.8</v>
      </c>
      <c r="C7">
        <f t="shared" si="0"/>
        <v>9.9999999999994316E-2</v>
      </c>
      <c r="D7">
        <f t="shared" si="0"/>
        <v>9.9999999999994316E-2</v>
      </c>
      <c r="E7">
        <f t="shared" si="1"/>
        <v>0</v>
      </c>
      <c r="F7">
        <f t="shared" si="2"/>
        <v>0.79999999999999716</v>
      </c>
      <c r="I7">
        <v>9.9999999999994316E-2</v>
      </c>
      <c r="J7">
        <v>0</v>
      </c>
      <c r="K7">
        <v>0.79999999999999716</v>
      </c>
      <c r="M7" s="1" t="s">
        <v>93</v>
      </c>
      <c r="N7" s="1">
        <v>0.57832056592381587</v>
      </c>
    </row>
    <row r="8" spans="1:18" x14ac:dyDescent="0.3">
      <c r="A8" t="s">
        <v>8</v>
      </c>
      <c r="B8">
        <v>61.3</v>
      </c>
      <c r="C8">
        <f t="shared" si="0"/>
        <v>-0.5</v>
      </c>
      <c r="D8">
        <f t="shared" si="0"/>
        <v>-0.59999999999999432</v>
      </c>
      <c r="E8">
        <f t="shared" si="1"/>
        <v>9.9999999999994316E-2</v>
      </c>
      <c r="F8">
        <f t="shared" si="2"/>
        <v>9.9999999999994316E-2</v>
      </c>
      <c r="I8">
        <v>-0.59999999999999432</v>
      </c>
      <c r="J8">
        <v>9.9999999999994316E-2</v>
      </c>
      <c r="K8">
        <v>9.9999999999994316E-2</v>
      </c>
      <c r="M8" s="1" t="s">
        <v>94</v>
      </c>
      <c r="N8" s="1">
        <v>1.0208816793926381</v>
      </c>
    </row>
    <row r="9" spans="1:18" ht="15" thickBot="1" x14ac:dyDescent="0.35">
      <c r="A9" t="s">
        <v>9</v>
      </c>
      <c r="B9">
        <v>61.4</v>
      </c>
      <c r="C9">
        <f t="shared" si="0"/>
        <v>0.10000000000000142</v>
      </c>
      <c r="D9">
        <f t="shared" si="0"/>
        <v>0.60000000000000142</v>
      </c>
      <c r="E9">
        <f t="shared" si="1"/>
        <v>-0.5</v>
      </c>
      <c r="F9">
        <f t="shared" si="2"/>
        <v>-0.59999999999999432</v>
      </c>
      <c r="I9">
        <v>0.60000000000000142</v>
      </c>
      <c r="J9">
        <v>-0.5</v>
      </c>
      <c r="K9">
        <v>-0.59999999999999432</v>
      </c>
      <c r="M9" s="2" t="s">
        <v>95</v>
      </c>
      <c r="N9" s="2">
        <v>80</v>
      </c>
      <c r="O9" t="s">
        <v>113</v>
      </c>
    </row>
    <row r="10" spans="1:18" x14ac:dyDescent="0.3">
      <c r="A10" t="s">
        <v>10</v>
      </c>
      <c r="B10">
        <v>61.6</v>
      </c>
      <c r="C10">
        <f t="shared" si="0"/>
        <v>0.20000000000000284</v>
      </c>
      <c r="D10">
        <f t="shared" si="0"/>
        <v>0.10000000000000142</v>
      </c>
      <c r="E10">
        <f t="shared" si="1"/>
        <v>0.10000000000000142</v>
      </c>
      <c r="F10">
        <f t="shared" si="2"/>
        <v>0.60000000000000142</v>
      </c>
      <c r="I10">
        <v>0.10000000000000142</v>
      </c>
      <c r="J10">
        <v>0.10000000000000142</v>
      </c>
      <c r="K10">
        <v>0.60000000000000142</v>
      </c>
    </row>
    <row r="11" spans="1:18" ht="15" thickBot="1" x14ac:dyDescent="0.35">
      <c r="A11" t="s">
        <v>11</v>
      </c>
      <c r="B11">
        <v>61.7</v>
      </c>
      <c r="C11">
        <f t="shared" si="0"/>
        <v>0.10000000000000142</v>
      </c>
      <c r="D11">
        <f t="shared" si="0"/>
        <v>-0.10000000000000142</v>
      </c>
      <c r="E11">
        <f t="shared" si="1"/>
        <v>0.20000000000000284</v>
      </c>
      <c r="F11">
        <f t="shared" si="2"/>
        <v>0.10000000000000142</v>
      </c>
      <c r="I11">
        <v>-0.10000000000000142</v>
      </c>
      <c r="J11">
        <v>0.20000000000000284</v>
      </c>
      <c r="K11">
        <v>0.10000000000000142</v>
      </c>
      <c r="M11" t="s">
        <v>96</v>
      </c>
    </row>
    <row r="12" spans="1:18" x14ac:dyDescent="0.3">
      <c r="A12" t="s">
        <v>12</v>
      </c>
      <c r="B12">
        <v>61.9</v>
      </c>
      <c r="C12">
        <f t="shared" si="0"/>
        <v>0.19999999999999574</v>
      </c>
      <c r="D12">
        <f t="shared" si="0"/>
        <v>9.9999999999994316E-2</v>
      </c>
      <c r="E12">
        <f t="shared" si="1"/>
        <v>0.10000000000000142</v>
      </c>
      <c r="F12">
        <f t="shared" si="2"/>
        <v>-0.10000000000000142</v>
      </c>
      <c r="I12">
        <v>9.9999999999994316E-2</v>
      </c>
      <c r="J12">
        <v>0.10000000000000142</v>
      </c>
      <c r="K12">
        <v>-0.10000000000000142</v>
      </c>
      <c r="M12" s="3"/>
      <c r="N12" s="3" t="s">
        <v>101</v>
      </c>
      <c r="O12" s="3" t="s">
        <v>102</v>
      </c>
      <c r="P12" s="3" t="s">
        <v>103</v>
      </c>
      <c r="Q12" s="3" t="s">
        <v>104</v>
      </c>
      <c r="R12" s="3" t="s">
        <v>105</v>
      </c>
    </row>
    <row r="13" spans="1:18" x14ac:dyDescent="0.3">
      <c r="A13" t="s">
        <v>13</v>
      </c>
      <c r="B13">
        <v>62</v>
      </c>
      <c r="C13">
        <f t="shared" si="0"/>
        <v>0.10000000000000142</v>
      </c>
      <c r="D13">
        <f t="shared" si="0"/>
        <v>-9.9999999999994316E-2</v>
      </c>
      <c r="E13">
        <f t="shared" si="1"/>
        <v>0.19999999999999574</v>
      </c>
      <c r="F13">
        <f t="shared" si="2"/>
        <v>9.9999999999994316E-2</v>
      </c>
      <c r="I13">
        <v>-9.9999999999994316E-2</v>
      </c>
      <c r="J13">
        <v>0.19999999999999574</v>
      </c>
      <c r="K13">
        <v>9.9999999999994316E-2</v>
      </c>
      <c r="M13" s="1" t="s">
        <v>97</v>
      </c>
      <c r="N13" s="1">
        <v>2</v>
      </c>
      <c r="O13" s="1">
        <v>115.00264594439597</v>
      </c>
      <c r="P13" s="1">
        <v>57.501322972197983</v>
      </c>
      <c r="Q13" s="1">
        <v>55.173053054002153</v>
      </c>
      <c r="R13" s="1">
        <v>1.3585420583880136E-15</v>
      </c>
    </row>
    <row r="14" spans="1:18" x14ac:dyDescent="0.3">
      <c r="A14" t="s">
        <v>14</v>
      </c>
      <c r="B14">
        <v>61.9</v>
      </c>
      <c r="C14">
        <f t="shared" si="0"/>
        <v>-0.10000000000000142</v>
      </c>
      <c r="D14">
        <f t="shared" si="0"/>
        <v>-0.20000000000000284</v>
      </c>
      <c r="E14">
        <f t="shared" si="1"/>
        <v>0.10000000000000142</v>
      </c>
      <c r="F14">
        <f t="shared" si="2"/>
        <v>-9.9999999999994316E-2</v>
      </c>
      <c r="I14">
        <v>-0.20000000000000284</v>
      </c>
      <c r="J14">
        <v>0.10000000000000142</v>
      </c>
      <c r="K14">
        <v>-9.9999999999994316E-2</v>
      </c>
      <c r="M14" s="1" t="s">
        <v>98</v>
      </c>
      <c r="N14" s="1">
        <v>77</v>
      </c>
      <c r="O14" s="1">
        <v>80.249354055604044</v>
      </c>
      <c r="P14" s="1">
        <v>1.042199403319533</v>
      </c>
      <c r="Q14" s="1"/>
      <c r="R14" s="1"/>
    </row>
    <row r="15" spans="1:18" ht="15" thickBot="1" x14ac:dyDescent="0.35">
      <c r="A15" t="s">
        <v>15</v>
      </c>
      <c r="B15">
        <v>61.8</v>
      </c>
      <c r="C15">
        <f t="shared" si="0"/>
        <v>-0.10000000000000142</v>
      </c>
      <c r="D15">
        <f t="shared" si="0"/>
        <v>0</v>
      </c>
      <c r="E15">
        <f t="shared" si="1"/>
        <v>-0.10000000000000142</v>
      </c>
      <c r="F15">
        <f t="shared" si="2"/>
        <v>-0.20000000000000284</v>
      </c>
      <c r="I15">
        <v>0</v>
      </c>
      <c r="J15">
        <v>-0.10000000000000142</v>
      </c>
      <c r="K15">
        <v>-0.20000000000000284</v>
      </c>
      <c r="M15" s="2" t="s">
        <v>99</v>
      </c>
      <c r="N15" s="2">
        <v>79</v>
      </c>
      <c r="O15" s="2">
        <v>195.25200000000001</v>
      </c>
      <c r="P15" s="2"/>
      <c r="Q15" s="2"/>
      <c r="R15" s="2"/>
    </row>
    <row r="16" spans="1:18" ht="15" thickBot="1" x14ac:dyDescent="0.35">
      <c r="A16" t="s">
        <v>16</v>
      </c>
      <c r="B16">
        <v>61.6</v>
      </c>
      <c r="C16">
        <f t="shared" si="0"/>
        <v>-0.19999999999999574</v>
      </c>
      <c r="D16">
        <f t="shared" si="0"/>
        <v>-9.9999999999994316E-2</v>
      </c>
      <c r="E16">
        <f t="shared" si="1"/>
        <v>-0.10000000000000142</v>
      </c>
      <c r="F16">
        <f t="shared" si="2"/>
        <v>0</v>
      </c>
      <c r="I16">
        <v>-9.9999999999994316E-2</v>
      </c>
      <c r="J16">
        <v>-0.10000000000000142</v>
      </c>
      <c r="K16">
        <v>0</v>
      </c>
    </row>
    <row r="17" spans="1:21" x14ac:dyDescent="0.3">
      <c r="A17" t="s">
        <v>17</v>
      </c>
      <c r="B17">
        <v>62</v>
      </c>
      <c r="C17">
        <f t="shared" si="0"/>
        <v>0.39999999999999858</v>
      </c>
      <c r="D17">
        <f t="shared" si="0"/>
        <v>0.59999999999999432</v>
      </c>
      <c r="E17">
        <f t="shared" si="1"/>
        <v>-0.19999999999999574</v>
      </c>
      <c r="F17">
        <f t="shared" si="2"/>
        <v>-9.9999999999994316E-2</v>
      </c>
      <c r="I17">
        <v>0.59999999999999432</v>
      </c>
      <c r="J17">
        <v>-0.19999999999999574</v>
      </c>
      <c r="K17">
        <v>-9.9999999999994316E-2</v>
      </c>
      <c r="M17" s="3"/>
      <c r="N17" s="3" t="s">
        <v>106</v>
      </c>
      <c r="O17" s="3" t="s">
        <v>94</v>
      </c>
      <c r="P17" s="3" t="s">
        <v>107</v>
      </c>
      <c r="Q17" s="3" t="s">
        <v>108</v>
      </c>
      <c r="R17" s="3" t="s">
        <v>109</v>
      </c>
      <c r="S17" s="3" t="s">
        <v>110</v>
      </c>
      <c r="T17" s="3" t="s">
        <v>111</v>
      </c>
      <c r="U17" s="3" t="s">
        <v>112</v>
      </c>
    </row>
    <row r="18" spans="1:21" x14ac:dyDescent="0.3">
      <c r="A18" t="s">
        <v>18</v>
      </c>
      <c r="B18">
        <v>62.2</v>
      </c>
      <c r="C18">
        <f t="shared" si="0"/>
        <v>0.20000000000000284</v>
      </c>
      <c r="D18">
        <f t="shared" si="0"/>
        <v>-0.19999999999999574</v>
      </c>
      <c r="E18">
        <f t="shared" si="1"/>
        <v>0.39999999999999858</v>
      </c>
      <c r="F18">
        <f t="shared" si="2"/>
        <v>0.59999999999999432</v>
      </c>
      <c r="I18">
        <v>-0.19999999999999574</v>
      </c>
      <c r="J18">
        <v>0.39999999999999858</v>
      </c>
      <c r="K18">
        <v>0.59999999999999432</v>
      </c>
      <c r="M18" s="1" t="s">
        <v>100</v>
      </c>
      <c r="N18" s="1">
        <v>-8.7520485931128239E-2</v>
      </c>
      <c r="O18" s="1">
        <v>0.1147905958494299</v>
      </c>
      <c r="P18" s="1">
        <v>-0.76243602782520892</v>
      </c>
      <c r="Q18" s="1">
        <v>0.44812913616322658</v>
      </c>
      <c r="R18" s="1">
        <v>-0.31609776446555721</v>
      </c>
      <c r="S18" s="1">
        <v>0.14105679260330073</v>
      </c>
      <c r="T18" s="1">
        <v>-0.31609776446555721</v>
      </c>
      <c r="U18" s="1">
        <v>0.14105679260330073</v>
      </c>
    </row>
    <row r="19" spans="1:21" x14ac:dyDescent="0.3">
      <c r="A19" t="s">
        <v>19</v>
      </c>
      <c r="B19">
        <v>60.6</v>
      </c>
      <c r="C19">
        <f t="shared" si="0"/>
        <v>-1.6000000000000014</v>
      </c>
      <c r="D19">
        <f t="shared" si="0"/>
        <v>-1.8000000000000043</v>
      </c>
      <c r="E19">
        <f t="shared" si="1"/>
        <v>0.20000000000000284</v>
      </c>
      <c r="F19">
        <f t="shared" si="2"/>
        <v>-0.19999999999999574</v>
      </c>
      <c r="I19">
        <v>-1.8000000000000043</v>
      </c>
      <c r="J19">
        <v>0.20000000000000284</v>
      </c>
      <c r="K19">
        <v>-0.19999999999999574</v>
      </c>
      <c r="M19" s="1" t="s">
        <v>86</v>
      </c>
      <c r="N19" s="1">
        <v>-1.3782729798660533</v>
      </c>
      <c r="O19" s="6">
        <v>0.16850620510734385</v>
      </c>
      <c r="P19" s="5">
        <v>-8.1793603920285864</v>
      </c>
      <c r="Q19" s="5">
        <v>4.5899564740384239E-12</v>
      </c>
      <c r="R19" s="1">
        <v>-1.7138117014362684</v>
      </c>
      <c r="S19" s="1">
        <v>-1.0427342582958383</v>
      </c>
      <c r="T19" s="1">
        <v>-1.7138117014362684</v>
      </c>
      <c r="U19" s="1">
        <v>-1.0427342582958383</v>
      </c>
    </row>
    <row r="20" spans="1:21" ht="15" thickBot="1" x14ac:dyDescent="0.35">
      <c r="A20" t="s">
        <v>20</v>
      </c>
      <c r="B20">
        <v>60.2</v>
      </c>
      <c r="C20">
        <f t="shared" si="0"/>
        <v>-0.39999999999999858</v>
      </c>
      <c r="D20">
        <f t="shared" si="0"/>
        <v>1.2000000000000028</v>
      </c>
      <c r="E20">
        <f t="shared" si="1"/>
        <v>-1.6000000000000014</v>
      </c>
      <c r="F20">
        <f t="shared" si="2"/>
        <v>-1.8000000000000043</v>
      </c>
      <c r="I20">
        <v>1.2000000000000028</v>
      </c>
      <c r="J20">
        <v>-1.6000000000000014</v>
      </c>
      <c r="K20">
        <v>-1.8000000000000043</v>
      </c>
      <c r="M20" s="2" t="s">
        <v>87</v>
      </c>
      <c r="N20" s="2">
        <v>0.2082754681009063</v>
      </c>
      <c r="O20" s="2">
        <v>0.1115427933200326</v>
      </c>
      <c r="P20" s="2">
        <v>1.8672247834365552</v>
      </c>
      <c r="Q20" s="2">
        <v>6.5676124467743499E-2</v>
      </c>
      <c r="R20" s="2">
        <v>-1.3834609371506768E-2</v>
      </c>
      <c r="S20" s="2">
        <v>0.43038554557331937</v>
      </c>
      <c r="T20" s="2">
        <v>-1.3834609371506768E-2</v>
      </c>
      <c r="U20" s="2">
        <v>0.43038554557331937</v>
      </c>
    </row>
    <row r="21" spans="1:21" x14ac:dyDescent="0.3">
      <c r="A21" t="s">
        <v>21</v>
      </c>
      <c r="B21">
        <v>61.5</v>
      </c>
      <c r="C21">
        <f t="shared" si="0"/>
        <v>1.2999999999999972</v>
      </c>
      <c r="D21">
        <f t="shared" si="0"/>
        <v>1.6999999999999957</v>
      </c>
      <c r="E21">
        <f t="shared" si="1"/>
        <v>-0.39999999999999858</v>
      </c>
      <c r="F21">
        <f t="shared" si="2"/>
        <v>1.2000000000000028</v>
      </c>
      <c r="I21">
        <v>1.6999999999999957</v>
      </c>
      <c r="J21">
        <v>-0.39999999999999858</v>
      </c>
      <c r="K21">
        <v>1.2000000000000028</v>
      </c>
    </row>
    <row r="22" spans="1:21" ht="15" thickBot="1" x14ac:dyDescent="0.35">
      <c r="A22" t="s">
        <v>22</v>
      </c>
      <c r="B22">
        <v>60.7</v>
      </c>
      <c r="C22">
        <f t="shared" si="0"/>
        <v>-0.79999999999999716</v>
      </c>
      <c r="D22">
        <f t="shared" si="0"/>
        <v>-2.0999999999999943</v>
      </c>
      <c r="E22">
        <f t="shared" si="1"/>
        <v>1.2999999999999972</v>
      </c>
      <c r="F22">
        <f t="shared" si="2"/>
        <v>1.6999999999999957</v>
      </c>
      <c r="I22">
        <v>-2.0999999999999943</v>
      </c>
      <c r="J22">
        <v>1.2999999999999972</v>
      </c>
      <c r="K22">
        <v>1.6999999999999957</v>
      </c>
      <c r="M22" t="s">
        <v>114</v>
      </c>
      <c r="N22">
        <v>-8.1793603920285864</v>
      </c>
      <c r="O22" t="s">
        <v>115</v>
      </c>
      <c r="Q22" t="s">
        <v>116</v>
      </c>
    </row>
    <row r="23" spans="1:21" x14ac:dyDescent="0.3">
      <c r="A23" t="s">
        <v>23</v>
      </c>
      <c r="B23">
        <v>60.8</v>
      </c>
      <c r="C23">
        <f t="shared" si="0"/>
        <v>9.9999999999994316E-2</v>
      </c>
      <c r="D23">
        <f t="shared" si="0"/>
        <v>0.89999999999999147</v>
      </c>
      <c r="E23">
        <f t="shared" si="1"/>
        <v>-0.79999999999999716</v>
      </c>
      <c r="F23">
        <f t="shared" si="2"/>
        <v>-2.0999999999999943</v>
      </c>
      <c r="I23">
        <v>0.89999999999999147</v>
      </c>
      <c r="J23">
        <v>-0.79999999999999716</v>
      </c>
      <c r="K23">
        <v>-2.0999999999999943</v>
      </c>
      <c r="M23" s="3" t="s">
        <v>108</v>
      </c>
      <c r="N23">
        <v>4.5899564740384239E-12</v>
      </c>
      <c r="Q23" t="s">
        <v>117</v>
      </c>
    </row>
    <row r="24" spans="1:21" x14ac:dyDescent="0.3">
      <c r="A24" t="s">
        <v>24</v>
      </c>
      <c r="B24">
        <v>60.6</v>
      </c>
      <c r="C24">
        <f t="shared" si="0"/>
        <v>-0.19999999999999574</v>
      </c>
      <c r="D24">
        <f t="shared" si="0"/>
        <v>-0.29999999999999005</v>
      </c>
      <c r="E24">
        <f t="shared" si="1"/>
        <v>9.9999999999994316E-2</v>
      </c>
      <c r="F24">
        <f t="shared" si="2"/>
        <v>0.89999999999999147</v>
      </c>
      <c r="I24">
        <v>-0.29999999999999005</v>
      </c>
      <c r="J24">
        <v>9.9999999999994316E-2</v>
      </c>
      <c r="K24">
        <v>0.89999999999999147</v>
      </c>
      <c r="Q24" t="s">
        <v>118</v>
      </c>
    </row>
    <row r="25" spans="1:21" x14ac:dyDescent="0.3">
      <c r="A25" t="s">
        <v>25</v>
      </c>
      <c r="B25">
        <v>60.4</v>
      </c>
      <c r="C25">
        <f t="shared" si="0"/>
        <v>-0.20000000000000284</v>
      </c>
      <c r="D25">
        <f>C25-C24</f>
        <v>-7.1054273576010019E-15</v>
      </c>
      <c r="E25">
        <f t="shared" si="1"/>
        <v>-0.19999999999999574</v>
      </c>
      <c r="F25">
        <f t="shared" si="2"/>
        <v>-0.29999999999999005</v>
      </c>
      <c r="I25">
        <v>-7.1054273576010019E-15</v>
      </c>
      <c r="J25">
        <v>-0.19999999999999574</v>
      </c>
      <c r="K25">
        <v>-0.29999999999999005</v>
      </c>
      <c r="Q25" t="s">
        <v>119</v>
      </c>
    </row>
    <row r="26" spans="1:21" x14ac:dyDescent="0.3">
      <c r="A26" t="s">
        <v>26</v>
      </c>
      <c r="B26">
        <v>61</v>
      </c>
      <c r="C26">
        <f t="shared" si="0"/>
        <v>0.60000000000000142</v>
      </c>
      <c r="D26">
        <f t="shared" si="0"/>
        <v>0.80000000000000426</v>
      </c>
      <c r="E26">
        <f t="shared" si="1"/>
        <v>-0.20000000000000284</v>
      </c>
      <c r="F26">
        <f t="shared" si="2"/>
        <v>-7.1054273576010019E-15</v>
      </c>
      <c r="I26">
        <v>0.80000000000000426</v>
      </c>
      <c r="J26">
        <v>-0.20000000000000284</v>
      </c>
      <c r="K26">
        <v>-7.1054273576010019E-15</v>
      </c>
    </row>
    <row r="27" spans="1:21" x14ac:dyDescent="0.3">
      <c r="A27" t="s">
        <v>27</v>
      </c>
      <c r="B27">
        <v>60.7</v>
      </c>
      <c r="C27">
        <f t="shared" si="0"/>
        <v>-0.29999999999999716</v>
      </c>
      <c r="D27">
        <f t="shared" si="0"/>
        <v>-0.89999999999999858</v>
      </c>
      <c r="E27">
        <f t="shared" si="1"/>
        <v>0.60000000000000142</v>
      </c>
      <c r="F27">
        <f t="shared" si="2"/>
        <v>0.80000000000000426</v>
      </c>
      <c r="I27">
        <v>-0.89999999999999858</v>
      </c>
      <c r="J27">
        <v>0.60000000000000142</v>
      </c>
      <c r="K27">
        <v>0.80000000000000426</v>
      </c>
    </row>
    <row r="28" spans="1:21" x14ac:dyDescent="0.3">
      <c r="A28" t="s">
        <v>28</v>
      </c>
      <c r="B28">
        <v>60.3</v>
      </c>
      <c r="C28">
        <f t="shared" si="0"/>
        <v>-0.40000000000000568</v>
      </c>
      <c r="D28">
        <f t="shared" si="0"/>
        <v>-0.10000000000000853</v>
      </c>
      <c r="E28">
        <f t="shared" si="1"/>
        <v>-0.29999999999999716</v>
      </c>
      <c r="F28">
        <f t="shared" si="2"/>
        <v>-0.89999999999999858</v>
      </c>
      <c r="I28">
        <v>-0.10000000000000853</v>
      </c>
      <c r="J28">
        <v>-0.29999999999999716</v>
      </c>
      <c r="K28">
        <v>-0.89999999999999858</v>
      </c>
    </row>
    <row r="29" spans="1:21" x14ac:dyDescent="0.3">
      <c r="A29" t="s">
        <v>29</v>
      </c>
      <c r="B29">
        <v>60</v>
      </c>
      <c r="C29">
        <f t="shared" si="0"/>
        <v>-0.29999999999999716</v>
      </c>
      <c r="D29">
        <f t="shared" si="0"/>
        <v>0.10000000000000853</v>
      </c>
      <c r="E29">
        <f t="shared" si="1"/>
        <v>-0.40000000000000568</v>
      </c>
      <c r="F29">
        <f t="shared" si="2"/>
        <v>-0.10000000000000853</v>
      </c>
      <c r="I29">
        <v>0.10000000000000853</v>
      </c>
      <c r="J29">
        <v>-0.40000000000000568</v>
      </c>
      <c r="K29">
        <v>-0.10000000000000853</v>
      </c>
    </row>
    <row r="30" spans="1:21" x14ac:dyDescent="0.3">
      <c r="A30" t="s">
        <v>30</v>
      </c>
      <c r="B30">
        <v>60.3</v>
      </c>
      <c r="C30">
        <f t="shared" si="0"/>
        <v>0.29999999999999716</v>
      </c>
      <c r="D30">
        <f t="shared" si="0"/>
        <v>0.59999999999999432</v>
      </c>
      <c r="E30">
        <f t="shared" si="1"/>
        <v>-0.29999999999999716</v>
      </c>
      <c r="F30">
        <f t="shared" si="2"/>
        <v>0.10000000000000853</v>
      </c>
      <c r="I30">
        <v>0.59999999999999432</v>
      </c>
      <c r="J30">
        <v>-0.29999999999999716</v>
      </c>
      <c r="K30">
        <v>0.10000000000000853</v>
      </c>
    </row>
    <row r="31" spans="1:21" x14ac:dyDescent="0.3">
      <c r="A31" t="s">
        <v>31</v>
      </c>
      <c r="B31">
        <v>60.8</v>
      </c>
      <c r="C31">
        <f t="shared" si="0"/>
        <v>0.5</v>
      </c>
      <c r="D31">
        <f t="shared" si="0"/>
        <v>0.20000000000000284</v>
      </c>
      <c r="E31">
        <f t="shared" si="1"/>
        <v>0.29999999999999716</v>
      </c>
      <c r="F31">
        <f t="shared" si="2"/>
        <v>0.59999999999999432</v>
      </c>
      <c r="I31">
        <v>0.20000000000000284</v>
      </c>
      <c r="J31">
        <v>0.29999999999999716</v>
      </c>
      <c r="K31">
        <v>0.59999999999999432</v>
      </c>
    </row>
    <row r="32" spans="1:21" x14ac:dyDescent="0.3">
      <c r="A32" t="s">
        <v>32</v>
      </c>
      <c r="B32">
        <v>60.7</v>
      </c>
      <c r="C32">
        <f t="shared" si="0"/>
        <v>-9.9999999999994316E-2</v>
      </c>
      <c r="D32">
        <f t="shared" si="0"/>
        <v>-0.59999999999999432</v>
      </c>
      <c r="E32">
        <f t="shared" si="1"/>
        <v>0.5</v>
      </c>
      <c r="F32">
        <f t="shared" si="2"/>
        <v>0.20000000000000284</v>
      </c>
      <c r="I32">
        <v>-0.59999999999999432</v>
      </c>
      <c r="J32">
        <v>0.5</v>
      </c>
      <c r="K32">
        <v>0.20000000000000284</v>
      </c>
    </row>
    <row r="33" spans="1:11" x14ac:dyDescent="0.3">
      <c r="A33" t="s">
        <v>33</v>
      </c>
      <c r="B33">
        <v>61.4</v>
      </c>
      <c r="C33">
        <f t="shared" si="0"/>
        <v>0.69999999999999574</v>
      </c>
      <c r="D33">
        <f t="shared" si="0"/>
        <v>0.79999999999999005</v>
      </c>
      <c r="E33">
        <f t="shared" si="1"/>
        <v>-9.9999999999994316E-2</v>
      </c>
      <c r="F33">
        <f t="shared" si="2"/>
        <v>-0.59999999999999432</v>
      </c>
      <c r="I33">
        <v>0.79999999999999005</v>
      </c>
      <c r="J33">
        <v>-9.9999999999994316E-2</v>
      </c>
      <c r="K33">
        <v>-0.59999999999999432</v>
      </c>
    </row>
    <row r="34" spans="1:11" x14ac:dyDescent="0.3">
      <c r="A34" t="s">
        <v>34</v>
      </c>
      <c r="B34">
        <v>63.8</v>
      </c>
      <c r="C34">
        <f t="shared" si="0"/>
        <v>2.3999999999999986</v>
      </c>
      <c r="D34">
        <f t="shared" si="0"/>
        <v>1.7000000000000028</v>
      </c>
      <c r="E34">
        <f t="shared" si="1"/>
        <v>0.69999999999999574</v>
      </c>
      <c r="F34">
        <f t="shared" si="2"/>
        <v>0.79999999999999005</v>
      </c>
      <c r="I34">
        <v>1.7000000000000028</v>
      </c>
      <c r="J34">
        <v>0.69999999999999574</v>
      </c>
      <c r="K34">
        <v>0.79999999999999005</v>
      </c>
    </row>
    <row r="35" spans="1:11" x14ac:dyDescent="0.3">
      <c r="A35" t="s">
        <v>35</v>
      </c>
      <c r="B35">
        <v>62.9</v>
      </c>
      <c r="C35">
        <f t="shared" si="0"/>
        <v>-0.89999999999999858</v>
      </c>
      <c r="D35">
        <f t="shared" si="0"/>
        <v>-3.2999999999999972</v>
      </c>
      <c r="E35">
        <f t="shared" si="1"/>
        <v>2.3999999999999986</v>
      </c>
      <c r="F35">
        <f t="shared" si="2"/>
        <v>1.7000000000000028</v>
      </c>
      <c r="I35">
        <v>-3.2999999999999972</v>
      </c>
      <c r="J35">
        <v>2.3999999999999986</v>
      </c>
      <c r="K35">
        <v>1.7000000000000028</v>
      </c>
    </row>
    <row r="36" spans="1:11" x14ac:dyDescent="0.3">
      <c r="A36" t="s">
        <v>36</v>
      </c>
      <c r="B36">
        <v>63.1</v>
      </c>
      <c r="C36">
        <f t="shared" si="0"/>
        <v>0.20000000000000284</v>
      </c>
      <c r="D36">
        <f t="shared" si="0"/>
        <v>1.1000000000000014</v>
      </c>
      <c r="E36">
        <f t="shared" si="1"/>
        <v>-0.89999999999999858</v>
      </c>
      <c r="F36">
        <f t="shared" si="2"/>
        <v>-3.2999999999999972</v>
      </c>
      <c r="I36">
        <v>1.1000000000000014</v>
      </c>
      <c r="J36">
        <v>-0.89999999999999858</v>
      </c>
      <c r="K36">
        <v>-3.2999999999999972</v>
      </c>
    </row>
    <row r="37" spans="1:11" x14ac:dyDescent="0.3">
      <c r="A37" t="s">
        <v>37</v>
      </c>
      <c r="B37">
        <v>62.2</v>
      </c>
      <c r="C37">
        <f t="shared" si="0"/>
        <v>-0.89999999999999858</v>
      </c>
      <c r="D37">
        <f t="shared" si="0"/>
        <v>-1.1000000000000014</v>
      </c>
      <c r="E37">
        <f t="shared" si="1"/>
        <v>0.20000000000000284</v>
      </c>
      <c r="F37">
        <f t="shared" si="2"/>
        <v>1.1000000000000014</v>
      </c>
      <c r="I37">
        <v>-1.1000000000000014</v>
      </c>
      <c r="J37">
        <v>0.20000000000000284</v>
      </c>
      <c r="K37">
        <v>1.1000000000000014</v>
      </c>
    </row>
    <row r="38" spans="1:11" x14ac:dyDescent="0.3">
      <c r="A38" t="s">
        <v>38</v>
      </c>
      <c r="B38">
        <v>62.2</v>
      </c>
      <c r="C38">
        <f t="shared" si="0"/>
        <v>0</v>
      </c>
      <c r="D38">
        <f t="shared" si="0"/>
        <v>0.89999999999999858</v>
      </c>
      <c r="E38">
        <f t="shared" si="1"/>
        <v>-0.89999999999999858</v>
      </c>
      <c r="F38">
        <f t="shared" si="2"/>
        <v>-1.1000000000000014</v>
      </c>
      <c r="I38">
        <v>0.89999999999999858</v>
      </c>
      <c r="J38">
        <v>-0.89999999999999858</v>
      </c>
      <c r="K38">
        <v>-1.1000000000000014</v>
      </c>
    </row>
    <row r="39" spans="1:11" x14ac:dyDescent="0.3">
      <c r="A39" t="s">
        <v>39</v>
      </c>
      <c r="B39">
        <v>63.2</v>
      </c>
      <c r="C39">
        <f t="shared" si="0"/>
        <v>1</v>
      </c>
      <c r="D39">
        <f t="shared" si="0"/>
        <v>1</v>
      </c>
      <c r="E39">
        <f t="shared" si="1"/>
        <v>0</v>
      </c>
      <c r="F39">
        <f t="shared" si="2"/>
        <v>0.89999999999999858</v>
      </c>
      <c r="I39">
        <v>1</v>
      </c>
      <c r="J39">
        <v>0</v>
      </c>
      <c r="K39">
        <v>0.89999999999999858</v>
      </c>
    </row>
    <row r="40" spans="1:11" x14ac:dyDescent="0.3">
      <c r="A40" t="s">
        <v>40</v>
      </c>
      <c r="B40">
        <v>63.5</v>
      </c>
      <c r="C40">
        <f t="shared" si="0"/>
        <v>0.29999999999999716</v>
      </c>
      <c r="D40">
        <f t="shared" si="0"/>
        <v>-0.70000000000000284</v>
      </c>
      <c r="E40">
        <f t="shared" si="1"/>
        <v>1</v>
      </c>
      <c r="F40">
        <f t="shared" si="2"/>
        <v>1</v>
      </c>
      <c r="I40">
        <v>-0.70000000000000284</v>
      </c>
      <c r="J40">
        <v>1</v>
      </c>
      <c r="K40">
        <v>1</v>
      </c>
    </row>
    <row r="41" spans="1:11" x14ac:dyDescent="0.3">
      <c r="A41" t="s">
        <v>41</v>
      </c>
      <c r="B41">
        <v>62.7</v>
      </c>
      <c r="C41">
        <f t="shared" si="0"/>
        <v>-0.79999999999999716</v>
      </c>
      <c r="D41">
        <f t="shared" si="0"/>
        <v>-1.0999999999999943</v>
      </c>
      <c r="E41">
        <f t="shared" si="1"/>
        <v>0.29999999999999716</v>
      </c>
      <c r="F41">
        <f t="shared" si="2"/>
        <v>-0.70000000000000284</v>
      </c>
      <c r="I41">
        <v>-1.0999999999999943</v>
      </c>
      <c r="J41">
        <v>0.29999999999999716</v>
      </c>
      <c r="K41">
        <v>-0.70000000000000284</v>
      </c>
    </row>
    <row r="42" spans="1:11" x14ac:dyDescent="0.3">
      <c r="A42" t="s">
        <v>42</v>
      </c>
      <c r="B42">
        <v>62.9</v>
      </c>
      <c r="C42">
        <f t="shared" si="0"/>
        <v>0.19999999999999574</v>
      </c>
      <c r="D42">
        <f t="shared" si="0"/>
        <v>0.99999999999999289</v>
      </c>
      <c r="E42">
        <f t="shared" si="1"/>
        <v>-0.79999999999999716</v>
      </c>
      <c r="F42">
        <f t="shared" si="2"/>
        <v>-1.0999999999999943</v>
      </c>
      <c r="I42">
        <v>0.99999999999999289</v>
      </c>
      <c r="J42">
        <v>-0.79999999999999716</v>
      </c>
      <c r="K42">
        <v>-1.0999999999999943</v>
      </c>
    </row>
    <row r="43" spans="1:11" x14ac:dyDescent="0.3">
      <c r="A43" t="s">
        <v>43</v>
      </c>
      <c r="B43">
        <v>62.7</v>
      </c>
      <c r="C43">
        <f t="shared" si="0"/>
        <v>-0.19999999999999574</v>
      </c>
      <c r="D43">
        <f t="shared" si="0"/>
        <v>-0.39999999999999147</v>
      </c>
      <c r="E43">
        <f t="shared" si="1"/>
        <v>0.19999999999999574</v>
      </c>
      <c r="F43">
        <f t="shared" si="2"/>
        <v>0.99999999999999289</v>
      </c>
      <c r="I43">
        <v>-0.39999999999999147</v>
      </c>
      <c r="J43">
        <v>0.19999999999999574</v>
      </c>
      <c r="K43">
        <v>0.99999999999999289</v>
      </c>
    </row>
    <row r="44" spans="1:11" x14ac:dyDescent="0.3">
      <c r="A44" t="s">
        <v>44</v>
      </c>
      <c r="B44">
        <v>62.5</v>
      </c>
      <c r="C44">
        <f t="shared" si="0"/>
        <v>-0.20000000000000284</v>
      </c>
      <c r="D44">
        <f t="shared" si="0"/>
        <v>-7.1054273576010019E-15</v>
      </c>
      <c r="E44">
        <f t="shared" si="1"/>
        <v>-0.19999999999999574</v>
      </c>
      <c r="F44">
        <f t="shared" si="2"/>
        <v>-0.39999999999999147</v>
      </c>
      <c r="I44">
        <v>-7.1054273576010019E-15</v>
      </c>
      <c r="J44">
        <v>-0.19999999999999574</v>
      </c>
      <c r="K44">
        <v>-0.39999999999999147</v>
      </c>
    </row>
    <row r="45" spans="1:11" x14ac:dyDescent="0.3">
      <c r="A45" t="s">
        <v>45</v>
      </c>
      <c r="B45">
        <v>62.4</v>
      </c>
      <c r="C45">
        <f t="shared" si="0"/>
        <v>-0.10000000000000142</v>
      </c>
      <c r="D45">
        <f t="shared" si="0"/>
        <v>0.10000000000000142</v>
      </c>
      <c r="E45">
        <f t="shared" si="1"/>
        <v>-0.20000000000000284</v>
      </c>
      <c r="F45">
        <f t="shared" si="2"/>
        <v>-7.1054273576010019E-15</v>
      </c>
      <c r="I45">
        <v>0.10000000000000142</v>
      </c>
      <c r="J45">
        <v>-0.20000000000000284</v>
      </c>
      <c r="K45">
        <v>-7.1054273576010019E-15</v>
      </c>
    </row>
    <row r="46" spans="1:11" x14ac:dyDescent="0.3">
      <c r="A46" t="s">
        <v>46</v>
      </c>
      <c r="B46">
        <v>62.2</v>
      </c>
      <c r="C46">
        <f t="shared" si="0"/>
        <v>-0.19999999999999574</v>
      </c>
      <c r="D46">
        <f t="shared" si="0"/>
        <v>-9.9999999999994316E-2</v>
      </c>
      <c r="E46">
        <f t="shared" si="1"/>
        <v>-0.10000000000000142</v>
      </c>
      <c r="F46">
        <f t="shared" si="2"/>
        <v>0.10000000000000142</v>
      </c>
      <c r="I46">
        <v>-9.9999999999994316E-2</v>
      </c>
      <c r="J46">
        <v>-0.10000000000000142</v>
      </c>
      <c r="K46">
        <v>0.10000000000000142</v>
      </c>
    </row>
    <row r="47" spans="1:11" x14ac:dyDescent="0.3">
      <c r="A47" t="s">
        <v>47</v>
      </c>
      <c r="B47">
        <v>62</v>
      </c>
      <c r="C47">
        <f t="shared" si="0"/>
        <v>-0.20000000000000284</v>
      </c>
      <c r="D47">
        <f t="shared" si="0"/>
        <v>-7.1054273576010019E-15</v>
      </c>
      <c r="E47">
        <f t="shared" si="1"/>
        <v>-0.19999999999999574</v>
      </c>
      <c r="F47">
        <f t="shared" si="2"/>
        <v>-9.9999999999994316E-2</v>
      </c>
      <c r="I47">
        <v>-7.1054273576010019E-15</v>
      </c>
      <c r="J47">
        <v>-0.19999999999999574</v>
      </c>
      <c r="K47">
        <v>-9.9999999999994316E-2</v>
      </c>
    </row>
    <row r="48" spans="1:11" x14ac:dyDescent="0.3">
      <c r="A48" t="s">
        <v>48</v>
      </c>
      <c r="B48">
        <v>62.1</v>
      </c>
      <c r="C48">
        <f t="shared" si="0"/>
        <v>0.10000000000000142</v>
      </c>
      <c r="D48">
        <f t="shared" si="0"/>
        <v>0.30000000000000426</v>
      </c>
      <c r="E48">
        <f t="shared" si="1"/>
        <v>-0.20000000000000284</v>
      </c>
      <c r="F48">
        <f t="shared" si="2"/>
        <v>-7.1054273576010019E-15</v>
      </c>
      <c r="I48">
        <v>0.30000000000000426</v>
      </c>
      <c r="J48">
        <v>-0.20000000000000284</v>
      </c>
      <c r="K48">
        <v>-7.1054273576010019E-15</v>
      </c>
    </row>
    <row r="49" spans="1:11" x14ac:dyDescent="0.3">
      <c r="A49" t="s">
        <v>49</v>
      </c>
      <c r="B49">
        <v>63</v>
      </c>
      <c r="C49">
        <f t="shared" si="0"/>
        <v>0.89999999999999858</v>
      </c>
      <c r="D49">
        <f t="shared" si="0"/>
        <v>0.79999999999999716</v>
      </c>
      <c r="E49">
        <f t="shared" si="1"/>
        <v>0.10000000000000142</v>
      </c>
      <c r="F49">
        <f t="shared" si="2"/>
        <v>0.30000000000000426</v>
      </c>
      <c r="I49">
        <v>0.79999999999999716</v>
      </c>
      <c r="J49">
        <v>0.10000000000000142</v>
      </c>
      <c r="K49">
        <v>0.30000000000000426</v>
      </c>
    </row>
    <row r="50" spans="1:11" x14ac:dyDescent="0.3">
      <c r="A50" t="s">
        <v>50</v>
      </c>
      <c r="B50">
        <v>62.5</v>
      </c>
      <c r="C50">
        <f t="shared" si="0"/>
        <v>-0.5</v>
      </c>
      <c r="D50">
        <f t="shared" si="0"/>
        <v>-1.3999999999999986</v>
      </c>
      <c r="E50">
        <f t="shared" si="1"/>
        <v>0.89999999999999858</v>
      </c>
      <c r="F50">
        <f t="shared" si="2"/>
        <v>0.79999999999999716</v>
      </c>
      <c r="I50">
        <v>-1.3999999999999986</v>
      </c>
      <c r="J50">
        <v>0.89999999999999858</v>
      </c>
      <c r="K50">
        <v>0.79999999999999716</v>
      </c>
    </row>
    <row r="51" spans="1:11" x14ac:dyDescent="0.3">
      <c r="A51" t="s">
        <v>51</v>
      </c>
      <c r="B51">
        <v>62.3</v>
      </c>
      <c r="C51">
        <f t="shared" si="0"/>
        <v>-0.20000000000000284</v>
      </c>
      <c r="D51">
        <f t="shared" si="0"/>
        <v>0.29999999999999716</v>
      </c>
      <c r="E51">
        <f t="shared" si="1"/>
        <v>-0.5</v>
      </c>
      <c r="F51">
        <f t="shared" si="2"/>
        <v>-1.3999999999999986</v>
      </c>
      <c r="I51">
        <v>0.29999999999999716</v>
      </c>
      <c r="J51">
        <v>-0.5</v>
      </c>
      <c r="K51">
        <v>-1.3999999999999986</v>
      </c>
    </row>
    <row r="52" spans="1:11" x14ac:dyDescent="0.3">
      <c r="A52" t="s">
        <v>52</v>
      </c>
      <c r="B52">
        <v>61.8</v>
      </c>
      <c r="C52">
        <f t="shared" si="0"/>
        <v>-0.5</v>
      </c>
      <c r="D52">
        <f t="shared" si="0"/>
        <v>-0.29999999999999716</v>
      </c>
      <c r="E52">
        <f t="shared" si="1"/>
        <v>-0.20000000000000284</v>
      </c>
      <c r="F52">
        <f t="shared" si="2"/>
        <v>0.29999999999999716</v>
      </c>
      <c r="I52">
        <v>-0.29999999999999716</v>
      </c>
      <c r="J52">
        <v>-0.20000000000000284</v>
      </c>
      <c r="K52">
        <v>0.29999999999999716</v>
      </c>
    </row>
    <row r="53" spans="1:11" x14ac:dyDescent="0.3">
      <c r="A53" t="s">
        <v>53</v>
      </c>
      <c r="B53">
        <v>61.3</v>
      </c>
      <c r="C53">
        <f t="shared" si="0"/>
        <v>-0.5</v>
      </c>
      <c r="D53">
        <f t="shared" si="0"/>
        <v>0</v>
      </c>
      <c r="E53">
        <f t="shared" si="1"/>
        <v>-0.5</v>
      </c>
      <c r="F53">
        <f t="shared" si="2"/>
        <v>-0.29999999999999716</v>
      </c>
      <c r="I53">
        <v>0</v>
      </c>
      <c r="J53">
        <v>-0.5</v>
      </c>
      <c r="K53">
        <v>-0.29999999999999716</v>
      </c>
    </row>
    <row r="54" spans="1:11" x14ac:dyDescent="0.3">
      <c r="A54" t="s">
        <v>54</v>
      </c>
      <c r="B54">
        <v>61.4</v>
      </c>
      <c r="C54">
        <f t="shared" si="0"/>
        <v>0.10000000000000142</v>
      </c>
      <c r="D54">
        <f t="shared" si="0"/>
        <v>0.60000000000000142</v>
      </c>
      <c r="E54">
        <f t="shared" si="1"/>
        <v>-0.5</v>
      </c>
      <c r="F54">
        <f t="shared" si="2"/>
        <v>0</v>
      </c>
      <c r="I54">
        <v>0.60000000000000142</v>
      </c>
      <c r="J54">
        <v>-0.5</v>
      </c>
      <c r="K54">
        <v>0</v>
      </c>
    </row>
    <row r="55" spans="1:11" x14ac:dyDescent="0.3">
      <c r="A55" t="s">
        <v>55</v>
      </c>
      <c r="B55">
        <v>61.4</v>
      </c>
      <c r="C55">
        <f t="shared" si="0"/>
        <v>0</v>
      </c>
      <c r="D55">
        <f t="shared" si="0"/>
        <v>-0.10000000000000142</v>
      </c>
      <c r="E55">
        <f t="shared" si="1"/>
        <v>0.10000000000000142</v>
      </c>
      <c r="F55">
        <f t="shared" si="2"/>
        <v>0.60000000000000142</v>
      </c>
      <c r="I55">
        <v>-0.10000000000000142</v>
      </c>
      <c r="J55">
        <v>0.10000000000000142</v>
      </c>
      <c r="K55">
        <v>0.60000000000000142</v>
      </c>
    </row>
    <row r="56" spans="1:11" x14ac:dyDescent="0.3">
      <c r="A56" t="s">
        <v>56</v>
      </c>
      <c r="B56">
        <v>61.2</v>
      </c>
      <c r="C56">
        <f t="shared" si="0"/>
        <v>-0.19999999999999574</v>
      </c>
      <c r="D56">
        <f t="shared" si="0"/>
        <v>-0.19999999999999574</v>
      </c>
      <c r="E56">
        <f t="shared" si="1"/>
        <v>0</v>
      </c>
      <c r="F56">
        <f t="shared" si="2"/>
        <v>-0.10000000000000142</v>
      </c>
      <c r="I56">
        <v>-0.19999999999999574</v>
      </c>
      <c r="J56">
        <v>0</v>
      </c>
      <c r="K56">
        <v>-0.10000000000000142</v>
      </c>
    </row>
    <row r="57" spans="1:11" x14ac:dyDescent="0.3">
      <c r="A57" t="s">
        <v>57</v>
      </c>
      <c r="B57">
        <v>61.1</v>
      </c>
      <c r="C57">
        <f t="shared" si="0"/>
        <v>-0.10000000000000142</v>
      </c>
      <c r="D57">
        <f t="shared" si="0"/>
        <v>9.9999999999994316E-2</v>
      </c>
      <c r="E57">
        <f t="shared" si="1"/>
        <v>-0.19999999999999574</v>
      </c>
      <c r="F57">
        <f t="shared" si="2"/>
        <v>-0.19999999999999574</v>
      </c>
      <c r="I57">
        <v>9.9999999999994316E-2</v>
      </c>
      <c r="J57">
        <v>-0.19999999999999574</v>
      </c>
      <c r="K57">
        <v>-0.19999999999999574</v>
      </c>
    </row>
    <row r="58" spans="1:11" x14ac:dyDescent="0.3">
      <c r="A58" t="s">
        <v>58</v>
      </c>
      <c r="B58">
        <v>60.3</v>
      </c>
      <c r="C58">
        <f t="shared" si="0"/>
        <v>-0.80000000000000426</v>
      </c>
      <c r="D58">
        <f t="shared" si="0"/>
        <v>-0.70000000000000284</v>
      </c>
      <c r="E58">
        <f t="shared" si="1"/>
        <v>-0.10000000000000142</v>
      </c>
      <c r="F58">
        <f t="shared" si="2"/>
        <v>9.9999999999994316E-2</v>
      </c>
      <c r="I58">
        <v>-0.70000000000000284</v>
      </c>
      <c r="J58">
        <v>-0.10000000000000142</v>
      </c>
      <c r="K58">
        <v>9.9999999999994316E-2</v>
      </c>
    </row>
    <row r="59" spans="1:11" x14ac:dyDescent="0.3">
      <c r="A59" t="s">
        <v>59</v>
      </c>
      <c r="B59">
        <v>60.6</v>
      </c>
      <c r="C59">
        <f t="shared" si="0"/>
        <v>0.30000000000000426</v>
      </c>
      <c r="D59">
        <f t="shared" si="0"/>
        <v>1.1000000000000085</v>
      </c>
      <c r="E59">
        <f t="shared" si="1"/>
        <v>-0.80000000000000426</v>
      </c>
      <c r="F59">
        <f t="shared" si="2"/>
        <v>-0.70000000000000284</v>
      </c>
      <c r="I59">
        <v>1.1000000000000085</v>
      </c>
      <c r="J59">
        <v>-0.80000000000000426</v>
      </c>
      <c r="K59">
        <v>-0.70000000000000284</v>
      </c>
    </row>
    <row r="60" spans="1:11" x14ac:dyDescent="0.3">
      <c r="A60" t="s">
        <v>60</v>
      </c>
      <c r="B60">
        <v>60.8</v>
      </c>
      <c r="C60">
        <f t="shared" si="0"/>
        <v>0.19999999999999574</v>
      </c>
      <c r="D60">
        <f t="shared" si="0"/>
        <v>-0.10000000000000853</v>
      </c>
      <c r="E60">
        <f t="shared" si="1"/>
        <v>0.30000000000000426</v>
      </c>
      <c r="F60">
        <f t="shared" si="2"/>
        <v>1.1000000000000085</v>
      </c>
      <c r="I60">
        <v>-0.10000000000000853</v>
      </c>
      <c r="J60">
        <v>0.30000000000000426</v>
      </c>
      <c r="K60">
        <v>1.1000000000000085</v>
      </c>
    </row>
    <row r="61" spans="1:11" x14ac:dyDescent="0.3">
      <c r="A61" t="s">
        <v>61</v>
      </c>
      <c r="B61">
        <v>60.5</v>
      </c>
      <c r="C61">
        <f t="shared" si="0"/>
        <v>-0.29999999999999716</v>
      </c>
      <c r="D61">
        <f t="shared" si="0"/>
        <v>-0.49999999999999289</v>
      </c>
      <c r="E61">
        <f t="shared" si="1"/>
        <v>0.19999999999999574</v>
      </c>
      <c r="F61">
        <f t="shared" si="2"/>
        <v>-0.10000000000000853</v>
      </c>
      <c r="I61">
        <v>-0.49999999999999289</v>
      </c>
      <c r="J61">
        <v>0.19999999999999574</v>
      </c>
      <c r="K61">
        <v>-0.10000000000000853</v>
      </c>
    </row>
    <row r="62" spans="1:11" x14ac:dyDescent="0.3">
      <c r="A62" t="s">
        <v>62</v>
      </c>
      <c r="B62">
        <v>56.5</v>
      </c>
      <c r="C62">
        <f t="shared" si="0"/>
        <v>-4</v>
      </c>
      <c r="D62">
        <f t="shared" si="0"/>
        <v>-3.7000000000000028</v>
      </c>
      <c r="E62">
        <f t="shared" si="1"/>
        <v>-0.29999999999999716</v>
      </c>
      <c r="F62">
        <f t="shared" si="2"/>
        <v>-0.49999999999999289</v>
      </c>
      <c r="I62">
        <v>-3.7000000000000028</v>
      </c>
      <c r="J62">
        <v>-0.29999999999999716</v>
      </c>
      <c r="K62">
        <v>-0.49999999999999289</v>
      </c>
    </row>
    <row r="63" spans="1:11" x14ac:dyDescent="0.3">
      <c r="A63" t="s">
        <v>63</v>
      </c>
      <c r="B63">
        <v>58.5</v>
      </c>
      <c r="C63">
        <f t="shared" si="0"/>
        <v>2</v>
      </c>
      <c r="D63">
        <f t="shared" si="0"/>
        <v>6</v>
      </c>
      <c r="E63">
        <f t="shared" si="1"/>
        <v>-4</v>
      </c>
      <c r="F63">
        <f t="shared" si="2"/>
        <v>-3.7000000000000028</v>
      </c>
      <c r="I63">
        <v>6</v>
      </c>
      <c r="J63">
        <v>-4</v>
      </c>
      <c r="K63">
        <v>-3.7000000000000028</v>
      </c>
    </row>
    <row r="64" spans="1:11" x14ac:dyDescent="0.3">
      <c r="A64" t="s">
        <v>64</v>
      </c>
      <c r="B64">
        <v>54.5</v>
      </c>
      <c r="C64">
        <f t="shared" si="0"/>
        <v>-4</v>
      </c>
      <c r="D64">
        <f t="shared" si="0"/>
        <v>-6</v>
      </c>
      <c r="E64">
        <f t="shared" si="1"/>
        <v>2</v>
      </c>
      <c r="F64">
        <f t="shared" si="2"/>
        <v>6</v>
      </c>
      <c r="I64">
        <v>-6</v>
      </c>
      <c r="J64">
        <v>2</v>
      </c>
      <c r="K64">
        <v>6</v>
      </c>
    </row>
    <row r="65" spans="1:11" x14ac:dyDescent="0.3">
      <c r="A65" t="s">
        <v>65</v>
      </c>
      <c r="B65">
        <v>52</v>
      </c>
      <c r="C65">
        <f t="shared" si="0"/>
        <v>-2.5</v>
      </c>
      <c r="D65">
        <f t="shared" si="0"/>
        <v>1.5</v>
      </c>
      <c r="E65">
        <f t="shared" si="1"/>
        <v>-4</v>
      </c>
      <c r="F65">
        <f t="shared" si="2"/>
        <v>-6</v>
      </c>
      <c r="I65">
        <v>1.5</v>
      </c>
      <c r="J65">
        <v>-4</v>
      </c>
      <c r="K65">
        <v>-6</v>
      </c>
    </row>
    <row r="66" spans="1:11" x14ac:dyDescent="0.3">
      <c r="A66" t="s">
        <v>66</v>
      </c>
      <c r="B66">
        <v>55.6</v>
      </c>
      <c r="C66">
        <f t="shared" si="0"/>
        <v>3.6000000000000014</v>
      </c>
      <c r="D66">
        <f t="shared" si="0"/>
        <v>6.1000000000000014</v>
      </c>
      <c r="E66">
        <f t="shared" si="1"/>
        <v>-2.5</v>
      </c>
      <c r="F66">
        <f t="shared" si="2"/>
        <v>1.5</v>
      </c>
      <c r="I66">
        <v>6.1000000000000014</v>
      </c>
      <c r="J66">
        <v>-2.5</v>
      </c>
      <c r="K66">
        <v>1.5</v>
      </c>
    </row>
    <row r="67" spans="1:11" x14ac:dyDescent="0.3">
      <c r="A67" t="s">
        <v>67</v>
      </c>
      <c r="B67">
        <v>57.5</v>
      </c>
      <c r="C67">
        <f t="shared" si="0"/>
        <v>1.8999999999999986</v>
      </c>
      <c r="D67">
        <f t="shared" si="0"/>
        <v>-1.7000000000000028</v>
      </c>
      <c r="E67">
        <f t="shared" si="1"/>
        <v>3.6000000000000014</v>
      </c>
      <c r="F67">
        <f t="shared" si="2"/>
        <v>6.1000000000000014</v>
      </c>
      <c r="I67">
        <v>-1.7000000000000028</v>
      </c>
      <c r="J67">
        <v>3.6000000000000014</v>
      </c>
      <c r="K67">
        <v>6.1000000000000014</v>
      </c>
    </row>
    <row r="68" spans="1:11" x14ac:dyDescent="0.3">
      <c r="A68" t="s">
        <v>68</v>
      </c>
      <c r="B68">
        <v>56.9</v>
      </c>
      <c r="C68">
        <f t="shared" ref="C68:D84" si="3">B68-B67</f>
        <v>-0.60000000000000142</v>
      </c>
      <c r="D68">
        <f t="shared" si="3"/>
        <v>-2.5</v>
      </c>
      <c r="E68">
        <f t="shared" si="1"/>
        <v>1.8999999999999986</v>
      </c>
      <c r="F68">
        <f t="shared" si="2"/>
        <v>-1.7000000000000028</v>
      </c>
      <c r="I68">
        <v>-2.5</v>
      </c>
      <c r="J68">
        <v>1.8999999999999986</v>
      </c>
      <c r="K68">
        <v>-1.7000000000000028</v>
      </c>
    </row>
    <row r="69" spans="1:11" x14ac:dyDescent="0.3">
      <c r="A69" t="s">
        <v>69</v>
      </c>
      <c r="B69">
        <v>56.3</v>
      </c>
      <c r="C69">
        <f t="shared" si="3"/>
        <v>-0.60000000000000142</v>
      </c>
      <c r="D69">
        <f t="shared" si="3"/>
        <v>0</v>
      </c>
      <c r="E69">
        <f t="shared" ref="E69:E84" si="4">C68</f>
        <v>-0.60000000000000142</v>
      </c>
      <c r="F69">
        <f t="shared" si="2"/>
        <v>-2.5</v>
      </c>
      <c r="I69">
        <v>0</v>
      </c>
      <c r="J69">
        <v>-0.60000000000000142</v>
      </c>
      <c r="K69">
        <v>-2.5</v>
      </c>
    </row>
    <row r="70" spans="1:11" x14ac:dyDescent="0.3">
      <c r="A70" t="s">
        <v>70</v>
      </c>
      <c r="B70">
        <v>56</v>
      </c>
      <c r="C70">
        <f t="shared" si="3"/>
        <v>-0.29999999999999716</v>
      </c>
      <c r="D70">
        <f t="shared" si="3"/>
        <v>0.30000000000000426</v>
      </c>
      <c r="E70">
        <f t="shared" si="4"/>
        <v>-0.60000000000000142</v>
      </c>
      <c r="F70">
        <f t="shared" ref="F70:F84" si="5">D69</f>
        <v>0</v>
      </c>
      <c r="I70">
        <v>0.30000000000000426</v>
      </c>
      <c r="J70">
        <v>-0.60000000000000142</v>
      </c>
      <c r="K70">
        <v>0</v>
      </c>
    </row>
    <row r="71" spans="1:11" x14ac:dyDescent="0.3">
      <c r="A71" t="s">
        <v>71</v>
      </c>
      <c r="B71">
        <v>56</v>
      </c>
      <c r="C71">
        <f t="shared" si="3"/>
        <v>0</v>
      </c>
      <c r="D71">
        <f t="shared" si="3"/>
        <v>0.29999999999999716</v>
      </c>
      <c r="E71">
        <f t="shared" si="4"/>
        <v>-0.29999999999999716</v>
      </c>
      <c r="F71">
        <f t="shared" si="5"/>
        <v>0.30000000000000426</v>
      </c>
      <c r="I71">
        <v>0.29999999999999716</v>
      </c>
      <c r="J71">
        <v>-0.29999999999999716</v>
      </c>
      <c r="K71">
        <v>0.30000000000000426</v>
      </c>
    </row>
    <row r="72" spans="1:11" x14ac:dyDescent="0.3">
      <c r="A72" t="s">
        <v>72</v>
      </c>
      <c r="B72">
        <v>56.6</v>
      </c>
      <c r="C72">
        <f t="shared" si="3"/>
        <v>0.60000000000000142</v>
      </c>
      <c r="D72">
        <f t="shared" si="3"/>
        <v>0.60000000000000142</v>
      </c>
      <c r="E72">
        <f t="shared" si="4"/>
        <v>0</v>
      </c>
      <c r="F72">
        <f t="shared" si="5"/>
        <v>0.29999999999999716</v>
      </c>
      <c r="I72">
        <v>0.60000000000000142</v>
      </c>
      <c r="J72">
        <v>0</v>
      </c>
      <c r="K72">
        <v>0.29999999999999716</v>
      </c>
    </row>
    <row r="73" spans="1:11" x14ac:dyDescent="0.3">
      <c r="A73" t="s">
        <v>73</v>
      </c>
      <c r="B73">
        <v>56.7</v>
      </c>
      <c r="C73">
        <f t="shared" si="3"/>
        <v>0.10000000000000142</v>
      </c>
      <c r="D73">
        <f t="shared" si="3"/>
        <v>-0.5</v>
      </c>
      <c r="E73">
        <f t="shared" si="4"/>
        <v>0.60000000000000142</v>
      </c>
      <c r="F73">
        <f t="shared" si="5"/>
        <v>0.60000000000000142</v>
      </c>
      <c r="I73">
        <v>-0.5</v>
      </c>
      <c r="J73">
        <v>0.60000000000000142</v>
      </c>
      <c r="K73">
        <v>0.60000000000000142</v>
      </c>
    </row>
    <row r="74" spans="1:11" x14ac:dyDescent="0.3">
      <c r="A74" t="s">
        <v>74</v>
      </c>
      <c r="B74">
        <v>56</v>
      </c>
      <c r="C74">
        <f t="shared" si="3"/>
        <v>-0.70000000000000284</v>
      </c>
      <c r="D74">
        <f t="shared" si="3"/>
        <v>-0.80000000000000426</v>
      </c>
      <c r="E74">
        <f t="shared" si="4"/>
        <v>0.10000000000000142</v>
      </c>
      <c r="F74">
        <f t="shared" si="5"/>
        <v>-0.5</v>
      </c>
      <c r="I74">
        <v>-0.80000000000000426</v>
      </c>
      <c r="J74">
        <v>0.10000000000000142</v>
      </c>
      <c r="K74">
        <v>-0.5</v>
      </c>
    </row>
    <row r="75" spans="1:11" x14ac:dyDescent="0.3">
      <c r="A75" t="s">
        <v>75</v>
      </c>
      <c r="B75">
        <v>56.4</v>
      </c>
      <c r="C75">
        <f t="shared" si="3"/>
        <v>0.39999999999999858</v>
      </c>
      <c r="D75">
        <f t="shared" si="3"/>
        <v>1.1000000000000014</v>
      </c>
      <c r="E75">
        <f t="shared" si="4"/>
        <v>-0.70000000000000284</v>
      </c>
      <c r="F75">
        <f t="shared" si="5"/>
        <v>-0.80000000000000426</v>
      </c>
      <c r="I75">
        <v>1.1000000000000014</v>
      </c>
      <c r="J75">
        <v>-0.70000000000000284</v>
      </c>
      <c r="K75">
        <v>-0.80000000000000426</v>
      </c>
    </row>
    <row r="76" spans="1:11" x14ac:dyDescent="0.3">
      <c r="A76" t="s">
        <v>76</v>
      </c>
      <c r="B76">
        <v>56.3</v>
      </c>
      <c r="C76">
        <f t="shared" si="3"/>
        <v>-0.10000000000000142</v>
      </c>
      <c r="D76">
        <f t="shared" si="3"/>
        <v>-0.5</v>
      </c>
      <c r="E76">
        <f t="shared" si="4"/>
        <v>0.39999999999999858</v>
      </c>
      <c r="F76">
        <f t="shared" si="5"/>
        <v>1.1000000000000014</v>
      </c>
      <c r="I76">
        <v>-0.5</v>
      </c>
      <c r="J76">
        <v>0.39999999999999858</v>
      </c>
      <c r="K76">
        <v>1.1000000000000014</v>
      </c>
    </row>
    <row r="77" spans="1:11" x14ac:dyDescent="0.3">
      <c r="A77" t="s">
        <v>77</v>
      </c>
      <c r="B77">
        <v>58.3</v>
      </c>
      <c r="C77">
        <f t="shared" si="3"/>
        <v>2</v>
      </c>
      <c r="D77">
        <f t="shared" si="3"/>
        <v>2.1000000000000014</v>
      </c>
      <c r="E77">
        <f t="shared" si="4"/>
        <v>-0.10000000000000142</v>
      </c>
      <c r="F77">
        <f t="shared" si="5"/>
        <v>-0.5</v>
      </c>
      <c r="I77">
        <v>2.1000000000000014</v>
      </c>
      <c r="J77">
        <v>-0.10000000000000142</v>
      </c>
      <c r="K77">
        <v>-0.5</v>
      </c>
    </row>
    <row r="78" spans="1:11" x14ac:dyDescent="0.3">
      <c r="A78" t="s">
        <v>78</v>
      </c>
      <c r="B78">
        <v>57.5</v>
      </c>
      <c r="C78">
        <f t="shared" si="3"/>
        <v>-0.79999999999999716</v>
      </c>
      <c r="D78">
        <f t="shared" si="3"/>
        <v>-2.7999999999999972</v>
      </c>
      <c r="E78">
        <f t="shared" si="4"/>
        <v>2</v>
      </c>
      <c r="F78">
        <f t="shared" si="5"/>
        <v>2.1000000000000014</v>
      </c>
      <c r="I78">
        <v>-2.7999999999999972</v>
      </c>
      <c r="J78">
        <v>2</v>
      </c>
      <c r="K78">
        <v>2.1000000000000014</v>
      </c>
    </row>
    <row r="79" spans="1:11" x14ac:dyDescent="0.3">
      <c r="A79" t="s">
        <v>79</v>
      </c>
      <c r="B79">
        <v>57.6</v>
      </c>
      <c r="C79">
        <f t="shared" si="3"/>
        <v>0.10000000000000142</v>
      </c>
      <c r="D79">
        <f t="shared" si="3"/>
        <v>0.89999999999999858</v>
      </c>
      <c r="E79">
        <f t="shared" si="4"/>
        <v>-0.79999999999999716</v>
      </c>
      <c r="F79">
        <f t="shared" si="5"/>
        <v>-2.7999999999999972</v>
      </c>
      <c r="I79">
        <v>0.89999999999999858</v>
      </c>
      <c r="J79">
        <v>-0.79999999999999716</v>
      </c>
      <c r="K79">
        <v>-2.7999999999999972</v>
      </c>
    </row>
    <row r="80" spans="1:11" x14ac:dyDescent="0.3">
      <c r="A80" t="s">
        <v>80</v>
      </c>
      <c r="B80">
        <v>56.9</v>
      </c>
      <c r="C80">
        <f t="shared" si="3"/>
        <v>-0.70000000000000284</v>
      </c>
      <c r="D80">
        <f t="shared" si="3"/>
        <v>-0.80000000000000426</v>
      </c>
      <c r="E80">
        <f t="shared" si="4"/>
        <v>0.10000000000000142</v>
      </c>
      <c r="F80">
        <f t="shared" si="5"/>
        <v>0.89999999999999858</v>
      </c>
      <c r="I80">
        <v>-0.80000000000000426</v>
      </c>
      <c r="J80">
        <v>0.10000000000000142</v>
      </c>
      <c r="K80">
        <v>0.89999999999999858</v>
      </c>
    </row>
    <row r="81" spans="1:11" x14ac:dyDescent="0.3">
      <c r="A81" t="s">
        <v>81</v>
      </c>
      <c r="B81">
        <v>56.9</v>
      </c>
      <c r="C81">
        <f t="shared" si="3"/>
        <v>0</v>
      </c>
      <c r="D81">
        <f t="shared" si="3"/>
        <v>0.70000000000000284</v>
      </c>
      <c r="E81">
        <f t="shared" si="4"/>
        <v>-0.70000000000000284</v>
      </c>
      <c r="F81">
        <f t="shared" si="5"/>
        <v>-0.80000000000000426</v>
      </c>
      <c r="I81">
        <v>0.70000000000000284</v>
      </c>
      <c r="J81">
        <v>-0.70000000000000284</v>
      </c>
      <c r="K81">
        <v>-0.80000000000000426</v>
      </c>
    </row>
    <row r="82" spans="1:11" x14ac:dyDescent="0.3">
      <c r="A82" t="s">
        <v>82</v>
      </c>
      <c r="B82">
        <v>57.1</v>
      </c>
      <c r="C82">
        <f t="shared" si="3"/>
        <v>0.20000000000000284</v>
      </c>
      <c r="D82">
        <f t="shared" si="3"/>
        <v>0.20000000000000284</v>
      </c>
      <c r="E82">
        <f t="shared" si="4"/>
        <v>0</v>
      </c>
      <c r="F82">
        <f t="shared" si="5"/>
        <v>0.70000000000000284</v>
      </c>
      <c r="I82">
        <v>0.20000000000000284</v>
      </c>
      <c r="J82">
        <v>0</v>
      </c>
      <c r="K82">
        <v>0.70000000000000284</v>
      </c>
    </row>
    <row r="83" spans="1:11" x14ac:dyDescent="0.3">
      <c r="A83" t="s">
        <v>83</v>
      </c>
      <c r="B83">
        <v>57.4</v>
      </c>
      <c r="C83">
        <f t="shared" si="3"/>
        <v>0.29999999999999716</v>
      </c>
      <c r="D83">
        <f t="shared" si="3"/>
        <v>9.9999999999994316E-2</v>
      </c>
      <c r="E83">
        <f t="shared" si="4"/>
        <v>0.20000000000000284</v>
      </c>
      <c r="F83">
        <f t="shared" si="5"/>
        <v>0.20000000000000284</v>
      </c>
      <c r="I83">
        <v>9.9999999999994316E-2</v>
      </c>
      <c r="J83">
        <v>0.20000000000000284</v>
      </c>
      <c r="K83">
        <v>0.20000000000000284</v>
      </c>
    </row>
    <row r="84" spans="1:11" x14ac:dyDescent="0.3">
      <c r="A84" t="s">
        <v>84</v>
      </c>
      <c r="B84">
        <v>57.7</v>
      </c>
      <c r="C84">
        <f t="shared" si="3"/>
        <v>0.30000000000000426</v>
      </c>
      <c r="D84">
        <f>C84-C83</f>
        <v>7.1054273576010019E-15</v>
      </c>
      <c r="E84">
        <f t="shared" si="4"/>
        <v>0.29999999999999716</v>
      </c>
      <c r="F84">
        <f t="shared" si="5"/>
        <v>9.9999999999994316E-2</v>
      </c>
      <c r="I84">
        <v>7.1054273576010019E-15</v>
      </c>
      <c r="J84">
        <v>0.29999999999999716</v>
      </c>
      <c r="K84">
        <v>9.9999999999994316E-2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Nguyen Duc</dc:creator>
  <cp:lastModifiedBy>Nguyễn Đức Linh</cp:lastModifiedBy>
  <dcterms:created xsi:type="dcterms:W3CDTF">2015-06-05T18:17:20Z</dcterms:created>
  <dcterms:modified xsi:type="dcterms:W3CDTF">2025-05-14T17:06:26Z</dcterms:modified>
</cp:coreProperties>
</file>