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cli\Desktop\"/>
    </mc:Choice>
  </mc:AlternateContent>
  <xr:revisionPtr revIDLastSave="0" documentId="13_ncr:1_{852FF455-FB49-4C54-B6AF-898FF1C9C9F0}" xr6:coauthVersionLast="47" xr6:coauthVersionMax="47" xr10:uidLastSave="{00000000-0000-0000-0000-000000000000}"/>
  <bookViews>
    <workbookView xWindow="-120" yWindow="-120" windowWidth="29040" windowHeight="15720" activeTab="1" xr2:uid="{B7C4FFE6-B34A-4D33-B6A0-8C48F3487F55}"/>
  </bookViews>
  <sheets>
    <sheet name="RNN" sheetId="1" r:id="rId1"/>
    <sheet name="Random For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1" l="1"/>
  <c r="E56" i="1"/>
  <c r="G50" i="1"/>
  <c r="D50" i="1"/>
  <c r="E50" i="1"/>
  <c r="D46" i="1"/>
  <c r="D20" i="1" a="1"/>
  <c r="D20" i="1" s="1"/>
  <c r="D26" i="1" s="1"/>
  <c r="K49" i="1" s="1"/>
  <c r="L36" i="2"/>
  <c r="L22" i="2"/>
  <c r="P21" i="2"/>
  <c r="M21" i="2"/>
  <c r="N21" i="2"/>
  <c r="O21" i="2"/>
  <c r="L21" i="2"/>
  <c r="M18" i="2"/>
  <c r="N17" i="2"/>
  <c r="K50" i="1"/>
  <c r="K51" i="1"/>
  <c r="D21" i="1" a="1"/>
  <c r="D21" i="1" s="1"/>
  <c r="D27" i="1" s="1"/>
  <c r="D22" i="1" a="1"/>
  <c r="D22" i="1" s="1"/>
  <c r="D28" i="1" s="1"/>
  <c r="J7" i="1" s="1"/>
  <c r="H7" i="1" l="1"/>
  <c r="E21" i="1" s="1" a="1"/>
  <c r="E21" i="1" s="1"/>
  <c r="D35" i="1" a="1"/>
  <c r="D35" i="1" s="1"/>
  <c r="D39" i="1" s="1"/>
  <c r="I7" i="1"/>
  <c r="E22" i="1" s="1" a="1"/>
  <c r="E22" i="1" s="1"/>
  <c r="E28" i="1" s="1"/>
  <c r="J9" i="1" l="1"/>
  <c r="L51" i="1"/>
  <c r="D43" i="1"/>
  <c r="E20" i="1" a="1"/>
  <c r="E20" i="1" s="1"/>
  <c r="E26" i="1" s="1"/>
  <c r="E27" i="1"/>
  <c r="H9" i="1" l="1"/>
  <c r="L49" i="1"/>
  <c r="I9" i="1"/>
  <c r="L50" i="1"/>
  <c r="E59" i="1" a="1"/>
  <c r="E59" i="1" s="1"/>
  <c r="F21" i="1" a="1"/>
  <c r="F21" i="1" s="1"/>
  <c r="F27" i="1" s="1"/>
  <c r="F22" i="1" a="1"/>
  <c r="F22" i="1" s="1"/>
  <c r="F28" i="1" s="1"/>
  <c r="F20" i="1" a="1"/>
  <c r="F20" i="1" s="1"/>
  <c r="F26" i="1" s="1"/>
  <c r="E35" i="1" a="1"/>
  <c r="E35" i="1" s="1"/>
  <c r="E39" i="1" s="1"/>
  <c r="E60" i="1" s="1" a="1"/>
  <c r="E60" i="1" s="1"/>
  <c r="J11" i="1" l="1"/>
  <c r="M51" i="1"/>
  <c r="H11" i="1"/>
  <c r="G20" i="1" s="1" a="1"/>
  <c r="G20" i="1" s="1"/>
  <c r="G26" i="1" s="1"/>
  <c r="N49" i="1" s="1"/>
  <c r="M49" i="1"/>
  <c r="I11" i="1"/>
  <c r="M50" i="1"/>
  <c r="F35" i="1" a="1"/>
  <c r="F35" i="1" s="1"/>
  <c r="F39" i="1" s="1"/>
  <c r="F50" i="1" s="1"/>
  <c r="E43" i="1"/>
  <c r="E61" i="1" l="1" a="1"/>
  <c r="E61" i="1" s="1"/>
  <c r="F43" i="1"/>
  <c r="G22" i="1" a="1"/>
  <c r="G22" i="1" s="1"/>
  <c r="G28" i="1" s="1"/>
  <c r="N51" i="1" s="1"/>
  <c r="G21" i="1" a="1"/>
  <c r="G21" i="1" s="1"/>
  <c r="G27" i="1" s="1"/>
  <c r="N50" i="1" s="1"/>
  <c r="G35" i="1" l="1" a="1"/>
  <c r="G35" i="1" s="1"/>
  <c r="G39" i="1" s="1"/>
  <c r="G43" i="1"/>
  <c r="E62" i="1" l="1" a="1"/>
  <c r="E62" i="1" s="1"/>
  <c r="K55" i="1" s="1" a="1"/>
  <c r="K55" i="1" s="1"/>
  <c r="D69" i="1"/>
  <c r="E55" i="1"/>
  <c r="F67" i="1" s="1"/>
  <c r="E53" i="1"/>
  <c r="E54" i="1"/>
  <c r="E6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<sst xmlns="http://schemas.openxmlformats.org/spreadsheetml/2006/main" count="159" uniqueCount="102">
  <si>
    <t xml:space="preserve">Kích thước input x_t: </t>
  </si>
  <si>
    <t>Kích thước hidden state h_t:</t>
  </si>
  <si>
    <t>Kích thước output y_t</t>
  </si>
  <si>
    <t xml:space="preserve">Độ dài chuỗi thời gian </t>
  </si>
  <si>
    <t>X1</t>
  </si>
  <si>
    <t>X2</t>
  </si>
  <si>
    <t>X3</t>
  </si>
  <si>
    <t>X4</t>
  </si>
  <si>
    <t>Wx</t>
  </si>
  <si>
    <t>Wh</t>
  </si>
  <si>
    <t>bh</t>
  </si>
  <si>
    <t>Hidden stage</t>
  </si>
  <si>
    <t>F1</t>
  </si>
  <si>
    <t>F{t} = Wx*X{t} + Wh*H{t-1} + bh</t>
  </si>
  <si>
    <t>H{t} = tanh(A{t})</t>
  </si>
  <si>
    <t>H1</t>
  </si>
  <si>
    <t>Wy</t>
  </si>
  <si>
    <t>by</t>
  </si>
  <si>
    <t>O{t} = Wy * H{t} + by</t>
  </si>
  <si>
    <t>Ouput</t>
  </si>
  <si>
    <t>Y1</t>
  </si>
  <si>
    <t>Y2</t>
  </si>
  <si>
    <t>Y3</t>
  </si>
  <si>
    <t>Y4</t>
  </si>
  <si>
    <t>=&gt;</t>
  </si>
  <si>
    <t>y1</t>
  </si>
  <si>
    <t>y2</t>
  </si>
  <si>
    <t>y3</t>
  </si>
  <si>
    <t>y4</t>
  </si>
  <si>
    <t>L1 =( Y1 - y1)^2</t>
  </si>
  <si>
    <t>L =( L1 + L2 + L3 + L4) /4</t>
  </si>
  <si>
    <t>Lan truyền ngược để tính gradient</t>
  </si>
  <si>
    <t>t=1</t>
  </si>
  <si>
    <t>t=2</t>
  </si>
  <si>
    <t>t=3</t>
  </si>
  <si>
    <t>t=4</t>
  </si>
  <si>
    <t>Gradient theo Wy by</t>
  </si>
  <si>
    <t>lan truyền ngược x hiddent</t>
  </si>
  <si>
    <t>tổng lan truyên</t>
  </si>
  <si>
    <t>gradient ht</t>
  </si>
  <si>
    <t>1-ht^2</t>
  </si>
  <si>
    <t>gradient x (1-ht^2)</t>
  </si>
  <si>
    <t>h1</t>
  </si>
  <si>
    <t>h2</t>
  </si>
  <si>
    <t>h3</t>
  </si>
  <si>
    <t>g1</t>
  </si>
  <si>
    <t>g2</t>
  </si>
  <si>
    <t>g3</t>
  </si>
  <si>
    <t>g4</t>
  </si>
  <si>
    <t>h4</t>
  </si>
  <si>
    <t>learning rate = 0.01</t>
  </si>
  <si>
    <t>Wynew</t>
  </si>
  <si>
    <t>b_new</t>
  </si>
  <si>
    <r>
      <t>[</t>
    </r>
    <r>
      <rPr>
        <sz val="11"/>
        <color rgb="FF116644"/>
        <rFont val="Courier New"/>
        <family val="3"/>
      </rPr>
      <t>10</t>
    </r>
    <r>
      <rPr>
        <sz val="11"/>
        <color rgb="FF000000"/>
        <rFont val="Courier New"/>
        <family val="3"/>
      </rPr>
      <t xml:space="preserve">, </t>
    </r>
    <r>
      <rPr>
        <sz val="11"/>
        <color rgb="FF116644"/>
        <rFont val="Courier New"/>
        <family val="3"/>
      </rPr>
      <t>12</t>
    </r>
    <r>
      <rPr>
        <sz val="11"/>
        <color rgb="FF000000"/>
        <rFont val="Courier New"/>
        <family val="3"/>
      </rPr>
      <t xml:space="preserve">, </t>
    </r>
    <r>
      <rPr>
        <sz val="11"/>
        <color rgb="FF116644"/>
        <rFont val="Courier New"/>
        <family val="3"/>
      </rPr>
      <t>11</t>
    </r>
    <r>
      <rPr>
        <sz val="11"/>
        <color rgb="FF000000"/>
        <rFont val="Courier New"/>
        <family val="3"/>
      </rPr>
      <t xml:space="preserve">, </t>
    </r>
    <r>
      <rPr>
        <sz val="11"/>
        <color rgb="FF116644"/>
        <rFont val="Courier New"/>
        <family val="3"/>
      </rPr>
      <t>13</t>
    </r>
    <r>
      <rPr>
        <sz val="11"/>
        <color rgb="FF000000"/>
        <rFont val="Courier New"/>
        <family val="3"/>
      </rPr>
      <t xml:space="preserve">, </t>
    </r>
    <r>
      <rPr>
        <sz val="11"/>
        <color rgb="FF116644"/>
        <rFont val="Courier New"/>
        <family val="3"/>
      </rPr>
      <t>14</t>
    </r>
    <r>
      <rPr>
        <sz val="11"/>
        <color rgb="FF000000"/>
        <rFont val="Courier New"/>
        <family val="3"/>
      </rPr>
      <t xml:space="preserve">, </t>
    </r>
    <r>
      <rPr>
        <sz val="11"/>
        <color rgb="FF116644"/>
        <rFont val="Courier New"/>
        <family val="3"/>
      </rPr>
      <t>16</t>
    </r>
    <r>
      <rPr>
        <sz val="11"/>
        <color rgb="FF000000"/>
        <rFont val="Courier New"/>
        <family val="3"/>
      </rPr>
      <t xml:space="preserve">, </t>
    </r>
    <r>
      <rPr>
        <sz val="11"/>
        <color rgb="FF116644"/>
        <rFont val="Courier New"/>
        <family val="3"/>
      </rPr>
      <t>15</t>
    </r>
    <r>
      <rPr>
        <sz val="11"/>
        <color rgb="FF000000"/>
        <rFont val="Courier New"/>
        <family val="3"/>
      </rPr>
      <t xml:space="preserve">, </t>
    </r>
    <r>
      <rPr>
        <sz val="11"/>
        <color rgb="FF116644"/>
        <rFont val="Courier New"/>
        <family val="3"/>
      </rPr>
      <t>17</t>
    </r>
    <r>
      <rPr>
        <sz val="11"/>
        <color rgb="FF000000"/>
        <rFont val="Courier New"/>
        <family val="3"/>
      </rPr>
      <t xml:space="preserve">, </t>
    </r>
    <r>
      <rPr>
        <sz val="11"/>
        <color rgb="FF116644"/>
        <rFont val="Courier New"/>
        <family val="3"/>
      </rPr>
      <t>18</t>
    </r>
    <r>
      <rPr>
        <sz val="11"/>
        <color rgb="FF000000"/>
        <rFont val="Courier New"/>
        <family val="3"/>
      </rPr>
      <t xml:space="preserve">, </t>
    </r>
    <r>
      <rPr>
        <sz val="11"/>
        <color rgb="FF116644"/>
        <rFont val="Courier New"/>
        <family val="3"/>
      </rPr>
      <t>20</t>
    </r>
    <r>
      <rPr>
        <sz val="11"/>
        <color rgb="FF000000"/>
        <rFont val="Courier New"/>
        <family val="3"/>
      </rPr>
      <t xml:space="preserve">] </t>
    </r>
  </si>
  <si>
    <t>X_0</t>
  </si>
  <si>
    <t>X_1</t>
  </si>
  <si>
    <t>X_2</t>
  </si>
  <si>
    <t>X_3</t>
  </si>
  <si>
    <t>X_4</t>
  </si>
  <si>
    <t>X_5</t>
  </si>
  <si>
    <t>y0</t>
  </si>
  <si>
    <t>y5</t>
  </si>
  <si>
    <t xml:space="preserve">Building Tree 1 </t>
  </si>
  <si>
    <t>Building Tree 2</t>
  </si>
  <si>
    <t>Building Tree 3</t>
  </si>
  <si>
    <t xml:space="preserve">[16, 15, 17, 18] </t>
  </si>
  <si>
    <t>lag4</t>
  </si>
  <si>
    <t>lag3</t>
  </si>
  <si>
    <t>lag2</t>
  </si>
  <si>
    <t>lag1</t>
  </si>
  <si>
    <t>Giả sử: split tại col lag3</t>
  </si>
  <si>
    <t xml:space="preserve">-&gt; </t>
  </si>
  <si>
    <t>Nếu split lại 15</t>
  </si>
  <si>
    <t>&lt; 15 dự đoán (14+15+17)/3 = 15.333</t>
  </si>
  <si>
    <t>mse</t>
  </si>
  <si>
    <t>mse chung</t>
  </si>
  <si>
    <t>nếu split tại 12.5</t>
  </si>
  <si>
    <t>&gt;12.5 -&gt; dự đoán (18+18+17+15)/4 = 17</t>
  </si>
  <si>
    <t>&lt; 12.5 dự đoán 14</t>
  </si>
  <si>
    <t>se</t>
  </si>
  <si>
    <t xml:space="preserve">-&gt; chọn ngưỡng 15 vì mse thấp hơn </t>
  </si>
  <si>
    <t>Giả sử: split tại col lag4, split tại 12.5</t>
  </si>
  <si>
    <t>&gt;12.5</t>
  </si>
  <si>
    <t>dự đoán 17</t>
  </si>
  <si>
    <t>&lt;12.5</t>
  </si>
  <si>
    <t>dự đoán15</t>
  </si>
  <si>
    <t>&gt;15</t>
  </si>
  <si>
    <t>Giả sử: split tại col lag2, ngưỡng = 14.5</t>
  </si>
  <si>
    <t>dự đoán 18</t>
  </si>
  <si>
    <t>&lt;14.5</t>
  </si>
  <si>
    <t>dự đoán 15.5</t>
  </si>
  <si>
    <t xml:space="preserve">mse </t>
  </si>
  <si>
    <t xml:space="preserve">Khi cần dự đoán </t>
  </si>
  <si>
    <t xml:space="preserve">cây 1:  </t>
  </si>
  <si>
    <t xml:space="preserve"> lag3</t>
  </si>
  <si>
    <t>&gt;=15 -&gt; dự đoán 18</t>
  </si>
  <si>
    <t xml:space="preserve">&gt;=15 </t>
  </si>
  <si>
    <t>cây 2</t>
  </si>
  <si>
    <t>lag 4</t>
  </si>
  <si>
    <t>cây 3</t>
  </si>
  <si>
    <t xml:space="preserve">dự đoán 18 </t>
  </si>
  <si>
    <t>Trung bình =( 17+18+18  )/3 = 17.666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</si>
</sst>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ourier New"/>
      <family val="3"/>
    </font>
    <font>
      <sz val="11"/>
      <color rgb="FF116644"/>
      <name val="Courier New"/>
      <family val="3"/>
    </font>
    <font>
      <sz val="11"/>
      <color rgb="FF1F1F1F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1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0" borderId="0" xfId="0" applyFont="1"/>
    <xf numFmtId="0" fontId="0" fillId="0" borderId="0" xfId="0" quotePrefix="1"/>
    <xf numFmtId="0" fontId="4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091E-90B0-49DF-817B-7D7FE69C828F}">
  <dimension ref="A1:N69"/>
  <sheetViews>
    <sheetView topLeftCell="A27" zoomScale="85" zoomScaleNormal="85" workbookViewId="0">
      <selection activeCell="G65" sqref="G65"/>
    </sheetView>
  </sheetViews>
  <sheetFormatPr defaultRowHeight="15" x14ac:dyDescent="0.25"/>
  <cols>
    <col min="1" max="1" width="25.7109375" bestFit="1" customWidth="1"/>
    <col min="4" max="4" width="28.7109375" bestFit="1" customWidth="1"/>
    <col min="5" max="5" width="24.42578125" bestFit="1" customWidth="1"/>
    <col min="6" max="6" width="12.42578125" bestFit="1" customWidth="1"/>
    <col min="7" max="7" width="20.140625" customWidth="1"/>
    <col min="8" max="8" width="13.7109375" customWidth="1"/>
  </cols>
  <sheetData>
    <row r="1" spans="1:11" x14ac:dyDescent="0.25">
      <c r="A1" t="s">
        <v>0</v>
      </c>
      <c r="B1">
        <v>4</v>
      </c>
    </row>
    <row r="2" spans="1:11" x14ac:dyDescent="0.25">
      <c r="A2" t="s">
        <v>1</v>
      </c>
      <c r="B2">
        <v>3</v>
      </c>
    </row>
    <row r="3" spans="1:11" x14ac:dyDescent="0.25">
      <c r="A3" t="s">
        <v>2</v>
      </c>
      <c r="B3">
        <v>1</v>
      </c>
    </row>
    <row r="4" spans="1:11" x14ac:dyDescent="0.25">
      <c r="A4" t="s">
        <v>3</v>
      </c>
      <c r="B4">
        <v>4</v>
      </c>
      <c r="C4" t="s">
        <v>25</v>
      </c>
      <c r="D4" t="s">
        <v>4</v>
      </c>
      <c r="H4" t="s">
        <v>11</v>
      </c>
    </row>
    <row r="5" spans="1:11" x14ac:dyDescent="0.25">
      <c r="C5">
        <v>0.4</v>
      </c>
      <c r="D5" s="2">
        <v>2</v>
      </c>
      <c r="E5" s="2">
        <v>-1</v>
      </c>
      <c r="F5" s="2">
        <v>0</v>
      </c>
      <c r="G5" s="2">
        <v>1</v>
      </c>
      <c r="H5" s="3">
        <v>0</v>
      </c>
      <c r="I5" s="3">
        <v>0</v>
      </c>
      <c r="J5" s="3">
        <v>0</v>
      </c>
      <c r="K5" s="1">
        <v>1</v>
      </c>
    </row>
    <row r="6" spans="1:11" x14ac:dyDescent="0.25">
      <c r="C6" t="s">
        <v>26</v>
      </c>
      <c r="D6" t="s">
        <v>5</v>
      </c>
    </row>
    <row r="7" spans="1:11" x14ac:dyDescent="0.25">
      <c r="C7">
        <v>0.6</v>
      </c>
      <c r="D7" s="2">
        <v>1</v>
      </c>
      <c r="E7" s="2">
        <v>0</v>
      </c>
      <c r="F7" s="2">
        <v>1</v>
      </c>
      <c r="G7" s="2">
        <v>0</v>
      </c>
      <c r="H7" s="5">
        <f>D26</f>
        <v>0.99932929973906692</v>
      </c>
      <c r="I7" s="5">
        <f>D27</f>
        <v>-0.99505475368673058</v>
      </c>
      <c r="J7" s="5">
        <f>D28</f>
        <v>-0.76159415595576485</v>
      </c>
      <c r="K7" s="1">
        <v>1</v>
      </c>
    </row>
    <row r="8" spans="1:11" x14ac:dyDescent="0.25">
      <c r="C8" t="s">
        <v>27</v>
      </c>
      <c r="D8" t="s">
        <v>6</v>
      </c>
    </row>
    <row r="9" spans="1:11" x14ac:dyDescent="0.25">
      <c r="C9">
        <v>0.5</v>
      </c>
      <c r="D9" s="2">
        <v>1</v>
      </c>
      <c r="E9" s="2">
        <v>1</v>
      </c>
      <c r="F9" s="2">
        <v>0</v>
      </c>
      <c r="G9" s="2">
        <v>0</v>
      </c>
      <c r="H9" s="5">
        <f>E26</f>
        <v>0.84480840963339454</v>
      </c>
      <c r="I9" s="5">
        <f>E27</f>
        <v>-0.94212754684389821</v>
      </c>
      <c r="J9" s="5">
        <f>E28</f>
        <v>4.945206000904266E-3</v>
      </c>
      <c r="K9" s="1">
        <v>1</v>
      </c>
    </row>
    <row r="10" spans="1:11" x14ac:dyDescent="0.25">
      <c r="C10" t="s">
        <v>28</v>
      </c>
      <c r="D10" t="s">
        <v>7</v>
      </c>
    </row>
    <row r="11" spans="1:11" x14ac:dyDescent="0.25">
      <c r="C11">
        <v>0.7</v>
      </c>
      <c r="D11" s="2">
        <v>1</v>
      </c>
      <c r="E11" s="2">
        <v>2</v>
      </c>
      <c r="F11" s="2">
        <v>-1</v>
      </c>
      <c r="G11" s="2">
        <v>2</v>
      </c>
      <c r="H11" s="5">
        <f>F26</f>
        <v>0.99332710896593535</v>
      </c>
      <c r="I11" s="5">
        <f>F27</f>
        <v>6.2735161988205848E-2</v>
      </c>
      <c r="J11" s="5">
        <f>F28</f>
        <v>0.78484821598210719</v>
      </c>
      <c r="K11" s="1">
        <v>1</v>
      </c>
    </row>
    <row r="13" spans="1:11" x14ac:dyDescent="0.25">
      <c r="D13" s="7" t="s">
        <v>8</v>
      </c>
      <c r="E13" s="7"/>
      <c r="F13" s="7"/>
      <c r="G13" s="7"/>
      <c r="H13" s="8" t="s">
        <v>9</v>
      </c>
      <c r="I13" s="8"/>
      <c r="J13" s="8"/>
      <c r="K13" s="2" t="s">
        <v>10</v>
      </c>
    </row>
    <row r="14" spans="1:11" x14ac:dyDescent="0.25">
      <c r="D14" s="7">
        <v>1</v>
      </c>
      <c r="E14" s="7">
        <v>0</v>
      </c>
      <c r="F14" s="7">
        <v>-1</v>
      </c>
      <c r="G14" s="7">
        <v>1</v>
      </c>
      <c r="H14" s="8">
        <v>1</v>
      </c>
      <c r="I14" s="8">
        <v>0</v>
      </c>
      <c r="J14" s="8">
        <v>1</v>
      </c>
      <c r="K14" s="2">
        <v>1</v>
      </c>
    </row>
    <row r="15" spans="1:11" x14ac:dyDescent="0.25">
      <c r="D15" s="7">
        <v>0</v>
      </c>
      <c r="E15" s="7">
        <v>2</v>
      </c>
      <c r="F15" s="7">
        <v>1</v>
      </c>
      <c r="G15" s="7">
        <v>0</v>
      </c>
      <c r="H15" s="8">
        <v>0</v>
      </c>
      <c r="I15" s="8">
        <v>1</v>
      </c>
      <c r="J15" s="8">
        <v>1</v>
      </c>
      <c r="K15" s="2">
        <v>-1</v>
      </c>
    </row>
    <row r="16" spans="1:11" x14ac:dyDescent="0.25">
      <c r="D16" s="7">
        <v>1</v>
      </c>
      <c r="E16" s="7">
        <v>2</v>
      </c>
      <c r="F16" s="7">
        <v>1</v>
      </c>
      <c r="G16" s="7">
        <v>0</v>
      </c>
      <c r="H16" s="8">
        <v>0</v>
      </c>
      <c r="I16" s="8">
        <v>1</v>
      </c>
      <c r="J16" s="8">
        <v>0</v>
      </c>
      <c r="K16" s="2">
        <v>-1</v>
      </c>
    </row>
    <row r="18" spans="4:7" x14ac:dyDescent="0.25">
      <c r="D18" s="4" t="s">
        <v>13</v>
      </c>
    </row>
    <row r="19" spans="4:7" x14ac:dyDescent="0.25">
      <c r="D19" t="s">
        <v>12</v>
      </c>
    </row>
    <row r="20" spans="4:7" x14ac:dyDescent="0.25">
      <c r="D20" cm="1">
        <f t="array" ref="D20">MMULT($D14:$K14,TRANSPOSE($D$5:$K$5))</f>
        <v>4</v>
      </c>
      <c r="E20" cm="1">
        <f t="array" ref="E20">MMULT($D14:$K14,TRANSPOSE($D$7:$K$7))</f>
        <v>1.237735143783302</v>
      </c>
      <c r="F20" cm="1">
        <f t="array" ref="F20">MMULT($D14:$K14,TRANSPOSE($D$9:$K$9))</f>
        <v>2.8497536156342989</v>
      </c>
      <c r="G20" cm="1">
        <f t="array" ref="G20">MMULT($D14:$K14,TRANSPOSE($D$11:$K$11))</f>
        <v>6.7781753249480428</v>
      </c>
    </row>
    <row r="21" spans="4:7" x14ac:dyDescent="0.25">
      <c r="D21" cm="1">
        <f t="array" ref="D21">MMULT($D15:$K15,TRANSPOSE($D$5:$K$5))</f>
        <v>-3</v>
      </c>
      <c r="E21" cm="1">
        <f t="array" ref="E21">MMULT($D15:$K15,TRANSPOSE($D$7:$K$7))</f>
        <v>-1.7566489096424953</v>
      </c>
      <c r="F21" cm="1">
        <f t="array" ref="F21">MMULT($D15:$K15,TRANSPOSE($D$9:$K$9))</f>
        <v>6.2817659157005989E-2</v>
      </c>
      <c r="G21" cm="1">
        <f t="array" ref="G21">MMULT($D15:$K15,TRANSPOSE($D$11:$K$11))</f>
        <v>2.847583377970313</v>
      </c>
    </row>
    <row r="22" spans="4:7" x14ac:dyDescent="0.25">
      <c r="D22" cm="1">
        <f t="array" ref="D22">MMULT($D16:$K16,TRANSPOSE($D$5:$K$5))</f>
        <v>-1</v>
      </c>
      <c r="E22" cm="1">
        <f t="array" ref="E22">MMULT($D16:$K16,TRANSPOSE($D$7:$K$7))</f>
        <v>4.9452463132695357E-3</v>
      </c>
      <c r="F22" cm="1">
        <f t="array" ref="F22">MMULT($D16:$K16,TRANSPOSE($D$9:$K$9))</f>
        <v>1.0578724531561017</v>
      </c>
      <c r="G22" cm="1">
        <f t="array" ref="G22">MMULT($D16:$K16,TRANSPOSE($D$11:$K$11))</f>
        <v>3.0627351619882059</v>
      </c>
    </row>
    <row r="24" spans="4:7" x14ac:dyDescent="0.25">
      <c r="D24" s="4" t="s">
        <v>14</v>
      </c>
    </row>
    <row r="25" spans="4:7" x14ac:dyDescent="0.25">
      <c r="D25" t="s">
        <v>15</v>
      </c>
    </row>
    <row r="26" spans="4:7" x14ac:dyDescent="0.25">
      <c r="D26" s="5">
        <f>TANH(D20)</f>
        <v>0.99932929973906692</v>
      </c>
      <c r="E26" s="5">
        <f>TANH(E20)</f>
        <v>0.84480840963339454</v>
      </c>
      <c r="F26" s="5">
        <f>TANH(F20)</f>
        <v>0.99332710896593535</v>
      </c>
      <c r="G26" s="10">
        <f>TANH(G20)</f>
        <v>0.99999740832135109</v>
      </c>
    </row>
    <row r="27" spans="4:7" x14ac:dyDescent="0.25">
      <c r="D27" s="5">
        <f t="shared" ref="D27:D28" si="0">TANH(D21)</f>
        <v>-0.99505475368673058</v>
      </c>
      <c r="E27" s="5">
        <f t="shared" ref="E27:G28" si="1">TANH(E21)</f>
        <v>-0.94212754684389821</v>
      </c>
      <c r="F27" s="5">
        <f t="shared" si="1"/>
        <v>6.2735161988205848E-2</v>
      </c>
      <c r="G27" s="10">
        <f t="shared" si="1"/>
        <v>0.99329817976335721</v>
      </c>
    </row>
    <row r="28" spans="4:7" x14ac:dyDescent="0.25">
      <c r="D28" s="5">
        <f t="shared" si="0"/>
        <v>-0.76159415595576485</v>
      </c>
      <c r="E28" s="5">
        <f t="shared" si="1"/>
        <v>4.945206000904266E-3</v>
      </c>
      <c r="F28" s="5">
        <f t="shared" si="1"/>
        <v>0.78484821598210719</v>
      </c>
      <c r="G28" s="10">
        <f t="shared" si="1"/>
        <v>0.99563661531598702</v>
      </c>
    </row>
    <row r="29" spans="4:7" x14ac:dyDescent="0.25">
      <c r="D29" s="6">
        <v>1</v>
      </c>
      <c r="E29" s="6">
        <v>1</v>
      </c>
      <c r="F29" s="6">
        <v>1</v>
      </c>
      <c r="G29" s="6">
        <v>1</v>
      </c>
    </row>
    <row r="31" spans="4:7" x14ac:dyDescent="0.25">
      <c r="D31" s="9" t="s">
        <v>16</v>
      </c>
      <c r="E31" s="9"/>
      <c r="F31" s="9"/>
      <c r="G31" s="9" t="s">
        <v>17</v>
      </c>
    </row>
    <row r="32" spans="4:7" x14ac:dyDescent="0.25">
      <c r="D32" s="9">
        <v>3</v>
      </c>
      <c r="E32" s="9">
        <v>0</v>
      </c>
      <c r="F32" s="9">
        <v>-1</v>
      </c>
      <c r="G32" s="9">
        <v>3</v>
      </c>
    </row>
    <row r="34" spans="3:14" x14ac:dyDescent="0.25">
      <c r="D34" t="s">
        <v>18</v>
      </c>
    </row>
    <row r="35" spans="3:14" x14ac:dyDescent="0.25">
      <c r="D35" cm="1">
        <f t="array" ref="D35">MMULT($D$32:$G$32,D26:D29)</f>
        <v>6.7595820551729657</v>
      </c>
      <c r="E35" cm="1">
        <f t="array" ref="E35">MMULT($D$32:$G$32,E26:E29)</f>
        <v>5.5294800228992802</v>
      </c>
      <c r="F35" cm="1">
        <f t="array" ref="F35">MMULT($D$32:$G$32,F26:F29)</f>
        <v>5.1951331109156991</v>
      </c>
      <c r="G35" cm="1">
        <f t="array" ref="G35">MMULT($D$32:$G$32,G26:G29)</f>
        <v>5.0043556096480666</v>
      </c>
    </row>
    <row r="37" spans="3:14" x14ac:dyDescent="0.25">
      <c r="D37" s="4" t="s">
        <v>19</v>
      </c>
    </row>
    <row r="38" spans="3:14" x14ac:dyDescent="0.25">
      <c r="D38" t="s">
        <v>20</v>
      </c>
      <c r="E38" t="s">
        <v>21</v>
      </c>
      <c r="F38" t="s">
        <v>22</v>
      </c>
      <c r="G38" t="s">
        <v>23</v>
      </c>
    </row>
    <row r="39" spans="3:14" x14ac:dyDescent="0.25">
      <c r="C39" s="11" t="s">
        <v>24</v>
      </c>
      <c r="D39" s="4">
        <f>1/(1+EXP(-D35))</f>
        <v>0.99884162960909084</v>
      </c>
      <c r="E39" s="4">
        <f>1/(1+EXP(-E35))</f>
        <v>0.99604763135486318</v>
      </c>
      <c r="F39" s="4">
        <f>1/(1+EXP(-F35))</f>
        <v>0.99448708237122485</v>
      </c>
      <c r="G39" s="4">
        <f>1/(1+EXP(-G35))</f>
        <v>0.99333604328616831</v>
      </c>
    </row>
    <row r="42" spans="3:14" x14ac:dyDescent="0.25">
      <c r="D42" t="s">
        <v>29</v>
      </c>
    </row>
    <row r="43" spans="3:14" x14ac:dyDescent="0.25">
      <c r="D43">
        <f>(D39-C5)^2</f>
        <v>0.35861129735287151</v>
      </c>
      <c r="E43">
        <f>(E39-C7)^2</f>
        <v>0.15685372630179761</v>
      </c>
      <c r="F43">
        <f>(F39-C9)^2</f>
        <v>0.24451747463200652</v>
      </c>
      <c r="G43">
        <f>(G39-C11)^2</f>
        <v>8.6046034290784834E-2</v>
      </c>
    </row>
    <row r="45" spans="3:14" x14ac:dyDescent="0.25">
      <c r="D45" t="s">
        <v>30</v>
      </c>
    </row>
    <row r="46" spans="3:14" x14ac:dyDescent="0.25">
      <c r="D46">
        <f>SUM(D43:G43)/4</f>
        <v>0.21150713314436512</v>
      </c>
    </row>
    <row r="48" spans="3:14" x14ac:dyDescent="0.25">
      <c r="D48" t="s">
        <v>31</v>
      </c>
      <c r="J48" t="s">
        <v>40</v>
      </c>
      <c r="K48" t="s">
        <v>42</v>
      </c>
      <c r="L48" t="s">
        <v>43</v>
      </c>
      <c r="M48" t="s">
        <v>44</v>
      </c>
      <c r="N48" t="s">
        <v>49</v>
      </c>
    </row>
    <row r="49" spans="4:14" x14ac:dyDescent="0.25">
      <c r="D49" t="s">
        <v>32</v>
      </c>
      <c r="E49" t="s">
        <v>33</v>
      </c>
      <c r="F49" t="s">
        <v>34</v>
      </c>
      <c r="G49" t="s">
        <v>35</v>
      </c>
      <c r="K49">
        <f t="shared" ref="K49:N51" si="2">1-D26^2</f>
        <v>1.3409506830260876E-3</v>
      </c>
      <c r="L49">
        <f t="shared" si="2"/>
        <v>0.28629875101269464</v>
      </c>
      <c r="M49">
        <f t="shared" si="2"/>
        <v>1.3301254593376832E-2</v>
      </c>
      <c r="N49">
        <f t="shared" si="2"/>
        <v>5.1833505809728564E-6</v>
      </c>
    </row>
    <row r="50" spans="4:14" x14ac:dyDescent="0.25">
      <c r="D50">
        <f>0.5*(D39-C5)*D39*(1-D39)</f>
        <v>3.4643843686613498E-4</v>
      </c>
      <c r="E50">
        <f>0.5*(E39-C7)*E39*(1-E39)</f>
        <v>7.7956974689834832E-4</v>
      </c>
      <c r="F50">
        <f>0.5*(F39-C9)*F39*(1-F39)</f>
        <v>1.3555189866226631E-3</v>
      </c>
      <c r="G50">
        <f>0.5*(G39-C11)*G39*(1-G39)</f>
        <v>9.7087606722832303E-4</v>
      </c>
      <c r="K50">
        <f t="shared" si="2"/>
        <v>9.8660371654399892E-3</v>
      </c>
      <c r="L50">
        <f t="shared" si="2"/>
        <v>0.11239568547789835</v>
      </c>
      <c r="M50">
        <f t="shared" si="2"/>
        <v>0.99606429945031361</v>
      </c>
      <c r="N50">
        <f t="shared" si="2"/>
        <v>1.3358726078801286E-2</v>
      </c>
    </row>
    <row r="51" spans="4:14" x14ac:dyDescent="0.25">
      <c r="K51">
        <f t="shared" si="2"/>
        <v>0.41997434161402614</v>
      </c>
      <c r="L51">
        <f t="shared" si="2"/>
        <v>0.99997554493760865</v>
      </c>
      <c r="M51">
        <f t="shared" si="2"/>
        <v>0.38401327786970363</v>
      </c>
      <c r="N51">
        <f t="shared" si="2"/>
        <v>8.7077302421252334E-3</v>
      </c>
    </row>
    <row r="52" spans="4:14" x14ac:dyDescent="0.25">
      <c r="D52" t="s">
        <v>36</v>
      </c>
      <c r="E52" t="s">
        <v>37</v>
      </c>
    </row>
    <row r="53" spans="4:14" x14ac:dyDescent="0.25">
      <c r="D53">
        <v>1</v>
      </c>
      <c r="E53">
        <f>$D$50*D26+$E$50*E26+$F$50*F26+$G$50*(G26)</f>
        <v>3.3221404657515063E-3</v>
      </c>
    </row>
    <row r="54" spans="4:14" x14ac:dyDescent="0.25">
      <c r="D54">
        <v>2</v>
      </c>
      <c r="E54">
        <f>$D$50*D27+$E$50*E27+$F$50*F27+$G$50*(G27)</f>
        <v>-2.9771213144945863E-5</v>
      </c>
      <c r="J54" t="s">
        <v>41</v>
      </c>
    </row>
    <row r="55" spans="4:14" x14ac:dyDescent="0.25">
      <c r="D55">
        <v>3</v>
      </c>
      <c r="E55">
        <f t="shared" ref="E55" si="3">$D$50*D28+$E$50*E28+$F$50*F28+$G$50*(G28)</f>
        <v>1.7705260639219616E-3</v>
      </c>
      <c r="K55" cm="1">
        <f t="array" ref="K55:M58">MMULT(E59:G62,K49:M51)</f>
        <v>-1.4410158385702099E-4</v>
      </c>
      <c r="L55">
        <v>-4.8875289359852521E-5</v>
      </c>
      <c r="M55">
        <v>-1.1921276217195696E-4</v>
      </c>
    </row>
    <row r="56" spans="4:14" x14ac:dyDescent="0.25">
      <c r="D56" t="s">
        <v>38</v>
      </c>
      <c r="E56">
        <f>SUM(D50:G50)</f>
        <v>3.4524032376154691E-3</v>
      </c>
      <c r="K56">
        <v>-3.2426319744213738E-4</v>
      </c>
      <c r="L56">
        <v>-1.0998114787871068E-4</v>
      </c>
      <c r="M56">
        <v>-2.6825736680412211E-4</v>
      </c>
    </row>
    <row r="57" spans="4:14" x14ac:dyDescent="0.25">
      <c r="K57">
        <v>-5.6383014161926533E-4</v>
      </c>
      <c r="L57">
        <v>-1.9123565878908654E-4</v>
      </c>
      <c r="M57">
        <v>-4.664469798259152E-4</v>
      </c>
    </row>
    <row r="58" spans="4:14" x14ac:dyDescent="0.25">
      <c r="D58" t="s">
        <v>39</v>
      </c>
      <c r="K58">
        <v>-4.0383734634657944E-4</v>
      </c>
      <c r="L58">
        <v>-1.3697050808676714E-4</v>
      </c>
      <c r="M58">
        <v>-3.3408769173513402E-4</v>
      </c>
    </row>
    <row r="59" spans="4:14" x14ac:dyDescent="0.25">
      <c r="D59" t="s">
        <v>45</v>
      </c>
      <c r="E59" cm="1">
        <f t="array" ref="E59:G59">D50*D32:F32</f>
        <v>1.0393153105984049E-3</v>
      </c>
      <c r="F59">
        <v>0</v>
      </c>
      <c r="G59">
        <v>-3.4643843686613498E-4</v>
      </c>
    </row>
    <row r="60" spans="4:14" x14ac:dyDescent="0.25">
      <c r="D60" t="s">
        <v>46</v>
      </c>
      <c r="E60" cm="1">
        <f t="array" ref="E60:G60">E50*D32:F32</f>
        <v>2.3387092406950451E-3</v>
      </c>
      <c r="F60">
        <v>0</v>
      </c>
      <c r="G60">
        <v>-7.7956974689834832E-4</v>
      </c>
    </row>
    <row r="61" spans="4:14" x14ac:dyDescent="0.25">
      <c r="D61" t="s">
        <v>47</v>
      </c>
      <c r="E61" cm="1">
        <f t="array" ref="E61:G61">F50*D32:F32</f>
        <v>4.0665569598679896E-3</v>
      </c>
      <c r="F61">
        <v>0</v>
      </c>
      <c r="G61">
        <v>-1.3555189866226631E-3</v>
      </c>
    </row>
    <row r="62" spans="4:14" x14ac:dyDescent="0.25">
      <c r="D62" t="s">
        <v>48</v>
      </c>
      <c r="E62" cm="1">
        <f t="array" ref="E62:G62">G50*D32:F32</f>
        <v>2.9126282016849691E-3</v>
      </c>
      <c r="F62">
        <v>0</v>
      </c>
      <c r="G62">
        <v>-9.7087606722832303E-4</v>
      </c>
    </row>
    <row r="65" spans="4:6" x14ac:dyDescent="0.25">
      <c r="D65" t="s">
        <v>50</v>
      </c>
    </row>
    <row r="66" spans="4:6" x14ac:dyDescent="0.25">
      <c r="D66" t="s">
        <v>51</v>
      </c>
    </row>
    <row r="67" spans="4:6" x14ac:dyDescent="0.25">
      <c r="D67">
        <f>D32-0.01*E53</f>
        <v>2.9999667785953426</v>
      </c>
      <c r="E67">
        <f>E32-0.01*E54</f>
        <v>2.9771213144945864E-7</v>
      </c>
      <c r="F67">
        <f>F32-0.01*E55</f>
        <v>-1.0000177052606392</v>
      </c>
    </row>
    <row r="68" spans="4:6" x14ac:dyDescent="0.25">
      <c r="D68" t="s">
        <v>52</v>
      </c>
    </row>
    <row r="69" spans="4:6" x14ac:dyDescent="0.25">
      <c r="D69">
        <f>G32-0.01*E56</f>
        <v>2.999965475967624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DC4C-D15A-48FA-8715-A16FFE6FF8FB}">
  <dimension ref="A1:P52"/>
  <sheetViews>
    <sheetView tabSelected="1" topLeftCell="A13" workbookViewId="0">
      <selection activeCell="L53" sqref="L53"/>
    </sheetView>
  </sheetViews>
  <sheetFormatPr defaultRowHeight="15" x14ac:dyDescent="0.25"/>
  <cols>
    <col min="12" max="12" width="34.7109375" bestFit="1" customWidth="1"/>
  </cols>
  <sheetData>
    <row r="1" spans="1:14" x14ac:dyDescent="0.25">
      <c r="A1" s="12" t="s">
        <v>53</v>
      </c>
    </row>
    <row r="3" spans="1:14" x14ac:dyDescent="0.25"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</row>
    <row r="4" spans="1:14" x14ac:dyDescent="0.25">
      <c r="B4">
        <v>10</v>
      </c>
      <c r="D4" t="s">
        <v>66</v>
      </c>
      <c r="E4">
        <v>10</v>
      </c>
      <c r="F4">
        <v>12</v>
      </c>
      <c r="G4">
        <v>11</v>
      </c>
      <c r="H4">
        <v>13</v>
      </c>
      <c r="I4">
        <v>14</v>
      </c>
      <c r="J4">
        <v>16</v>
      </c>
    </row>
    <row r="5" spans="1:14" x14ac:dyDescent="0.25">
      <c r="B5">
        <v>12</v>
      </c>
      <c r="D5" t="s">
        <v>67</v>
      </c>
      <c r="E5">
        <v>12</v>
      </c>
      <c r="F5">
        <v>11</v>
      </c>
      <c r="G5">
        <v>13</v>
      </c>
      <c r="H5">
        <v>14</v>
      </c>
      <c r="I5">
        <v>16</v>
      </c>
      <c r="J5">
        <v>15</v>
      </c>
    </row>
    <row r="6" spans="1:14" x14ac:dyDescent="0.25">
      <c r="B6">
        <v>11</v>
      </c>
      <c r="D6" t="s">
        <v>68</v>
      </c>
      <c r="E6">
        <v>11</v>
      </c>
      <c r="F6">
        <v>13</v>
      </c>
      <c r="G6">
        <v>14</v>
      </c>
      <c r="H6">
        <v>16</v>
      </c>
      <c r="I6">
        <v>15</v>
      </c>
      <c r="J6">
        <v>17</v>
      </c>
    </row>
    <row r="7" spans="1:14" x14ac:dyDescent="0.25">
      <c r="B7">
        <v>13</v>
      </c>
      <c r="D7" t="s">
        <v>69</v>
      </c>
      <c r="E7">
        <v>13</v>
      </c>
      <c r="F7">
        <v>14</v>
      </c>
      <c r="G7">
        <v>16</v>
      </c>
      <c r="H7">
        <v>15</v>
      </c>
      <c r="I7">
        <v>17</v>
      </c>
      <c r="J7">
        <v>18</v>
      </c>
    </row>
    <row r="8" spans="1:14" x14ac:dyDescent="0.25">
      <c r="B8">
        <v>14</v>
      </c>
    </row>
    <row r="9" spans="1:14" x14ac:dyDescent="0.25">
      <c r="B9">
        <v>16</v>
      </c>
      <c r="E9" t="s">
        <v>60</v>
      </c>
      <c r="F9" t="s">
        <v>25</v>
      </c>
      <c r="G9" t="s">
        <v>26</v>
      </c>
      <c r="H9" t="s">
        <v>27</v>
      </c>
      <c r="I9" t="s">
        <v>28</v>
      </c>
      <c r="J9" t="s">
        <v>61</v>
      </c>
    </row>
    <row r="10" spans="1:14" x14ac:dyDescent="0.25">
      <c r="B10">
        <v>15</v>
      </c>
      <c r="E10">
        <v>14</v>
      </c>
      <c r="F10">
        <v>16</v>
      </c>
      <c r="G10">
        <v>15</v>
      </c>
      <c r="H10">
        <v>17</v>
      </c>
      <c r="I10">
        <v>18</v>
      </c>
      <c r="J10">
        <v>20</v>
      </c>
    </row>
    <row r="11" spans="1:14" x14ac:dyDescent="0.25">
      <c r="B11">
        <v>17</v>
      </c>
    </row>
    <row r="12" spans="1:14" x14ac:dyDescent="0.25">
      <c r="B12">
        <v>18</v>
      </c>
    </row>
    <row r="13" spans="1:14" x14ac:dyDescent="0.25">
      <c r="B13">
        <v>20</v>
      </c>
      <c r="E13" t="s">
        <v>62</v>
      </c>
    </row>
    <row r="14" spans="1:14" x14ac:dyDescent="0.25">
      <c r="E14" t="s">
        <v>58</v>
      </c>
      <c r="F14" t="s">
        <v>58</v>
      </c>
      <c r="G14" t="s">
        <v>57</v>
      </c>
      <c r="H14" t="s">
        <v>56</v>
      </c>
      <c r="I14" t="s">
        <v>54</v>
      </c>
      <c r="L14" t="s">
        <v>70</v>
      </c>
    </row>
    <row r="15" spans="1:14" x14ac:dyDescent="0.25">
      <c r="D15" t="s">
        <v>66</v>
      </c>
      <c r="E15">
        <v>14</v>
      </c>
      <c r="F15">
        <v>14</v>
      </c>
      <c r="G15">
        <v>13</v>
      </c>
      <c r="H15">
        <v>11</v>
      </c>
      <c r="I15">
        <v>10</v>
      </c>
      <c r="L15" t="s">
        <v>72</v>
      </c>
    </row>
    <row r="16" spans="1:14" x14ac:dyDescent="0.25">
      <c r="D16" t="s">
        <v>67</v>
      </c>
      <c r="E16" s="4">
        <v>16</v>
      </c>
      <c r="F16" s="4">
        <v>16</v>
      </c>
      <c r="G16" s="4">
        <v>14</v>
      </c>
      <c r="H16" s="4">
        <v>13</v>
      </c>
      <c r="I16" s="4">
        <v>12</v>
      </c>
      <c r="K16" s="11" t="s">
        <v>71</v>
      </c>
      <c r="L16" t="s">
        <v>95</v>
      </c>
      <c r="N16" t="s">
        <v>73</v>
      </c>
    </row>
    <row r="17" spans="4:16" x14ac:dyDescent="0.25">
      <c r="D17" t="s">
        <v>68</v>
      </c>
      <c r="E17">
        <v>15</v>
      </c>
      <c r="F17">
        <v>15</v>
      </c>
      <c r="G17">
        <v>16</v>
      </c>
      <c r="H17">
        <v>14</v>
      </c>
      <c r="I17">
        <v>11</v>
      </c>
      <c r="K17" t="s">
        <v>74</v>
      </c>
      <c r="L17">
        <v>0</v>
      </c>
      <c r="N17">
        <f>((15.333-17)^2 +(15-15.333)^2 + (14-15.333)^2)/3</f>
        <v>1.5555556666666668</v>
      </c>
    </row>
    <row r="18" spans="4:16" x14ac:dyDescent="0.25">
      <c r="D18" t="s">
        <v>69</v>
      </c>
      <c r="E18">
        <v>17</v>
      </c>
      <c r="F18">
        <v>17</v>
      </c>
      <c r="G18">
        <v>15</v>
      </c>
      <c r="H18">
        <v>16</v>
      </c>
      <c r="I18">
        <v>13</v>
      </c>
      <c r="K18" s="4" t="s">
        <v>75</v>
      </c>
      <c r="L18" s="4"/>
      <c r="M18" s="4">
        <f>((15.333-17)^2 +(15-15.333)^2 + (14-15.333)^2)/5</f>
        <v>0.93333340000000009</v>
      </c>
    </row>
    <row r="19" spans="4:16" x14ac:dyDescent="0.25">
      <c r="E19" t="s">
        <v>28</v>
      </c>
      <c r="F19" t="s">
        <v>28</v>
      </c>
      <c r="G19" t="s">
        <v>27</v>
      </c>
      <c r="H19" t="s">
        <v>26</v>
      </c>
      <c r="I19" t="s">
        <v>60</v>
      </c>
      <c r="L19" t="s">
        <v>76</v>
      </c>
    </row>
    <row r="20" spans="4:16" x14ac:dyDescent="0.25">
      <c r="E20">
        <v>18</v>
      </c>
      <c r="F20">
        <v>18</v>
      </c>
      <c r="G20">
        <v>17</v>
      </c>
      <c r="H20">
        <v>15</v>
      </c>
      <c r="I20">
        <v>14</v>
      </c>
      <c r="L20" t="s">
        <v>77</v>
      </c>
      <c r="P20" t="s">
        <v>78</v>
      </c>
    </row>
    <row r="21" spans="4:16" x14ac:dyDescent="0.25">
      <c r="K21" t="s">
        <v>79</v>
      </c>
      <c r="L21">
        <f>(17-E20)^2</f>
        <v>1</v>
      </c>
      <c r="M21">
        <f t="shared" ref="M21:O21" si="0">(17-F20)^2</f>
        <v>1</v>
      </c>
      <c r="N21">
        <f t="shared" si="0"/>
        <v>0</v>
      </c>
      <c r="O21">
        <f t="shared" si="0"/>
        <v>4</v>
      </c>
      <c r="P21">
        <f>0</f>
        <v>0</v>
      </c>
    </row>
    <row r="22" spans="4:16" x14ac:dyDescent="0.25">
      <c r="K22" s="4" t="s">
        <v>74</v>
      </c>
      <c r="L22" s="4">
        <f>AVERAGE(L21:P21)</f>
        <v>1.2</v>
      </c>
      <c r="O22" s="11" t="s">
        <v>80</v>
      </c>
    </row>
    <row r="23" spans="4:16" x14ac:dyDescent="0.25">
      <c r="E23" t="s">
        <v>63</v>
      </c>
      <c r="L23" t="s">
        <v>81</v>
      </c>
    </row>
    <row r="24" spans="4:16" x14ac:dyDescent="0.25">
      <c r="E24" t="s">
        <v>55</v>
      </c>
      <c r="F24" t="s">
        <v>54</v>
      </c>
      <c r="G24" t="s">
        <v>57</v>
      </c>
      <c r="H24" t="s">
        <v>56</v>
      </c>
      <c r="I24" t="s">
        <v>57</v>
      </c>
      <c r="L24" t="s">
        <v>82</v>
      </c>
      <c r="M24" t="s">
        <v>84</v>
      </c>
    </row>
    <row r="25" spans="4:16" x14ac:dyDescent="0.25">
      <c r="D25" t="s">
        <v>66</v>
      </c>
      <c r="E25">
        <v>12</v>
      </c>
      <c r="F25">
        <v>10</v>
      </c>
      <c r="G25">
        <v>13</v>
      </c>
      <c r="H25">
        <v>11</v>
      </c>
      <c r="I25">
        <v>13</v>
      </c>
      <c r="L25" t="s">
        <v>83</v>
      </c>
      <c r="M25" t="s">
        <v>85</v>
      </c>
    </row>
    <row r="26" spans="4:16" x14ac:dyDescent="0.25">
      <c r="D26" t="s">
        <v>67</v>
      </c>
      <c r="E26">
        <v>11</v>
      </c>
      <c r="F26">
        <v>12</v>
      </c>
      <c r="G26">
        <v>14</v>
      </c>
      <c r="H26">
        <v>13</v>
      </c>
      <c r="I26">
        <v>14</v>
      </c>
      <c r="K26" s="4" t="s">
        <v>74</v>
      </c>
      <c r="L26">
        <v>0.4</v>
      </c>
    </row>
    <row r="27" spans="4:16" x14ac:dyDescent="0.25">
      <c r="D27" t="s">
        <v>68</v>
      </c>
      <c r="E27">
        <v>13</v>
      </c>
      <c r="F27">
        <v>11</v>
      </c>
      <c r="G27">
        <v>16</v>
      </c>
      <c r="H27">
        <v>14</v>
      </c>
      <c r="I27">
        <v>16</v>
      </c>
    </row>
    <row r="28" spans="4:16" x14ac:dyDescent="0.25">
      <c r="D28" t="s">
        <v>69</v>
      </c>
      <c r="E28">
        <v>14</v>
      </c>
      <c r="F28">
        <v>13</v>
      </c>
      <c r="G28">
        <v>15</v>
      </c>
      <c r="H28">
        <v>16</v>
      </c>
      <c r="I28">
        <v>15</v>
      </c>
    </row>
    <row r="30" spans="4:16" x14ac:dyDescent="0.25">
      <c r="E30" t="s">
        <v>25</v>
      </c>
      <c r="F30" t="s">
        <v>60</v>
      </c>
      <c r="G30" t="s">
        <v>27</v>
      </c>
      <c r="H30" t="s">
        <v>26</v>
      </c>
      <c r="I30" t="s">
        <v>27</v>
      </c>
    </row>
    <row r="31" spans="4:16" x14ac:dyDescent="0.25">
      <c r="E31">
        <v>16</v>
      </c>
      <c r="F31">
        <v>14</v>
      </c>
      <c r="G31">
        <v>17</v>
      </c>
      <c r="H31">
        <v>15</v>
      </c>
      <c r="I31">
        <v>17</v>
      </c>
    </row>
    <row r="33" spans="4:13" x14ac:dyDescent="0.25">
      <c r="E33" s="13" t="s">
        <v>64</v>
      </c>
      <c r="L33" t="s">
        <v>87</v>
      </c>
    </row>
    <row r="34" spans="4:13" x14ac:dyDescent="0.25">
      <c r="E34" t="s">
        <v>55</v>
      </c>
      <c r="F34" t="s">
        <v>55</v>
      </c>
      <c r="G34" t="s">
        <v>58</v>
      </c>
      <c r="H34" t="s">
        <v>56</v>
      </c>
      <c r="I34" t="s">
        <v>56</v>
      </c>
      <c r="L34" t="s">
        <v>86</v>
      </c>
      <c r="M34" t="s">
        <v>89</v>
      </c>
    </row>
    <row r="35" spans="4:13" x14ac:dyDescent="0.25">
      <c r="D35" t="s">
        <v>66</v>
      </c>
      <c r="E35">
        <v>12</v>
      </c>
      <c r="F35">
        <v>12</v>
      </c>
      <c r="G35">
        <v>14</v>
      </c>
      <c r="H35">
        <v>11</v>
      </c>
      <c r="I35">
        <v>11</v>
      </c>
      <c r="L35" t="s">
        <v>88</v>
      </c>
      <c r="M35" t="s">
        <v>90</v>
      </c>
    </row>
    <row r="36" spans="4:13" x14ac:dyDescent="0.25">
      <c r="D36" t="s">
        <v>67</v>
      </c>
      <c r="E36">
        <v>11</v>
      </c>
      <c r="F36">
        <v>11</v>
      </c>
      <c r="G36">
        <v>16</v>
      </c>
      <c r="H36">
        <v>13</v>
      </c>
      <c r="I36">
        <v>13</v>
      </c>
      <c r="K36" s="4" t="s">
        <v>91</v>
      </c>
      <c r="L36">
        <f>0.5^2*4/5</f>
        <v>0.2</v>
      </c>
    </row>
    <row r="37" spans="4:13" x14ac:dyDescent="0.25">
      <c r="D37" t="s">
        <v>68</v>
      </c>
      <c r="E37">
        <v>13</v>
      </c>
      <c r="F37">
        <v>13</v>
      </c>
      <c r="G37">
        <v>15</v>
      </c>
      <c r="H37">
        <v>14</v>
      </c>
      <c r="I37">
        <v>14</v>
      </c>
    </row>
    <row r="38" spans="4:13" x14ac:dyDescent="0.25">
      <c r="D38" t="s">
        <v>69</v>
      </c>
      <c r="E38">
        <v>14</v>
      </c>
      <c r="F38">
        <v>14</v>
      </c>
      <c r="G38">
        <v>17</v>
      </c>
      <c r="H38">
        <v>16</v>
      </c>
      <c r="I38">
        <v>16</v>
      </c>
    </row>
    <row r="40" spans="4:13" x14ac:dyDescent="0.25">
      <c r="E40" t="s">
        <v>25</v>
      </c>
      <c r="F40" t="s">
        <v>25</v>
      </c>
      <c r="G40" t="s">
        <v>28</v>
      </c>
      <c r="H40" t="s">
        <v>26</v>
      </c>
      <c r="I40" t="s">
        <v>26</v>
      </c>
    </row>
    <row r="41" spans="4:13" x14ac:dyDescent="0.25">
      <c r="E41">
        <v>16</v>
      </c>
      <c r="F41">
        <v>16</v>
      </c>
      <c r="G41">
        <v>18</v>
      </c>
      <c r="H41">
        <v>15</v>
      </c>
      <c r="I41">
        <v>15</v>
      </c>
    </row>
    <row r="44" spans="4:13" x14ac:dyDescent="0.25">
      <c r="E44" t="s">
        <v>92</v>
      </c>
      <c r="H44" t="s">
        <v>66</v>
      </c>
      <c r="I44" t="s">
        <v>67</v>
      </c>
      <c r="J44" t="s">
        <v>68</v>
      </c>
      <c r="K44" t="s">
        <v>69</v>
      </c>
    </row>
    <row r="45" spans="4:13" x14ac:dyDescent="0.25">
      <c r="E45" t="s">
        <v>65</v>
      </c>
      <c r="H45">
        <v>16</v>
      </c>
      <c r="I45">
        <v>15</v>
      </c>
      <c r="J45">
        <v>17</v>
      </c>
      <c r="K45">
        <v>18</v>
      </c>
    </row>
    <row r="46" spans="4:13" x14ac:dyDescent="0.25">
      <c r="E46" t="s">
        <v>93</v>
      </c>
      <c r="F46" t="s">
        <v>94</v>
      </c>
      <c r="I46" t="s">
        <v>96</v>
      </c>
    </row>
    <row r="47" spans="4:13" x14ac:dyDescent="0.25">
      <c r="I47" t="s">
        <v>88</v>
      </c>
    </row>
    <row r="48" spans="4:13" x14ac:dyDescent="0.25">
      <c r="E48" t="s">
        <v>97</v>
      </c>
      <c r="F48" t="s">
        <v>98</v>
      </c>
      <c r="H48" t="s">
        <v>82</v>
      </c>
    </row>
    <row r="49" spans="5:10" x14ac:dyDescent="0.25">
      <c r="H49" t="s">
        <v>83</v>
      </c>
    </row>
    <row r="50" spans="5:10" x14ac:dyDescent="0.25">
      <c r="E50" t="s">
        <v>99</v>
      </c>
      <c r="F50" t="s">
        <v>68</v>
      </c>
      <c r="J50" t="s">
        <v>86</v>
      </c>
    </row>
    <row r="51" spans="5:10" x14ac:dyDescent="0.25">
      <c r="J51" t="s">
        <v>100</v>
      </c>
    </row>
    <row r="52" spans="5:10" x14ac:dyDescent="0.25">
      <c r="E5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RNN</vt:lpstr>
      <vt:lpstr>Random Forest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DucLinh Nguyen</dc:creator>
  <cp:lastModifiedBy>DucLinh Nguyen</cp:lastModifiedBy>
  <dcterms:created xsi:type="dcterms:W3CDTF">2025-05-21T17:22:00Z</dcterms:created>
  <dcterms:modified xsi:type="dcterms:W3CDTF">2025-05-22T18:18:38Z</dcterms:modified>
</cp:coreProperties>
</file>