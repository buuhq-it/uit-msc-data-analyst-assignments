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learning-area-main\mis-msc\semester\semester2\phan-tich-du-lieu-kinh-doanh\assignments\hw5b\"/>
    </mc:Choice>
  </mc:AlternateContent>
  <xr:revisionPtr revIDLastSave="0" documentId="13_ncr:1_{04108F55-FDE4-4AD0-995F-D9238CD9A3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arima(1,1,1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G26" i="3" s="1"/>
  <c r="E26" i="3"/>
  <c r="F26" i="3"/>
  <c r="H26" i="3"/>
  <c r="B23" i="3"/>
  <c r="B24" i="3" s="1"/>
  <c r="B25" i="3" s="1"/>
  <c r="D23" i="3"/>
  <c r="E24" i="3" s="1"/>
  <c r="F24" i="3" s="1"/>
  <c r="E22" i="3"/>
  <c r="F22" i="3" s="1"/>
  <c r="G22" i="3" s="1"/>
  <c r="H23" i="3" s="1"/>
  <c r="H22" i="3"/>
  <c r="E23" i="3"/>
  <c r="F23" i="3"/>
  <c r="B22" i="3"/>
  <c r="D22" i="3"/>
  <c r="L7" i="3"/>
  <c r="K7" i="3"/>
  <c r="L4" i="3"/>
  <c r="K4" i="3"/>
  <c r="B26" i="3" l="1"/>
  <c r="G23" i="3"/>
  <c r="H24" i="3" s="1"/>
  <c r="D24" i="3" l="1"/>
  <c r="E25" i="3" l="1"/>
  <c r="F25" i="3" s="1"/>
  <c r="G24" i="3"/>
  <c r="H25" i="3" s="1"/>
  <c r="C7" i="3"/>
  <c r="C8" i="3"/>
  <c r="D8" i="3" s="1"/>
  <c r="C9" i="3"/>
  <c r="D9" i="3" s="1"/>
  <c r="C14" i="3"/>
  <c r="C3" i="3"/>
  <c r="B3" i="3"/>
  <c r="B4" i="3"/>
  <c r="C5" i="3" s="1"/>
  <c r="B5" i="3"/>
  <c r="C6" i="3" s="1"/>
  <c r="D6" i="3" s="1"/>
  <c r="B6" i="3"/>
  <c r="B7" i="3"/>
  <c r="B8" i="3"/>
  <c r="B9" i="3"/>
  <c r="C10" i="3" s="1"/>
  <c r="B10" i="3"/>
  <c r="C11" i="3" s="1"/>
  <c r="D11" i="3" s="1"/>
  <c r="B11" i="3"/>
  <c r="C12" i="3" s="1"/>
  <c r="B12" i="3"/>
  <c r="C13" i="3" s="1"/>
  <c r="B13" i="3"/>
  <c r="D13" i="3" s="1"/>
  <c r="B14" i="3"/>
  <c r="B15" i="3"/>
  <c r="B16" i="3"/>
  <c r="B17" i="3"/>
  <c r="B18" i="3"/>
  <c r="B19" i="3"/>
  <c r="C20" i="3" s="1"/>
  <c r="B20" i="3"/>
  <c r="C21" i="3" s="1"/>
  <c r="B21" i="3"/>
  <c r="D21" i="3" s="1"/>
  <c r="B2" i="3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3" i="1"/>
  <c r="D25" i="3" l="1"/>
  <c r="G25" i="3" s="1"/>
  <c r="D14" i="3"/>
  <c r="D12" i="3"/>
  <c r="D10" i="3"/>
  <c r="D7" i="3"/>
  <c r="C4" i="3"/>
  <c r="D3" i="3"/>
  <c r="E4" i="3" s="1"/>
  <c r="F4" i="3" s="1"/>
  <c r="G4" i="3" s="1"/>
  <c r="H5" i="3" s="1"/>
  <c r="E10" i="3"/>
  <c r="F10" i="3" s="1"/>
  <c r="E9" i="3"/>
  <c r="F9" i="3" s="1"/>
  <c r="G9" i="3" s="1"/>
  <c r="H10" i="3" s="1"/>
  <c r="E14" i="3"/>
  <c r="F14" i="3" s="1"/>
  <c r="E12" i="3"/>
  <c r="F12" i="3" s="1"/>
  <c r="E7" i="3"/>
  <c r="F7" i="3" s="1"/>
  <c r="C19" i="3"/>
  <c r="D19" i="3" s="1"/>
  <c r="C18" i="3"/>
  <c r="D18" i="3" s="1"/>
  <c r="D5" i="3"/>
  <c r="C17" i="3"/>
  <c r="D17" i="3" s="1"/>
  <c r="D20" i="3"/>
  <c r="D4" i="3"/>
  <c r="E5" i="3" s="1"/>
  <c r="F5" i="3" s="1"/>
  <c r="C16" i="3"/>
  <c r="D16" i="3" s="1"/>
  <c r="C15" i="3"/>
  <c r="D15" i="3" s="1"/>
  <c r="E6" i="1"/>
  <c r="E7" i="1"/>
  <c r="E8" i="1"/>
  <c r="V5" i="1" s="1"/>
  <c r="E9" i="1"/>
  <c r="E10" i="1"/>
  <c r="V7" i="1" s="1"/>
  <c r="E11" i="1"/>
  <c r="V8" i="1" s="1"/>
  <c r="E12" i="1"/>
  <c r="V9" i="1" s="1"/>
  <c r="E13" i="1"/>
  <c r="E14" i="1"/>
  <c r="E15" i="1"/>
  <c r="E16" i="1"/>
  <c r="E17" i="1"/>
  <c r="E18" i="1"/>
  <c r="E19" i="1"/>
  <c r="V16" i="1" s="1"/>
  <c r="E20" i="1"/>
  <c r="V17" i="1" s="1"/>
  <c r="E21" i="1"/>
  <c r="E22" i="1"/>
  <c r="E23" i="1"/>
  <c r="V20" i="1" s="1"/>
  <c r="E5" i="1"/>
  <c r="F6" i="1" s="1"/>
  <c r="W3" i="1" s="1"/>
  <c r="F9" i="1"/>
  <c r="W6" i="1" s="1"/>
  <c r="F11" i="1"/>
  <c r="W8" i="1" s="1"/>
  <c r="D6" i="1"/>
  <c r="T4" i="1" s="1"/>
  <c r="D7" i="1"/>
  <c r="T5" i="1" s="1"/>
  <c r="D8" i="1"/>
  <c r="T6" i="1" s="1"/>
  <c r="D9" i="1"/>
  <c r="T7" i="1" s="1"/>
  <c r="D10" i="1"/>
  <c r="T8" i="1" s="1"/>
  <c r="D11" i="1"/>
  <c r="T9" i="1" s="1"/>
  <c r="D12" i="1"/>
  <c r="T10" i="1" s="1"/>
  <c r="D13" i="1"/>
  <c r="T11" i="1" s="1"/>
  <c r="D14" i="1"/>
  <c r="T12" i="1" s="1"/>
  <c r="D15" i="1"/>
  <c r="T13" i="1" s="1"/>
  <c r="D16" i="1"/>
  <c r="T14" i="1" s="1"/>
  <c r="D17" i="1"/>
  <c r="T15" i="1" s="1"/>
  <c r="D18" i="1"/>
  <c r="T16" i="1" s="1"/>
  <c r="D19" i="1"/>
  <c r="T17" i="1" s="1"/>
  <c r="D20" i="1"/>
  <c r="T18" i="1" s="1"/>
  <c r="D21" i="1"/>
  <c r="T19" i="1" s="1"/>
  <c r="D22" i="1"/>
  <c r="T20" i="1" s="1"/>
  <c r="D23" i="1"/>
  <c r="T21" i="1" s="1"/>
  <c r="D5" i="1"/>
  <c r="T3" i="1" s="1"/>
  <c r="E20" i="3" l="1"/>
  <c r="F20" i="3" s="1"/>
  <c r="G20" i="3" s="1"/>
  <c r="H21" i="3" s="1"/>
  <c r="E13" i="3"/>
  <c r="F13" i="3" s="1"/>
  <c r="G13" i="3" s="1"/>
  <c r="H14" i="3" s="1"/>
  <c r="G12" i="3"/>
  <c r="H13" i="3" s="1"/>
  <c r="E17" i="3"/>
  <c r="F17" i="3" s="1"/>
  <c r="E18" i="3"/>
  <c r="F18" i="3" s="1"/>
  <c r="G18" i="3" s="1"/>
  <c r="H19" i="3" s="1"/>
  <c r="G17" i="3"/>
  <c r="H18" i="3" s="1"/>
  <c r="E16" i="3"/>
  <c r="F16" i="3" s="1"/>
  <c r="G16" i="3" s="1"/>
  <c r="H17" i="3" s="1"/>
  <c r="E21" i="3"/>
  <c r="F21" i="3" s="1"/>
  <c r="G21" i="3" s="1"/>
  <c r="E8" i="3"/>
  <c r="F8" i="3" s="1"/>
  <c r="G8" i="3" s="1"/>
  <c r="H9" i="3" s="1"/>
  <c r="G7" i="3"/>
  <c r="H8" i="3" s="1"/>
  <c r="E15" i="3"/>
  <c r="F15" i="3" s="1"/>
  <c r="G15" i="3" s="1"/>
  <c r="H16" i="3" s="1"/>
  <c r="G14" i="3"/>
  <c r="H15" i="3" s="1"/>
  <c r="E6" i="3"/>
  <c r="F6" i="3" s="1"/>
  <c r="G6" i="3" s="1"/>
  <c r="H7" i="3" s="1"/>
  <c r="G5" i="3"/>
  <c r="H6" i="3" s="1"/>
  <c r="E19" i="3"/>
  <c r="F19" i="3" s="1"/>
  <c r="G19" i="3" s="1"/>
  <c r="H20" i="3" s="1"/>
  <c r="E11" i="3"/>
  <c r="F11" i="3" s="1"/>
  <c r="G11" i="3" s="1"/>
  <c r="H12" i="3" s="1"/>
  <c r="G10" i="3"/>
  <c r="H11" i="3" s="1"/>
  <c r="F21" i="1"/>
  <c r="W18" i="1" s="1"/>
  <c r="F13" i="1"/>
  <c r="W10" i="1" s="1"/>
  <c r="F10" i="1"/>
  <c r="W7" i="1" s="1"/>
  <c r="V6" i="1"/>
  <c r="F16" i="1"/>
  <c r="W13" i="1" s="1"/>
  <c r="V12" i="1"/>
  <c r="F8" i="1"/>
  <c r="W5" i="1" s="1"/>
  <c r="V4" i="1"/>
  <c r="F17" i="1"/>
  <c r="W14" i="1" s="1"/>
  <c r="V13" i="1"/>
  <c r="F15" i="1"/>
  <c r="W12" i="1" s="1"/>
  <c r="V11" i="1"/>
  <c r="F20" i="1"/>
  <c r="W17" i="1" s="1"/>
  <c r="F22" i="1"/>
  <c r="W19" i="1" s="1"/>
  <c r="V18" i="1"/>
  <c r="F14" i="1"/>
  <c r="W11" i="1" s="1"/>
  <c r="V10" i="1"/>
  <c r="F18" i="1"/>
  <c r="W15" i="1" s="1"/>
  <c r="V14" i="1"/>
  <c r="F23" i="1"/>
  <c r="W20" i="1" s="1"/>
  <c r="V19" i="1"/>
  <c r="F7" i="1"/>
  <c r="W4" i="1" s="1"/>
  <c r="V3" i="1"/>
  <c r="F12" i="1"/>
  <c r="W9" i="1" s="1"/>
  <c r="F19" i="1"/>
  <c r="W16" i="1" s="1"/>
  <c r="V15" i="1"/>
</calcChain>
</file>

<file path=xl/sharedStrings.xml><?xml version="1.0" encoding="utf-8"?>
<sst xmlns="http://schemas.openxmlformats.org/spreadsheetml/2006/main" count="87" uniqueCount="52">
  <si>
    <t>Date</t>
  </si>
  <si>
    <t>Series</t>
  </si>
  <si>
    <t>y=Price</t>
  </si>
  <si>
    <t>Time series giá cổ phiếu(Giá khớp -  Matched Price) của vinamilk</t>
  </si>
  <si>
    <t>https://www.cophieu68.vn/quote/history.php?cP=2&amp;id=vnm</t>
  </si>
  <si>
    <t>ref</t>
  </si>
  <si>
    <t>dy</t>
  </si>
  <si>
    <t>dy_pred</t>
  </si>
  <si>
    <t>AR(1)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</si>
  <si>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</si>
  <si>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</si>
  <si>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</si>
  <si>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</si>
  <si>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</si>
  <si>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</si>
  <si>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</si>
  <si>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</si>
  <si>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</si>
  <si>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</si>
  <si>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</si>
  <si>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</si>
  <si>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</si>
  <si>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</si>
  <si>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</si>
  <si>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</si>
  <si>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</si>
  <si>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</si>
  <si>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</si>
  <si>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</si>
  <si>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</si>
  <si>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</si>
  <si>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</si>
  <si>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</si>
  <si>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</si>
  <si>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MA(1)</t>
  </si>
  <si>
    <t>I(1)</t>
  </si>
  <si>
    <t>y_lag1</t>
  </si>
  <si>
    <t>dy_lag1</t>
  </si>
  <si>
    <t>X</t>
  </si>
  <si>
    <t>Y</t>
  </si>
  <si>
    <t>e_lag1</t>
  </si>
  <si>
    <t>e</t>
  </si>
  <si>
    <t>MA</t>
  </si>
  <si>
    <t>AR</t>
  </si>
  <si>
    <r>
      <rPr>
        <b/>
        <sz val="11"/>
        <color theme="1"/>
        <rFont val="Aptos Narrow"/>
        <family val="2"/>
      </rPr>
      <t>Ф</t>
    </r>
    <r>
      <rPr>
        <b/>
        <vertAlign val="subscript"/>
        <sz val="11"/>
        <color theme="1"/>
        <rFont val="Calibri"/>
        <family val="2"/>
      </rPr>
      <t>0</t>
    </r>
  </si>
  <si>
    <r>
      <t>Ф</t>
    </r>
    <r>
      <rPr>
        <b/>
        <vertAlign val="subscript"/>
        <sz val="11"/>
        <color theme="1"/>
        <rFont val="Aptos Narrow"/>
        <family val="2"/>
      </rPr>
      <t>1</t>
    </r>
  </si>
  <si>
    <r>
      <t>θ</t>
    </r>
    <r>
      <rPr>
        <b/>
        <vertAlign val="subscript"/>
        <sz val="11"/>
        <color theme="1"/>
        <rFont val="Aptos Narrow"/>
        <family val="2"/>
      </rPr>
      <t>0</t>
    </r>
  </si>
  <si>
    <r>
      <t>θ</t>
    </r>
    <r>
      <rPr>
        <b/>
        <vertAlign val="subscript"/>
        <sz val="11"/>
        <color theme="1"/>
        <rFont val="Aptos Narrow"/>
        <family val="2"/>
      </rPr>
      <t>1</t>
    </r>
  </si>
  <si>
    <t>Dự báo</t>
  </si>
  <si>
    <t>dy(t) = y(t) - t(t-1)</t>
  </si>
  <si>
    <t>y(t+1) = y(t) + dt(t+1)</t>
  </si>
  <si>
    <r>
      <t>dy(t+1) = Ф</t>
    </r>
    <r>
      <rPr>
        <b/>
        <vertAlign val="subscript"/>
        <sz val="11"/>
        <color rgb="FFFF0000"/>
        <rFont val="Calibri"/>
        <family val="2"/>
        <scheme val="minor"/>
      </rPr>
      <t>0</t>
    </r>
    <r>
      <rPr>
        <b/>
        <sz val="11"/>
        <color rgb="FFFF0000"/>
        <rFont val="Calibri"/>
        <family val="2"/>
        <scheme val="minor"/>
      </rPr>
      <t xml:space="preserve"> + Ф</t>
    </r>
    <r>
      <rPr>
        <b/>
        <vertAlign val="subscript"/>
        <sz val="11"/>
        <color rgb="FFFF0000"/>
        <rFont val="Calibri"/>
        <family val="2"/>
        <scheme val="minor"/>
      </rPr>
      <t>1</t>
    </r>
    <r>
      <rPr>
        <b/>
        <sz val="11"/>
        <color rgb="FFFF0000"/>
        <rFont val="Calibri"/>
        <family val="2"/>
        <scheme val="minor"/>
      </rPr>
      <t>*dy(t) + θ</t>
    </r>
    <r>
      <rPr>
        <b/>
        <vertAlign val="subscript"/>
        <sz val="11"/>
        <color rgb="FFFF0000"/>
        <rFont val="Calibri"/>
        <family val="2"/>
        <scheme val="minor"/>
      </rPr>
      <t xml:space="preserve">0 </t>
    </r>
    <r>
      <rPr>
        <b/>
        <sz val="11"/>
        <color rgb="FFFF0000"/>
        <rFont val="Calibri"/>
        <family val="2"/>
        <scheme val="minor"/>
      </rPr>
      <t>+ θ</t>
    </r>
    <r>
      <rPr>
        <b/>
        <vertAlign val="subscript"/>
        <sz val="11"/>
        <color rgb="FFFF0000"/>
        <rFont val="Calibri"/>
        <family val="2"/>
        <scheme val="minor"/>
      </rPr>
      <t>1</t>
    </r>
    <r>
      <rPr>
        <b/>
        <sz val="11"/>
        <color rgb="FFFF0000"/>
        <rFont val="Calibri"/>
        <family val="2"/>
        <scheme val="minor"/>
      </rPr>
      <t>*e(t)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</si>
</sst>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</font>
    <font>
      <b/>
      <vertAlign val="subscript"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quotePrefix="1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3" fillId="0" borderId="0" xfId="1"/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0" fontId="6" fillId="0" borderId="0" xfId="0" applyFont="1"/>
    <xf numFmtId="0" fontId="7" fillId="0" borderId="0" xfId="0" applyFont="1"/>
    <xf numFmtId="165" fontId="1" fillId="0" borderId="0" xfId="0" applyNumberFormat="1" applyFont="1"/>
    <xf numFmtId="165" fontId="1" fillId="0" borderId="0" xfId="0" applyNumberFormat="1" applyFont="1" applyAlignment="1">
      <alignment horizontal="left" indent="2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data!$C$3</c:f>
              <c:strCache>
                <c:ptCount val="1"/>
                <c:pt idx="0">
                  <c:v>y=Price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data!$C$4:$C$23</c:f>
              <c:numCache>
                <c:formatCode>General</c:formatCode>
                <c:ptCount val="20"/>
                <c:pt idx="0">
                  <c:v>60.8</c:v>
                </c:pt>
                <c:pt idx="1">
                  <c:v>60.5</c:v>
                </c:pt>
                <c:pt idx="2">
                  <c:v>56.5</c:v>
                </c:pt>
                <c:pt idx="3">
                  <c:v>58.5</c:v>
                </c:pt>
                <c:pt idx="4">
                  <c:v>54.5</c:v>
                </c:pt>
                <c:pt idx="5">
                  <c:v>52</c:v>
                </c:pt>
                <c:pt idx="6">
                  <c:v>55.6</c:v>
                </c:pt>
                <c:pt idx="7">
                  <c:v>57.5</c:v>
                </c:pt>
                <c:pt idx="8">
                  <c:v>56.9</c:v>
                </c:pt>
                <c:pt idx="9">
                  <c:v>56.3</c:v>
                </c:pt>
                <c:pt idx="10">
                  <c:v>56</c:v>
                </c:pt>
                <c:pt idx="11">
                  <c:v>56</c:v>
                </c:pt>
                <c:pt idx="12">
                  <c:v>56.6</c:v>
                </c:pt>
                <c:pt idx="13">
                  <c:v>56.7</c:v>
                </c:pt>
                <c:pt idx="14">
                  <c:v>56</c:v>
                </c:pt>
                <c:pt idx="15">
                  <c:v>56.4</c:v>
                </c:pt>
                <c:pt idx="16">
                  <c:v>56.3</c:v>
                </c:pt>
                <c:pt idx="17">
                  <c:v>58.3</c:v>
                </c:pt>
                <c:pt idx="18">
                  <c:v>57.5</c:v>
                </c:pt>
                <c:pt idx="19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6-4AA4-BF98-E9B5149EC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3775"/>
        <c:axId val="9899935"/>
      </c:lineChart>
      <c:catAx>
        <c:axId val="9903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935"/>
        <c:crosses val="autoZero"/>
        <c:auto val="1"/>
        <c:lblAlgn val="ctr"/>
        <c:lblOffset val="100"/>
        <c:noMultiLvlLbl val="0"/>
      </c:catAx>
      <c:valAx>
        <c:axId val="98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I(1) = 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data!$E$5:$E$23</c:f>
              <c:numCache>
                <c:formatCode>General</c:formatCode>
                <c:ptCount val="19"/>
                <c:pt idx="0">
                  <c:v>-0.29999999999999716</c:v>
                </c:pt>
                <c:pt idx="1">
                  <c:v>-4</c:v>
                </c:pt>
                <c:pt idx="2">
                  <c:v>2</c:v>
                </c:pt>
                <c:pt idx="3">
                  <c:v>-4</c:v>
                </c:pt>
                <c:pt idx="4">
                  <c:v>-2.5</c:v>
                </c:pt>
                <c:pt idx="5">
                  <c:v>3.6000000000000014</c:v>
                </c:pt>
                <c:pt idx="6">
                  <c:v>1.8999999999999986</c:v>
                </c:pt>
                <c:pt idx="7">
                  <c:v>-0.60000000000000142</c:v>
                </c:pt>
                <c:pt idx="8">
                  <c:v>-0.60000000000000142</c:v>
                </c:pt>
                <c:pt idx="9">
                  <c:v>-0.29999999999999716</c:v>
                </c:pt>
                <c:pt idx="10">
                  <c:v>0</c:v>
                </c:pt>
                <c:pt idx="11">
                  <c:v>0.60000000000000142</c:v>
                </c:pt>
                <c:pt idx="12">
                  <c:v>0.10000000000000142</c:v>
                </c:pt>
                <c:pt idx="13">
                  <c:v>-0.70000000000000284</c:v>
                </c:pt>
                <c:pt idx="14">
                  <c:v>0.39999999999999858</c:v>
                </c:pt>
                <c:pt idx="15">
                  <c:v>-0.10000000000000142</c:v>
                </c:pt>
                <c:pt idx="16">
                  <c:v>2</c:v>
                </c:pt>
                <c:pt idx="17">
                  <c:v>-0.79999999999999716</c:v>
                </c:pt>
                <c:pt idx="18">
                  <c:v>0.10000000000000142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D9-4693-B164-956FE555C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0975"/>
        <c:axId val="9910015"/>
      </c:lineChart>
      <c:catAx>
        <c:axId val="9910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015"/>
        <c:crosses val="autoZero"/>
        <c:auto val="1"/>
        <c:lblAlgn val="ctr"/>
        <c:lblOffset val="100"/>
        <c:noMultiLvlLbl val="0"/>
      </c:catAx>
      <c:valAx>
        <c:axId val="99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217805</xdr:colOff>
      <xdr:row>0</xdr:row>
      <xdr:rowOff>116840</xdr:rowOff>
    </xdr:from>
    <xdr:to>
      <xdr:col>16</xdr:col>
      <xdr:colOff>522605</xdr:colOff>
      <xdr:row>15</xdr:row>
      <xdr:rowOff>97790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7880B3-3C53-3E80-F7F9-DB747F8AA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184785</xdr:colOff>
      <xdr:row>16</xdr:row>
      <xdr:rowOff>60960</xdr:rowOff>
    </xdr:from>
    <xdr:to>
      <xdr:col>16</xdr:col>
      <xdr:colOff>489585</xdr:colOff>
      <xdr:row>31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E52EDA-B0EE-5B3C-F19F-075E02983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419100</xdr:colOff>
      <xdr:row>11</xdr:row>
      <xdr:rowOff>61912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2A5383-450E-5960-0723-0ABF9E55A2F7}"/>
            </a:ext>
          </a:extLst>
        </xdr:cNvPr>
        <xdr:cNvSpPr txBox="1"/>
      </xdr:nvSpPr>
      <xdr:spPr>
        <a:xfrm>
          <a:off x="7439025" y="2205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ophieu68.vn/quote/history.php?cP=2&amp;id=vn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workbookViewId="0">
      <selection activeCell="H27" sqref="H27"/>
    </sheetView>
  </sheetViews>
  <sheetFormatPr defaultRowHeight="15" x14ac:dyDescent="0.25"/>
  <cols>
    <col min="1" max="1" width="12.7109375" customWidth="1"/>
    <col min="5" max="5" width="12.7109375" bestFit="1" customWidth="1"/>
    <col min="16" max="16" width="10" bestFit="1" customWidth="1"/>
  </cols>
  <sheetData>
    <row r="1" spans="1:23" x14ac:dyDescent="0.25">
      <c r="A1" t="s">
        <v>3</v>
      </c>
      <c r="S1" t="s">
        <v>38</v>
      </c>
      <c r="T1" t="s">
        <v>39</v>
      </c>
    </row>
    <row r="2" spans="1:23" x14ac:dyDescent="0.25">
      <c r="A2" t="s">
        <v>5</v>
      </c>
      <c r="B2" s="5" t="s">
        <v>4</v>
      </c>
      <c r="R2" s="2"/>
      <c r="S2" s="2" t="s">
        <v>2</v>
      </c>
      <c r="T2" t="s">
        <v>36</v>
      </c>
      <c r="V2" s="1" t="s">
        <v>6</v>
      </c>
      <c r="W2" s="1" t="s">
        <v>37</v>
      </c>
    </row>
    <row r="3" spans="1:23" x14ac:dyDescent="0.25">
      <c r="A3" s="1" t="s">
        <v>0</v>
      </c>
      <c r="B3" s="1" t="s">
        <v>1</v>
      </c>
      <c r="C3" s="2" t="s">
        <v>2</v>
      </c>
      <c r="D3" t="s">
        <v>36</v>
      </c>
      <c r="E3" s="1" t="s">
        <v>6</v>
      </c>
      <c r="F3" s="1" t="s">
        <v>37</v>
      </c>
      <c r="S3">
        <f>C5</f>
        <v>60.5</v>
      </c>
      <c r="T3">
        <f>D5</f>
        <v>60.8</v>
      </c>
      <c r="V3">
        <f t="shared" ref="V3:V20" si="0">E6</f>
        <v>-4</v>
      </c>
      <c r="W3">
        <f t="shared" ref="W3:W20" si="1">F6</f>
        <v>-0.29999999999999716</v>
      </c>
    </row>
    <row r="4" spans="1:23" x14ac:dyDescent="0.25">
      <c r="A4" s="3">
        <v>45748</v>
      </c>
      <c r="B4" s="4">
        <v>1</v>
      </c>
      <c r="C4">
        <v>60.8</v>
      </c>
      <c r="S4">
        <f t="shared" ref="S4:S21" si="2">C6</f>
        <v>56.5</v>
      </c>
      <c r="T4">
        <f t="shared" ref="T4:T21" si="3">D6</f>
        <v>60.5</v>
      </c>
      <c r="V4">
        <f t="shared" si="0"/>
        <v>2</v>
      </c>
      <c r="W4">
        <f t="shared" si="1"/>
        <v>-4</v>
      </c>
    </row>
    <row r="5" spans="1:23" x14ac:dyDescent="0.25">
      <c r="A5" s="3">
        <v>45749</v>
      </c>
      <c r="B5" s="4">
        <v>2</v>
      </c>
      <c r="C5">
        <v>60.5</v>
      </c>
      <c r="D5">
        <f>C4</f>
        <v>60.8</v>
      </c>
      <c r="E5">
        <f>C5-C4</f>
        <v>-0.29999999999999716</v>
      </c>
      <c r="S5">
        <f t="shared" si="2"/>
        <v>58.5</v>
      </c>
      <c r="T5">
        <f t="shared" si="3"/>
        <v>56.5</v>
      </c>
      <c r="V5">
        <f t="shared" si="0"/>
        <v>-4</v>
      </c>
      <c r="W5">
        <f t="shared" si="1"/>
        <v>2</v>
      </c>
    </row>
    <row r="6" spans="1:23" x14ac:dyDescent="0.25">
      <c r="A6" s="3">
        <v>45750</v>
      </c>
      <c r="B6" s="4">
        <v>3</v>
      </c>
      <c r="C6">
        <v>56.5</v>
      </c>
      <c r="D6">
        <f t="shared" ref="D6:D23" si="4">C5</f>
        <v>60.5</v>
      </c>
      <c r="E6">
        <f t="shared" ref="E6:E23" si="5">C6-C5</f>
        <v>-4</v>
      </c>
      <c r="F6">
        <f>E5</f>
        <v>-0.29999999999999716</v>
      </c>
      <c r="S6">
        <f t="shared" si="2"/>
        <v>54.5</v>
      </c>
      <c r="T6">
        <f t="shared" si="3"/>
        <v>58.5</v>
      </c>
      <c r="V6">
        <f t="shared" si="0"/>
        <v>-2.5</v>
      </c>
      <c r="W6">
        <f t="shared" si="1"/>
        <v>-4</v>
      </c>
    </row>
    <row r="7" spans="1:23" x14ac:dyDescent="0.25">
      <c r="A7" s="3">
        <v>45751</v>
      </c>
      <c r="B7" s="4">
        <v>4</v>
      </c>
      <c r="C7">
        <v>58.5</v>
      </c>
      <c r="D7">
        <f t="shared" si="4"/>
        <v>56.5</v>
      </c>
      <c r="E7">
        <f t="shared" si="5"/>
        <v>2</v>
      </c>
      <c r="F7">
        <f t="shared" ref="F7:F23" si="6">E6</f>
        <v>-4</v>
      </c>
      <c r="S7">
        <f t="shared" si="2"/>
        <v>52</v>
      </c>
      <c r="T7">
        <f t="shared" si="3"/>
        <v>54.5</v>
      </c>
      <c r="V7">
        <f t="shared" si="0"/>
        <v>3.6000000000000014</v>
      </c>
      <c r="W7">
        <f t="shared" si="1"/>
        <v>-2.5</v>
      </c>
    </row>
    <row r="8" spans="1:23" x14ac:dyDescent="0.25">
      <c r="A8" s="3">
        <v>45755</v>
      </c>
      <c r="B8" s="4">
        <v>5</v>
      </c>
      <c r="C8">
        <v>54.5</v>
      </c>
      <c r="D8">
        <f t="shared" si="4"/>
        <v>58.5</v>
      </c>
      <c r="E8">
        <f t="shared" si="5"/>
        <v>-4</v>
      </c>
      <c r="F8">
        <f t="shared" si="6"/>
        <v>2</v>
      </c>
      <c r="S8">
        <f t="shared" si="2"/>
        <v>55.6</v>
      </c>
      <c r="T8">
        <f t="shared" si="3"/>
        <v>52</v>
      </c>
      <c r="V8">
        <f t="shared" si="0"/>
        <v>1.8999999999999986</v>
      </c>
      <c r="W8">
        <f t="shared" si="1"/>
        <v>3.6000000000000014</v>
      </c>
    </row>
    <row r="9" spans="1:23" x14ac:dyDescent="0.25">
      <c r="A9" s="3">
        <v>45756</v>
      </c>
      <c r="B9" s="4">
        <v>6</v>
      </c>
      <c r="C9">
        <v>52</v>
      </c>
      <c r="D9">
        <f t="shared" si="4"/>
        <v>54.5</v>
      </c>
      <c r="E9">
        <f t="shared" si="5"/>
        <v>-2.5</v>
      </c>
      <c r="F9">
        <f t="shared" si="6"/>
        <v>-4</v>
      </c>
      <c r="S9">
        <f t="shared" si="2"/>
        <v>57.5</v>
      </c>
      <c r="T9">
        <f t="shared" si="3"/>
        <v>55.6</v>
      </c>
      <c r="V9">
        <f t="shared" si="0"/>
        <v>-0.60000000000000142</v>
      </c>
      <c r="W9">
        <f t="shared" si="1"/>
        <v>1.8999999999999986</v>
      </c>
    </row>
    <row r="10" spans="1:23" x14ac:dyDescent="0.25">
      <c r="A10" s="3">
        <v>45757</v>
      </c>
      <c r="B10" s="4">
        <v>7</v>
      </c>
      <c r="C10">
        <v>55.6</v>
      </c>
      <c r="D10">
        <f t="shared" si="4"/>
        <v>52</v>
      </c>
      <c r="E10">
        <f t="shared" si="5"/>
        <v>3.6000000000000014</v>
      </c>
      <c r="F10">
        <f t="shared" si="6"/>
        <v>-2.5</v>
      </c>
      <c r="S10">
        <f t="shared" si="2"/>
        <v>56.9</v>
      </c>
      <c r="T10">
        <f t="shared" si="3"/>
        <v>57.5</v>
      </c>
      <c r="V10">
        <f t="shared" si="0"/>
        <v>-0.60000000000000142</v>
      </c>
      <c r="W10">
        <f t="shared" si="1"/>
        <v>-0.60000000000000142</v>
      </c>
    </row>
    <row r="11" spans="1:23" x14ac:dyDescent="0.25">
      <c r="A11" s="3">
        <v>45758</v>
      </c>
      <c r="B11" s="4">
        <v>8</v>
      </c>
      <c r="C11">
        <v>57.5</v>
      </c>
      <c r="D11">
        <f t="shared" si="4"/>
        <v>55.6</v>
      </c>
      <c r="E11">
        <f t="shared" si="5"/>
        <v>1.8999999999999986</v>
      </c>
      <c r="F11">
        <f t="shared" si="6"/>
        <v>3.6000000000000014</v>
      </c>
      <c r="S11">
        <f t="shared" si="2"/>
        <v>56.3</v>
      </c>
      <c r="T11">
        <f t="shared" si="3"/>
        <v>56.9</v>
      </c>
      <c r="V11">
        <f t="shared" si="0"/>
        <v>-0.29999999999999716</v>
      </c>
      <c r="W11">
        <f t="shared" si="1"/>
        <v>-0.60000000000000142</v>
      </c>
    </row>
    <row r="12" spans="1:23" x14ac:dyDescent="0.25">
      <c r="A12" s="3">
        <v>45761</v>
      </c>
      <c r="B12" s="4">
        <v>9</v>
      </c>
      <c r="C12">
        <v>56.9</v>
      </c>
      <c r="D12">
        <f t="shared" si="4"/>
        <v>57.5</v>
      </c>
      <c r="E12">
        <f t="shared" si="5"/>
        <v>-0.60000000000000142</v>
      </c>
      <c r="F12">
        <f t="shared" si="6"/>
        <v>1.8999999999999986</v>
      </c>
      <c r="S12">
        <f t="shared" si="2"/>
        <v>56</v>
      </c>
      <c r="T12">
        <f t="shared" si="3"/>
        <v>56.3</v>
      </c>
      <c r="V12">
        <f t="shared" si="0"/>
        <v>0</v>
      </c>
      <c r="W12">
        <f t="shared" si="1"/>
        <v>-0.29999999999999716</v>
      </c>
    </row>
    <row r="13" spans="1:23" x14ac:dyDescent="0.25">
      <c r="A13" s="3">
        <v>45762</v>
      </c>
      <c r="B13" s="4">
        <v>10</v>
      </c>
      <c r="C13">
        <v>56.3</v>
      </c>
      <c r="D13">
        <f t="shared" si="4"/>
        <v>56.9</v>
      </c>
      <c r="E13">
        <f t="shared" si="5"/>
        <v>-0.60000000000000142</v>
      </c>
      <c r="F13">
        <f t="shared" si="6"/>
        <v>-0.60000000000000142</v>
      </c>
      <c r="S13">
        <f t="shared" si="2"/>
        <v>56</v>
      </c>
      <c r="T13">
        <f t="shared" si="3"/>
        <v>56</v>
      </c>
      <c r="V13">
        <f t="shared" si="0"/>
        <v>0.60000000000000142</v>
      </c>
      <c r="W13">
        <f t="shared" si="1"/>
        <v>0</v>
      </c>
    </row>
    <row r="14" spans="1:23" x14ac:dyDescent="0.25">
      <c r="A14" s="3">
        <v>45763</v>
      </c>
      <c r="B14" s="4">
        <v>11</v>
      </c>
      <c r="C14">
        <v>56</v>
      </c>
      <c r="D14">
        <f t="shared" si="4"/>
        <v>56.3</v>
      </c>
      <c r="E14">
        <f t="shared" si="5"/>
        <v>-0.29999999999999716</v>
      </c>
      <c r="F14">
        <f t="shared" si="6"/>
        <v>-0.60000000000000142</v>
      </c>
      <c r="S14">
        <f t="shared" si="2"/>
        <v>56.6</v>
      </c>
      <c r="T14">
        <f t="shared" si="3"/>
        <v>56</v>
      </c>
      <c r="V14">
        <f t="shared" si="0"/>
        <v>0.10000000000000142</v>
      </c>
      <c r="W14">
        <f t="shared" si="1"/>
        <v>0.60000000000000142</v>
      </c>
    </row>
    <row r="15" spans="1:23" x14ac:dyDescent="0.25">
      <c r="A15" s="3">
        <v>45764</v>
      </c>
      <c r="B15" s="4">
        <v>12</v>
      </c>
      <c r="C15">
        <v>56</v>
      </c>
      <c r="D15">
        <f t="shared" si="4"/>
        <v>56</v>
      </c>
      <c r="E15">
        <f t="shared" si="5"/>
        <v>0</v>
      </c>
      <c r="F15">
        <f t="shared" si="6"/>
        <v>-0.29999999999999716</v>
      </c>
      <c r="S15">
        <f t="shared" si="2"/>
        <v>56.7</v>
      </c>
      <c r="T15">
        <f t="shared" si="3"/>
        <v>56.6</v>
      </c>
      <c r="V15">
        <f t="shared" si="0"/>
        <v>-0.70000000000000284</v>
      </c>
      <c r="W15">
        <f t="shared" si="1"/>
        <v>0.10000000000000142</v>
      </c>
    </row>
    <row r="16" spans="1:23" x14ac:dyDescent="0.25">
      <c r="A16" s="3">
        <v>45765</v>
      </c>
      <c r="B16" s="4">
        <v>13</v>
      </c>
      <c r="C16">
        <v>56.6</v>
      </c>
      <c r="D16">
        <f t="shared" si="4"/>
        <v>56</v>
      </c>
      <c r="E16">
        <f t="shared" si="5"/>
        <v>0.60000000000000142</v>
      </c>
      <c r="F16">
        <f t="shared" si="6"/>
        <v>0</v>
      </c>
      <c r="S16">
        <f t="shared" si="2"/>
        <v>56</v>
      </c>
      <c r="T16">
        <f t="shared" si="3"/>
        <v>56.7</v>
      </c>
      <c r="V16">
        <f t="shared" si="0"/>
        <v>0.39999999999999858</v>
      </c>
      <c r="W16">
        <f t="shared" si="1"/>
        <v>-0.70000000000000284</v>
      </c>
    </row>
    <row r="17" spans="1:23" x14ac:dyDescent="0.25">
      <c r="A17" s="3">
        <v>45768</v>
      </c>
      <c r="B17" s="4">
        <v>14</v>
      </c>
      <c r="C17">
        <v>56.7</v>
      </c>
      <c r="D17">
        <f t="shared" si="4"/>
        <v>56.6</v>
      </c>
      <c r="E17">
        <f t="shared" si="5"/>
        <v>0.10000000000000142</v>
      </c>
      <c r="F17">
        <f t="shared" si="6"/>
        <v>0.60000000000000142</v>
      </c>
      <c r="S17">
        <f t="shared" si="2"/>
        <v>56.4</v>
      </c>
      <c r="T17">
        <f t="shared" si="3"/>
        <v>56</v>
      </c>
      <c r="V17">
        <f t="shared" si="0"/>
        <v>-0.10000000000000142</v>
      </c>
      <c r="W17">
        <f t="shared" si="1"/>
        <v>0.39999999999999858</v>
      </c>
    </row>
    <row r="18" spans="1:23" x14ac:dyDescent="0.25">
      <c r="A18" s="3">
        <v>45769</v>
      </c>
      <c r="B18" s="4">
        <v>15</v>
      </c>
      <c r="C18">
        <v>56</v>
      </c>
      <c r="D18">
        <f t="shared" si="4"/>
        <v>56.7</v>
      </c>
      <c r="E18">
        <f t="shared" si="5"/>
        <v>-0.70000000000000284</v>
      </c>
      <c r="F18">
        <f t="shared" si="6"/>
        <v>0.10000000000000142</v>
      </c>
      <c r="S18">
        <f t="shared" si="2"/>
        <v>56.3</v>
      </c>
      <c r="T18">
        <f t="shared" si="3"/>
        <v>56.4</v>
      </c>
      <c r="V18">
        <f t="shared" si="0"/>
        <v>2</v>
      </c>
      <c r="W18">
        <f t="shared" si="1"/>
        <v>-0.10000000000000142</v>
      </c>
    </row>
    <row r="19" spans="1:23" x14ac:dyDescent="0.25">
      <c r="A19" s="3">
        <v>45770</v>
      </c>
      <c r="B19" s="4">
        <v>16</v>
      </c>
      <c r="C19">
        <v>56.4</v>
      </c>
      <c r="D19">
        <f t="shared" si="4"/>
        <v>56</v>
      </c>
      <c r="E19">
        <f t="shared" si="5"/>
        <v>0.39999999999999858</v>
      </c>
      <c r="F19">
        <f t="shared" si="6"/>
        <v>-0.70000000000000284</v>
      </c>
      <c r="S19">
        <f t="shared" si="2"/>
        <v>58.3</v>
      </c>
      <c r="T19">
        <f t="shared" si="3"/>
        <v>56.3</v>
      </c>
      <c r="V19">
        <f t="shared" si="0"/>
        <v>-0.79999999999999716</v>
      </c>
      <c r="W19">
        <f t="shared" si="1"/>
        <v>2</v>
      </c>
    </row>
    <row r="20" spans="1:23" x14ac:dyDescent="0.25">
      <c r="A20" s="3">
        <v>45771</v>
      </c>
      <c r="B20" s="4">
        <v>17</v>
      </c>
      <c r="C20">
        <v>56.3</v>
      </c>
      <c r="D20">
        <f t="shared" si="4"/>
        <v>56.4</v>
      </c>
      <c r="E20">
        <f t="shared" si="5"/>
        <v>-0.10000000000000142</v>
      </c>
      <c r="F20">
        <f t="shared" si="6"/>
        <v>0.39999999999999858</v>
      </c>
      <c r="S20">
        <f t="shared" si="2"/>
        <v>57.5</v>
      </c>
      <c r="T20">
        <f t="shared" si="3"/>
        <v>58.3</v>
      </c>
      <c r="V20">
        <f t="shared" si="0"/>
        <v>0.10000000000000142</v>
      </c>
      <c r="W20">
        <f t="shared" si="1"/>
        <v>-0.79999999999999716</v>
      </c>
    </row>
    <row r="21" spans="1:23" x14ac:dyDescent="0.25">
      <c r="A21" s="3">
        <v>45772</v>
      </c>
      <c r="B21" s="4">
        <v>18</v>
      </c>
      <c r="C21">
        <v>58.3</v>
      </c>
      <c r="D21">
        <f t="shared" si="4"/>
        <v>56.3</v>
      </c>
      <c r="E21">
        <f t="shared" si="5"/>
        <v>2</v>
      </c>
      <c r="F21">
        <f t="shared" si="6"/>
        <v>-0.10000000000000142</v>
      </c>
      <c r="S21">
        <f t="shared" si="2"/>
        <v>57.6</v>
      </c>
      <c r="T21">
        <f t="shared" si="3"/>
        <v>57.5</v>
      </c>
    </row>
    <row r="22" spans="1:23" x14ac:dyDescent="0.25">
      <c r="A22" s="3">
        <v>45775</v>
      </c>
      <c r="B22" s="4">
        <v>19</v>
      </c>
      <c r="C22">
        <v>57.5</v>
      </c>
      <c r="D22">
        <f t="shared" si="4"/>
        <v>58.3</v>
      </c>
      <c r="E22">
        <f t="shared" si="5"/>
        <v>-0.79999999999999716</v>
      </c>
      <c r="F22">
        <f t="shared" si="6"/>
        <v>2</v>
      </c>
    </row>
    <row r="23" spans="1:23" x14ac:dyDescent="0.25">
      <c r="A23" s="3">
        <v>45776</v>
      </c>
      <c r="B23" s="4">
        <v>20</v>
      </c>
      <c r="C23">
        <v>57.6</v>
      </c>
      <c r="D23">
        <f t="shared" si="4"/>
        <v>57.5</v>
      </c>
      <c r="E23">
        <f t="shared" si="5"/>
        <v>0.10000000000000142</v>
      </c>
      <c r="F23">
        <f t="shared" si="6"/>
        <v>-0.79999999999999716</v>
      </c>
    </row>
  </sheetData>
  <hyperlinks>
    <hyperlink ref="B2" r:id="rId1" xr:uid="{65E28EA4-3B46-4091-BF7F-F9D2EB633DF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7BBE-535E-4830-9D87-8C3F074145AE}">
  <dimension ref="A1:V28"/>
  <sheetViews>
    <sheetView tabSelected="1" topLeftCell="A12" workbookViewId="0">
      <selection activeCell="J33" sqref="J33"/>
    </sheetView>
  </sheetViews>
  <sheetFormatPr defaultRowHeight="15" x14ac:dyDescent="0.25"/>
  <cols>
    <col min="1" max="1" width="4.7109375" customWidth="1"/>
    <col min="2" max="2" width="10.140625" bestFit="1" customWidth="1"/>
    <col min="7" max="7" width="8.140625" customWidth="1"/>
    <col min="12" max="12" width="11.85546875" customWidth="1"/>
    <col min="14" max="14" width="11.42578125" customWidth="1"/>
    <col min="15" max="15" width="13" customWidth="1"/>
  </cols>
  <sheetData>
    <row r="1" spans="1:22" x14ac:dyDescent="0.25">
      <c r="B1" s="2" t="s">
        <v>2</v>
      </c>
      <c r="C1" s="1" t="s">
        <v>36</v>
      </c>
      <c r="D1" t="s">
        <v>6</v>
      </c>
      <c r="E1" t="s">
        <v>37</v>
      </c>
      <c r="F1" t="s">
        <v>7</v>
      </c>
      <c r="G1" s="1" t="s">
        <v>41</v>
      </c>
      <c r="H1" t="s">
        <v>40</v>
      </c>
    </row>
    <row r="2" spans="1:22" x14ac:dyDescent="0.25">
      <c r="A2">
        <v>1</v>
      </c>
      <c r="B2">
        <f>data!C4</f>
        <v>60.8</v>
      </c>
      <c r="J2" s="1" t="s">
        <v>35</v>
      </c>
      <c r="K2" t="s">
        <v>49</v>
      </c>
      <c r="N2" s="1" t="s">
        <v>9</v>
      </c>
      <c r="O2" s="1"/>
      <c r="P2" s="1" t="s">
        <v>43</v>
      </c>
    </row>
    <row r="3" spans="1:22" ht="18.75" thickBot="1" x14ac:dyDescent="0.4">
      <c r="A3">
        <v>2</v>
      </c>
      <c r="B3">
        <f>data!C5</f>
        <v>60.5</v>
      </c>
      <c r="C3">
        <f>B2</f>
        <v>60.8</v>
      </c>
      <c r="D3">
        <f>B3-C3</f>
        <v>-0.29999999999999716</v>
      </c>
      <c r="J3" t="s">
        <v>8</v>
      </c>
      <c r="K3" s="13" t="s">
        <v>44</v>
      </c>
      <c r="L3" s="14" t="s">
        <v>45</v>
      </c>
    </row>
    <row r="4" spans="1:22" ht="15.75" thickBot="1" x14ac:dyDescent="0.3">
      <c r="A4">
        <v>3</v>
      </c>
      <c r="B4">
        <f>data!C6</f>
        <v>56.5</v>
      </c>
      <c r="C4">
        <f t="shared" ref="C4:C21" si="0">B3</f>
        <v>60.5</v>
      </c>
      <c r="D4">
        <f t="shared" ref="D4:D21" si="1">B4-C4</f>
        <v>-4</v>
      </c>
      <c r="E4">
        <f>D3</f>
        <v>-0.29999999999999716</v>
      </c>
      <c r="F4">
        <f>$K$4+$L$4*E4</f>
        <v>-0.16126785301198651</v>
      </c>
      <c r="G4">
        <f>D4-F4</f>
        <v>-3.8387321469880136</v>
      </c>
      <c r="K4">
        <f>O12</f>
        <v>-0.20892929050609582</v>
      </c>
      <c r="L4">
        <f>O13</f>
        <v>-0.15887145831369923</v>
      </c>
      <c r="N4" s="10" t="s">
        <v>10</v>
      </c>
      <c r="O4" s="10"/>
      <c r="Q4" t="s">
        <v>16</v>
      </c>
    </row>
    <row r="5" spans="1:22" x14ac:dyDescent="0.25">
      <c r="A5">
        <v>4</v>
      </c>
      <c r="B5">
        <f>data!C7</f>
        <v>58.5</v>
      </c>
      <c r="C5">
        <f t="shared" si="0"/>
        <v>56.5</v>
      </c>
      <c r="D5">
        <f t="shared" si="1"/>
        <v>2</v>
      </c>
      <c r="E5">
        <f t="shared" ref="E5:E26" si="2">D4</f>
        <v>-4</v>
      </c>
      <c r="F5">
        <f>$K$4+$L$4*E5</f>
        <v>0.42655654274870108</v>
      </c>
      <c r="G5">
        <f t="shared" ref="G5:G21" si="3">D5-F5</f>
        <v>1.573443457251299</v>
      </c>
      <c r="H5">
        <f>G4</f>
        <v>-3.8387321469880136</v>
      </c>
      <c r="N5" s="7" t="s">
        <v>11</v>
      </c>
      <c r="O5" s="7">
        <v>0.15894228639215272</v>
      </c>
      <c r="Q5" s="9"/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</row>
    <row r="6" spans="1:22" ht="18" x14ac:dyDescent="0.35">
      <c r="A6">
        <v>5</v>
      </c>
      <c r="B6">
        <f>data!C8</f>
        <v>54.5</v>
      </c>
      <c r="C6">
        <f t="shared" si="0"/>
        <v>58.5</v>
      </c>
      <c r="D6">
        <f t="shared" si="1"/>
        <v>-4</v>
      </c>
      <c r="E6">
        <f t="shared" si="2"/>
        <v>2</v>
      </c>
      <c r="F6">
        <f>$K$4+$L$4*E6</f>
        <v>-0.52667220713349427</v>
      </c>
      <c r="G6">
        <f t="shared" si="3"/>
        <v>-3.4733277928665056</v>
      </c>
      <c r="H6">
        <f t="shared" ref="H6:H26" si="4">G5</f>
        <v>1.573443457251299</v>
      </c>
      <c r="J6" t="s">
        <v>34</v>
      </c>
      <c r="K6" s="14" t="s">
        <v>46</v>
      </c>
      <c r="L6" s="14" t="s">
        <v>47</v>
      </c>
      <c r="N6" s="7" t="s">
        <v>12</v>
      </c>
      <c r="O6" s="7">
        <v>2.5262650403565096E-2</v>
      </c>
      <c r="Q6" s="7" t="s">
        <v>17</v>
      </c>
      <c r="R6" s="7">
        <v>1</v>
      </c>
      <c r="S6" s="7">
        <v>1.6366408063949649</v>
      </c>
      <c r="T6" s="7">
        <v>1.6366408063949649</v>
      </c>
      <c r="U6" s="7">
        <v>0.4146782788454666</v>
      </c>
      <c r="V6" s="7">
        <v>0.52872825934713541</v>
      </c>
    </row>
    <row r="7" spans="1:22" x14ac:dyDescent="0.25">
      <c r="A7">
        <v>6</v>
      </c>
      <c r="B7">
        <f>data!C9</f>
        <v>52</v>
      </c>
      <c r="C7">
        <f t="shared" si="0"/>
        <v>54.5</v>
      </c>
      <c r="D7">
        <f t="shared" si="1"/>
        <v>-2.5</v>
      </c>
      <c r="E7">
        <f t="shared" si="2"/>
        <v>-4</v>
      </c>
      <c r="F7">
        <f>$K$4+$L$4*E7</f>
        <v>0.42655654274870108</v>
      </c>
      <c r="G7">
        <f t="shared" si="3"/>
        <v>-2.9265565427487013</v>
      </c>
      <c r="H7">
        <f t="shared" si="4"/>
        <v>-3.4733277928665056</v>
      </c>
      <c r="K7" s="6">
        <f>O27</f>
        <v>0.24596006575228163</v>
      </c>
      <c r="L7" s="6">
        <f>O28</f>
        <v>-3.9694620343556128E-2</v>
      </c>
      <c r="N7" s="7" t="s">
        <v>13</v>
      </c>
      <c r="O7" s="7">
        <v>-3.5658433946212084E-2</v>
      </c>
      <c r="Q7" s="7" t="s">
        <v>18</v>
      </c>
      <c r="R7" s="7">
        <v>16</v>
      </c>
      <c r="S7" s="7">
        <v>63.148359193605046</v>
      </c>
      <c r="T7" s="7">
        <v>3.9467724496003154</v>
      </c>
      <c r="U7" s="7"/>
      <c r="V7" s="7"/>
    </row>
    <row r="8" spans="1:22" ht="15.75" thickBot="1" x14ac:dyDescent="0.3">
      <c r="A8">
        <v>7</v>
      </c>
      <c r="B8">
        <f>data!C10</f>
        <v>55.6</v>
      </c>
      <c r="C8">
        <f t="shared" si="0"/>
        <v>52</v>
      </c>
      <c r="D8">
        <f t="shared" si="1"/>
        <v>3.6000000000000014</v>
      </c>
      <c r="E8">
        <f t="shared" si="2"/>
        <v>-2.5</v>
      </c>
      <c r="F8">
        <f>$K$4+$L$4*E8</f>
        <v>0.18824935527815223</v>
      </c>
      <c r="G8">
        <f t="shared" si="3"/>
        <v>3.4117506447218493</v>
      </c>
      <c r="H8">
        <f t="shared" si="4"/>
        <v>-2.9265565427487013</v>
      </c>
      <c r="N8" s="7" t="s">
        <v>14</v>
      </c>
      <c r="O8" s="7">
        <v>1.9866485470762854</v>
      </c>
      <c r="Q8" s="8" t="s">
        <v>19</v>
      </c>
      <c r="R8" s="8">
        <v>17</v>
      </c>
      <c r="S8" s="8">
        <v>64.785000000000011</v>
      </c>
      <c r="T8" s="8"/>
      <c r="U8" s="8"/>
      <c r="V8" s="8"/>
    </row>
    <row r="9" spans="1:22" ht="15.75" thickBot="1" x14ac:dyDescent="0.3">
      <c r="A9">
        <v>8</v>
      </c>
      <c r="B9">
        <f>data!C11</f>
        <v>57.5</v>
      </c>
      <c r="C9">
        <f t="shared" si="0"/>
        <v>55.6</v>
      </c>
      <c r="D9">
        <f t="shared" si="1"/>
        <v>1.8999999999999986</v>
      </c>
      <c r="E9">
        <f t="shared" si="2"/>
        <v>3.6000000000000014</v>
      </c>
      <c r="F9">
        <f>$K$4+$L$4*E9</f>
        <v>-0.78086654043541337</v>
      </c>
      <c r="G9">
        <f t="shared" si="3"/>
        <v>2.6808665404354119</v>
      </c>
      <c r="H9">
        <f t="shared" si="4"/>
        <v>3.4117506447218493</v>
      </c>
      <c r="J9" s="1" t="s">
        <v>48</v>
      </c>
      <c r="N9" s="8" t="s">
        <v>15</v>
      </c>
      <c r="O9" s="8">
        <v>18</v>
      </c>
    </row>
    <row r="10" spans="1:22" ht="18.75" thickBot="1" x14ac:dyDescent="0.4">
      <c r="A10">
        <v>9</v>
      </c>
      <c r="B10">
        <f>data!C12</f>
        <v>56.9</v>
      </c>
      <c r="C10">
        <f t="shared" si="0"/>
        <v>57.5</v>
      </c>
      <c r="D10">
        <f t="shared" si="1"/>
        <v>-0.60000000000000142</v>
      </c>
      <c r="E10">
        <f t="shared" si="2"/>
        <v>1.8999999999999986</v>
      </c>
      <c r="F10">
        <f>$K$4+$L$4*E10</f>
        <v>-0.51078506130212409</v>
      </c>
      <c r="G10">
        <f t="shared" si="3"/>
        <v>-8.9214938697877333E-2</v>
      </c>
      <c r="H10">
        <f t="shared" si="4"/>
        <v>2.6808665404354119</v>
      </c>
      <c r="J10" s="17" t="s">
        <v>51</v>
      </c>
      <c r="K10" s="13"/>
      <c r="L10" s="6"/>
    </row>
    <row r="11" spans="1:22" x14ac:dyDescent="0.25">
      <c r="A11">
        <v>10</v>
      </c>
      <c r="B11">
        <f>data!C13</f>
        <v>56.3</v>
      </c>
      <c r="C11">
        <f t="shared" si="0"/>
        <v>56.9</v>
      </c>
      <c r="D11">
        <f t="shared" si="1"/>
        <v>-0.60000000000000142</v>
      </c>
      <c r="E11">
        <f t="shared" si="2"/>
        <v>-0.60000000000000142</v>
      </c>
      <c r="F11">
        <f>$K$4+$L$4*E11</f>
        <v>-0.11360641551787606</v>
      </c>
      <c r="G11">
        <f t="shared" si="3"/>
        <v>-0.48639358448212533</v>
      </c>
      <c r="H11">
        <f t="shared" si="4"/>
        <v>-8.9214938697877333E-2</v>
      </c>
      <c r="J11" s="17" t="s">
        <v>50</v>
      </c>
      <c r="N11" s="9"/>
      <c r="O11" s="9" t="s">
        <v>26</v>
      </c>
      <c r="P11" s="9" t="s">
        <v>14</v>
      </c>
      <c r="Q11" s="9" t="s">
        <v>27</v>
      </c>
      <c r="R11" s="9" t="s">
        <v>28</v>
      </c>
      <c r="S11" s="9" t="s">
        <v>29</v>
      </c>
      <c r="T11" s="9" t="s">
        <v>30</v>
      </c>
      <c r="U11" s="9" t="s">
        <v>31</v>
      </c>
      <c r="V11" s="9" t="s">
        <v>32</v>
      </c>
    </row>
    <row r="12" spans="1:22" x14ac:dyDescent="0.25">
      <c r="A12">
        <v>11</v>
      </c>
      <c r="B12">
        <f>data!C14</f>
        <v>56</v>
      </c>
      <c r="C12">
        <f t="shared" si="0"/>
        <v>56.3</v>
      </c>
      <c r="D12">
        <f t="shared" si="1"/>
        <v>-0.29999999999999716</v>
      </c>
      <c r="E12">
        <f t="shared" si="2"/>
        <v>-0.60000000000000142</v>
      </c>
      <c r="F12">
        <f>$K$4+$L$4*E12</f>
        <v>-0.11360641551787606</v>
      </c>
      <c r="G12">
        <f t="shared" si="3"/>
        <v>-0.18639358448212109</v>
      </c>
      <c r="H12">
        <f t="shared" si="4"/>
        <v>-0.48639358448212533</v>
      </c>
      <c r="N12" s="7" t="s">
        <v>20</v>
      </c>
      <c r="O12" s="11">
        <v>-0.20892929050609582</v>
      </c>
      <c r="P12" s="7">
        <v>0.46994153132839239</v>
      </c>
      <c r="Q12" s="7">
        <v>-0.44458571243003686</v>
      </c>
      <c r="R12" s="7">
        <v>0.66257420696150149</v>
      </c>
      <c r="S12" s="7">
        <v>-1.2051608330933063</v>
      </c>
      <c r="T12" s="7">
        <v>0.7873022520811146</v>
      </c>
      <c r="U12" s="7">
        <v>-1.2051608330933063</v>
      </c>
      <c r="V12" s="7">
        <v>0.7873022520811146</v>
      </c>
    </row>
    <row r="13" spans="1:22" ht="15.75" thickBot="1" x14ac:dyDescent="0.3">
      <c r="A13">
        <v>12</v>
      </c>
      <c r="B13">
        <f>data!C15</f>
        <v>56</v>
      </c>
      <c r="C13">
        <f t="shared" si="0"/>
        <v>56</v>
      </c>
      <c r="D13">
        <f t="shared" si="1"/>
        <v>0</v>
      </c>
      <c r="E13">
        <f t="shared" si="2"/>
        <v>-0.29999999999999716</v>
      </c>
      <c r="F13">
        <f>$K$4+$L$4*E13</f>
        <v>-0.16126785301198651</v>
      </c>
      <c r="G13">
        <f t="shared" si="3"/>
        <v>0.16126785301198651</v>
      </c>
      <c r="H13">
        <f t="shared" si="4"/>
        <v>-0.18639358448212109</v>
      </c>
      <c r="N13" s="8" t="s">
        <v>33</v>
      </c>
      <c r="O13" s="12">
        <v>-0.15887145831369923</v>
      </c>
      <c r="P13" s="8">
        <v>0.24671197979422213</v>
      </c>
      <c r="Q13" s="8">
        <v>-0.64395518387964357</v>
      </c>
      <c r="R13" s="8">
        <v>0.52872825934713574</v>
      </c>
      <c r="S13" s="8">
        <v>-0.68187749166083789</v>
      </c>
      <c r="T13" s="8">
        <v>0.36413457503343949</v>
      </c>
      <c r="U13" s="8">
        <v>-0.68187749166083789</v>
      </c>
      <c r="V13" s="8">
        <v>0.36413457503343949</v>
      </c>
    </row>
    <row r="14" spans="1:22" x14ac:dyDescent="0.25">
      <c r="A14">
        <v>13</v>
      </c>
      <c r="B14">
        <f>data!C16</f>
        <v>56.6</v>
      </c>
      <c r="C14">
        <f t="shared" si="0"/>
        <v>56</v>
      </c>
      <c r="D14">
        <f t="shared" si="1"/>
        <v>0.60000000000000142</v>
      </c>
      <c r="E14">
        <f t="shared" si="2"/>
        <v>0</v>
      </c>
      <c r="F14">
        <f>$K$4+$L$4*E14</f>
        <v>-0.20892929050609582</v>
      </c>
      <c r="G14">
        <f t="shared" si="3"/>
        <v>0.80892929050609719</v>
      </c>
      <c r="H14">
        <f t="shared" si="4"/>
        <v>0.16126785301198651</v>
      </c>
    </row>
    <row r="15" spans="1:22" x14ac:dyDescent="0.25">
      <c r="A15">
        <v>14</v>
      </c>
      <c r="B15">
        <f>data!C17</f>
        <v>56.7</v>
      </c>
      <c r="C15">
        <f t="shared" si="0"/>
        <v>56.6</v>
      </c>
      <c r="D15">
        <f t="shared" si="1"/>
        <v>0.10000000000000142</v>
      </c>
      <c r="E15">
        <f t="shared" si="2"/>
        <v>0.60000000000000142</v>
      </c>
      <c r="F15">
        <f>$K$4+$L$4*E15</f>
        <v>-0.30425216549431555</v>
      </c>
      <c r="G15">
        <f t="shared" si="3"/>
        <v>0.40425216549431697</v>
      </c>
      <c r="H15">
        <f t="shared" si="4"/>
        <v>0.80892929050609719</v>
      </c>
    </row>
    <row r="16" spans="1:22" x14ac:dyDescent="0.25">
      <c r="A16">
        <v>15</v>
      </c>
      <c r="B16">
        <f>data!C18</f>
        <v>56</v>
      </c>
      <c r="C16">
        <f t="shared" si="0"/>
        <v>56.7</v>
      </c>
      <c r="D16">
        <f t="shared" si="1"/>
        <v>-0.70000000000000284</v>
      </c>
      <c r="E16">
        <f t="shared" si="2"/>
        <v>0.10000000000000142</v>
      </c>
      <c r="F16">
        <f>$K$4+$L$4*E16</f>
        <v>-0.22481643633746598</v>
      </c>
      <c r="G16">
        <f t="shared" si="3"/>
        <v>-0.47518356366253689</v>
      </c>
      <c r="H16">
        <f t="shared" si="4"/>
        <v>0.40425216549431697</v>
      </c>
      <c r="N16" s="1" t="s">
        <v>9</v>
      </c>
      <c r="P16" s="1" t="s">
        <v>42</v>
      </c>
    </row>
    <row r="17" spans="1:22" ht="15.75" thickBot="1" x14ac:dyDescent="0.3">
      <c r="A17">
        <v>16</v>
      </c>
      <c r="B17">
        <f>data!C19</f>
        <v>56.4</v>
      </c>
      <c r="C17">
        <f t="shared" si="0"/>
        <v>56</v>
      </c>
      <c r="D17">
        <f t="shared" si="1"/>
        <v>0.39999999999999858</v>
      </c>
      <c r="E17">
        <f t="shared" si="2"/>
        <v>-0.70000000000000284</v>
      </c>
      <c r="F17">
        <f>$K$4+$L$4*E17</f>
        <v>-9.7719269686505905E-2</v>
      </c>
      <c r="G17">
        <f t="shared" si="3"/>
        <v>0.49771926968650448</v>
      </c>
      <c r="H17">
        <f t="shared" si="4"/>
        <v>-0.47518356366253689</v>
      </c>
    </row>
    <row r="18" spans="1:22" ht="15.75" thickBot="1" x14ac:dyDescent="0.3">
      <c r="A18">
        <v>17</v>
      </c>
      <c r="B18">
        <f>data!C20</f>
        <v>56.3</v>
      </c>
      <c r="C18">
        <f t="shared" si="0"/>
        <v>56.4</v>
      </c>
      <c r="D18">
        <f t="shared" si="1"/>
        <v>-0.10000000000000142</v>
      </c>
      <c r="E18">
        <f t="shared" si="2"/>
        <v>0.39999999999999858</v>
      </c>
      <c r="F18">
        <f>$K$4+$L$4*E18</f>
        <v>-0.27247787383157529</v>
      </c>
      <c r="G18">
        <f t="shared" si="3"/>
        <v>0.17247787383157387</v>
      </c>
      <c r="H18">
        <f t="shared" si="4"/>
        <v>0.49771926968650448</v>
      </c>
      <c r="N18" s="10" t="s">
        <v>10</v>
      </c>
      <c r="O18" s="10"/>
      <c r="Q18" t="s">
        <v>16</v>
      </c>
    </row>
    <row r="19" spans="1:22" x14ac:dyDescent="0.25">
      <c r="A19">
        <v>18</v>
      </c>
      <c r="B19">
        <f>data!C21</f>
        <v>58.3</v>
      </c>
      <c r="C19">
        <f t="shared" si="0"/>
        <v>56.3</v>
      </c>
      <c r="D19">
        <f t="shared" si="1"/>
        <v>2</v>
      </c>
      <c r="E19">
        <f t="shared" si="2"/>
        <v>-0.10000000000000142</v>
      </c>
      <c r="F19">
        <f>$K$4+$L$4*E19</f>
        <v>-0.19304214467472566</v>
      </c>
      <c r="G19">
        <f t="shared" si="3"/>
        <v>2.1930421446747257</v>
      </c>
      <c r="H19">
        <f t="shared" si="4"/>
        <v>0.17247787383157387</v>
      </c>
      <c r="N19" s="7" t="s">
        <v>11</v>
      </c>
      <c r="O19" s="7">
        <v>4.5802878762687585E-2</v>
      </c>
      <c r="Q19" s="9"/>
      <c r="R19" s="9" t="s">
        <v>21</v>
      </c>
      <c r="S19" s="9" t="s">
        <v>22</v>
      </c>
      <c r="T19" s="9" t="s">
        <v>23</v>
      </c>
      <c r="U19" s="9" t="s">
        <v>24</v>
      </c>
      <c r="V19" s="9" t="s">
        <v>25</v>
      </c>
    </row>
    <row r="20" spans="1:22" x14ac:dyDescent="0.25">
      <c r="A20">
        <v>19</v>
      </c>
      <c r="B20">
        <f>data!C22</f>
        <v>57.5</v>
      </c>
      <c r="C20">
        <f t="shared" si="0"/>
        <v>58.3</v>
      </c>
      <c r="D20">
        <f t="shared" si="1"/>
        <v>-0.79999999999999716</v>
      </c>
      <c r="E20">
        <f t="shared" si="2"/>
        <v>2</v>
      </c>
      <c r="F20">
        <f>$K$4+$L$4*E20</f>
        <v>-0.52667220713349427</v>
      </c>
      <c r="G20">
        <f t="shared" si="3"/>
        <v>-0.27332779286650288</v>
      </c>
      <c r="H20">
        <f t="shared" si="4"/>
        <v>2.1930421446747257</v>
      </c>
      <c r="N20" s="7" t="s">
        <v>12</v>
      </c>
      <c r="O20" s="7">
        <v>2.0979037029494572E-3</v>
      </c>
      <c r="Q20" s="7" t="s">
        <v>17</v>
      </c>
      <c r="R20" s="7">
        <v>1</v>
      </c>
      <c r="S20" s="7">
        <v>9.9544863516129567E-2</v>
      </c>
      <c r="T20" s="7">
        <v>9.9544863516129567E-2</v>
      </c>
      <c r="U20" s="7">
        <v>3.1534712334018847E-2</v>
      </c>
      <c r="V20" s="7">
        <v>0.86142852511386536</v>
      </c>
    </row>
    <row r="21" spans="1:22" x14ac:dyDescent="0.25">
      <c r="A21">
        <v>20</v>
      </c>
      <c r="B21">
        <f>data!C23</f>
        <v>57.6</v>
      </c>
      <c r="C21">
        <f t="shared" si="0"/>
        <v>57.5</v>
      </c>
      <c r="D21">
        <f t="shared" si="1"/>
        <v>0.10000000000000142</v>
      </c>
      <c r="E21">
        <f t="shared" si="2"/>
        <v>-0.79999999999999716</v>
      </c>
      <c r="F21">
        <f>$K$4+$L$4*E21</f>
        <v>-8.1832123855136885E-2</v>
      </c>
      <c r="G21">
        <f t="shared" si="3"/>
        <v>0.18183212385513831</v>
      </c>
      <c r="H21">
        <f t="shared" si="4"/>
        <v>-0.27332779286650288</v>
      </c>
      <c r="N21" s="7" t="s">
        <v>13</v>
      </c>
      <c r="O21" s="7">
        <v>-6.4428902716853906E-2</v>
      </c>
      <c r="Q21" s="7" t="s">
        <v>18</v>
      </c>
      <c r="R21" s="7">
        <v>15</v>
      </c>
      <c r="S21" s="7">
        <v>47.350137110055279</v>
      </c>
      <c r="T21" s="7">
        <v>3.1566758073370185</v>
      </c>
      <c r="U21" s="7"/>
      <c r="V21" s="7"/>
    </row>
    <row r="22" spans="1:22" ht="15.75" thickBot="1" x14ac:dyDescent="0.3">
      <c r="A22">
        <v>21</v>
      </c>
      <c r="B22" s="16">
        <f>B21+D22</f>
        <v>57.613925872292128</v>
      </c>
      <c r="D22" s="15">
        <f>$K$4+$L$4*D21+$K$7+L7*G21</f>
        <v>1.392587229212346E-2</v>
      </c>
      <c r="E22" s="15">
        <f t="shared" si="2"/>
        <v>0.10000000000000142</v>
      </c>
      <c r="F22" s="15">
        <f t="shared" ref="F22:F26" si="5">$K$4+$L$4*E22</f>
        <v>-0.22481643633746598</v>
      </c>
      <c r="G22" s="15">
        <f t="shared" ref="G22:G25" si="6">D22-F22</f>
        <v>0.23874230862958945</v>
      </c>
      <c r="H22" s="15">
        <f t="shared" si="4"/>
        <v>0.18183212385513831</v>
      </c>
      <c r="N22" s="7" t="s">
        <v>14</v>
      </c>
      <c r="O22" s="7">
        <v>1.7767036352011605</v>
      </c>
      <c r="Q22" s="8" t="s">
        <v>19</v>
      </c>
      <c r="R22" s="8">
        <v>16</v>
      </c>
      <c r="S22" s="8">
        <v>47.449681973571408</v>
      </c>
      <c r="T22" s="8"/>
      <c r="U22" s="8"/>
      <c r="V22" s="8"/>
    </row>
    <row r="23" spans="1:22" ht="15.75" thickBot="1" x14ac:dyDescent="0.3">
      <c r="A23">
        <v>22</v>
      </c>
      <c r="B23" s="16">
        <f t="shared" ref="B23:B25" si="7">B22+D23</f>
        <v>57.648744223898973</v>
      </c>
      <c r="D23" s="15">
        <f t="shared" ref="D23:D25" si="8">$K$4+$L$4*D22+$K$7+L8*G22</f>
        <v>3.4818351606845821E-2</v>
      </c>
      <c r="E23" s="15">
        <f t="shared" si="2"/>
        <v>1.392587229212346E-2</v>
      </c>
      <c r="F23" s="15">
        <f t="shared" si="5"/>
        <v>-0.21114171414543581</v>
      </c>
      <c r="G23" s="15">
        <f t="shared" si="6"/>
        <v>0.24596006575228163</v>
      </c>
      <c r="H23" s="15">
        <f t="shared" si="4"/>
        <v>0.23874230862958945</v>
      </c>
      <c r="N23" s="8" t="s">
        <v>15</v>
      </c>
      <c r="O23" s="8">
        <v>17</v>
      </c>
    </row>
    <row r="24" spans="1:22" x14ac:dyDescent="0.25">
      <c r="A24">
        <v>23</v>
      </c>
      <c r="B24" s="16">
        <f t="shared" si="7"/>
        <v>57.680243356849303</v>
      </c>
      <c r="D24" s="15">
        <f t="shared" si="8"/>
        <v>3.149913295032708E-2</v>
      </c>
      <c r="E24" s="15">
        <f t="shared" si="2"/>
        <v>3.4818351606845821E-2</v>
      </c>
      <c r="F24" s="15">
        <f t="shared" si="5"/>
        <v>-0.21446093280195455</v>
      </c>
      <c r="G24" s="15">
        <f t="shared" si="6"/>
        <v>0.24596006575228163</v>
      </c>
      <c r="H24" s="15">
        <f t="shared" si="4"/>
        <v>0.24596006575228163</v>
      </c>
    </row>
    <row r="25" spans="1:22" ht="15.75" thickBot="1" x14ac:dyDescent="0.3">
      <c r="A25">
        <v>24</v>
      </c>
      <c r="B25" s="16">
        <f t="shared" si="7"/>
        <v>57.712269818908055</v>
      </c>
      <c r="D25" s="15">
        <f t="shared" si="8"/>
        <v>3.202646205875026E-2</v>
      </c>
      <c r="E25" s="15">
        <f t="shared" si="2"/>
        <v>3.149913295032708E-2</v>
      </c>
      <c r="F25" s="15">
        <f t="shared" si="5"/>
        <v>-0.21393360369353137</v>
      </c>
      <c r="G25" s="15">
        <f t="shared" si="6"/>
        <v>0.24596006575228163</v>
      </c>
      <c r="H25" s="15">
        <f t="shared" si="4"/>
        <v>0.24596006575228163</v>
      </c>
    </row>
    <row r="26" spans="1:22" x14ac:dyDescent="0.25">
      <c r="A26">
        <v>25</v>
      </c>
      <c r="B26" s="16">
        <f>B25+D26</f>
        <v>57.744212503422339</v>
      </c>
      <c r="D26" s="15">
        <f>$K$4+$L$4*D25+$K$7+L11*G25</f>
        <v>3.1942684514283809E-2</v>
      </c>
      <c r="E26" s="15">
        <f t="shared" si="2"/>
        <v>3.202646205875026E-2</v>
      </c>
      <c r="F26" s="15">
        <f t="shared" si="5"/>
        <v>-0.21401738123799782</v>
      </c>
      <c r="G26" s="15">
        <f t="shared" ref="G26" si="9">D26-F26</f>
        <v>0.24596006575228163</v>
      </c>
      <c r="H26" s="15">
        <f t="shared" si="4"/>
        <v>0.24596006575228163</v>
      </c>
      <c r="N26" s="9"/>
      <c r="O26" s="9" t="s">
        <v>26</v>
      </c>
      <c r="P26" s="9" t="s">
        <v>14</v>
      </c>
      <c r="Q26" s="9" t="s">
        <v>27</v>
      </c>
      <c r="R26" s="9" t="s">
        <v>28</v>
      </c>
      <c r="S26" s="9" t="s">
        <v>29</v>
      </c>
      <c r="T26" s="9" t="s">
        <v>30</v>
      </c>
      <c r="U26" s="9" t="s">
        <v>31</v>
      </c>
      <c r="V26" s="9" t="s">
        <v>32</v>
      </c>
    </row>
    <row r="27" spans="1:22" x14ac:dyDescent="0.25">
      <c r="N27" s="7" t="s">
        <v>20</v>
      </c>
      <c r="O27" s="11">
        <v>0.24596006575228163</v>
      </c>
      <c r="P27" s="7">
        <v>0.43091872268812187</v>
      </c>
      <c r="Q27" s="7">
        <v>0.57078064331471534</v>
      </c>
      <c r="R27" s="7">
        <v>0.57660005881820742</v>
      </c>
      <c r="S27" s="7">
        <v>-0.67252144989451401</v>
      </c>
      <c r="T27" s="7">
        <v>1.1644415813990774</v>
      </c>
      <c r="U27" s="7">
        <v>-0.67252144989451401</v>
      </c>
      <c r="V27" s="7">
        <v>1.1644415813990774</v>
      </c>
    </row>
    <row r="28" spans="1:22" ht="15.75" thickBot="1" x14ac:dyDescent="0.3">
      <c r="N28" s="8" t="s">
        <v>33</v>
      </c>
      <c r="O28" s="12">
        <v>-3.9694620343556128E-2</v>
      </c>
      <c r="P28" s="8">
        <v>0.22353071933661189</v>
      </c>
      <c r="Q28" s="8">
        <v>-0.17758015748958664</v>
      </c>
      <c r="R28" s="8">
        <v>0.86142852511384893</v>
      </c>
      <c r="S28" s="8">
        <v>-0.51613907049222696</v>
      </c>
      <c r="T28" s="8">
        <v>0.43674982980511473</v>
      </c>
      <c r="U28" s="8">
        <v>-0.51613907049222696</v>
      </c>
      <c r="V28" s="8">
        <v>0.43674982980511473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arima(1,1,1)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BuuHQ</dc:creator>
  <cp:lastModifiedBy>BOO HUYNH</cp:lastModifiedBy>
  <dcterms:created xsi:type="dcterms:W3CDTF">2015-06-05T18:17:20Z</dcterms:created>
  <dcterms:modified xsi:type="dcterms:W3CDTF">2025-05-23T10:20:29Z</dcterms:modified>
</cp:coreProperties>
</file>