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learning-area\uit-msc\subjects\phan-tich-du-lieu-kinh-doanh\uit-msc-data-analyst-assignments\hw5b\"/>
    </mc:Choice>
  </mc:AlternateContent>
  <xr:revisionPtr revIDLastSave="0" documentId="13_ncr:1_{4E709E10-208D-4ABB-8197-09232123CCCC}" xr6:coauthVersionLast="47" xr6:coauthVersionMax="47" xr10:uidLastSave="{00000000-0000-0000-0000-000000000000}"/>
  <bookViews>
    <workbookView xWindow="2295" yWindow="2295" windowWidth="25830" windowHeight="12915" activeTab="2" xr2:uid="{B79B11E0-FF92-4F11-82ED-CBE6E077EEF1}"/>
  </bookViews>
  <sheets>
    <sheet name="AR_Regr" sheetId="6" r:id="rId1"/>
    <sheet name="MA_Regr" sheetId="7" r:id="rId2"/>
    <sheet name="vinamilk_one_month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E6" i="1" s="1"/>
  <c r="D6" i="1"/>
  <c r="E7" i="1" s="1"/>
  <c r="D7" i="1"/>
  <c r="D8" i="1"/>
  <c r="E9" i="1" s="1"/>
  <c r="D9" i="1"/>
  <c r="D10" i="1"/>
  <c r="E11" i="1" s="1"/>
  <c r="D11" i="1"/>
  <c r="D12" i="1"/>
  <c r="E13" i="1" s="1"/>
  <c r="D13" i="1"/>
  <c r="E14" i="1" s="1"/>
  <c r="D14" i="1"/>
  <c r="D15" i="1"/>
  <c r="E16" i="1" s="1"/>
  <c r="D16" i="1"/>
  <c r="D17" i="1"/>
  <c r="D18" i="1"/>
  <c r="D19" i="1"/>
  <c r="E20" i="1" s="1"/>
  <c r="D20" i="1"/>
  <c r="D21" i="1"/>
  <c r="D22" i="1"/>
  <c r="D4" i="1"/>
  <c r="E5" i="1" s="1"/>
  <c r="G11" i="1" l="1"/>
  <c r="F11" i="1"/>
  <c r="E12" i="1"/>
  <c r="G12" i="1" s="1"/>
  <c r="G7" i="1"/>
  <c r="F7" i="1"/>
  <c r="F21" i="1"/>
  <c r="F10" i="1"/>
  <c r="E8" i="1"/>
  <c r="G8" i="1" s="1"/>
  <c r="F18" i="1"/>
  <c r="F17" i="1"/>
  <c r="G16" i="1"/>
  <c r="F16" i="1"/>
  <c r="F15" i="1"/>
  <c r="E18" i="1"/>
  <c r="G18" i="1" s="1"/>
  <c r="G9" i="1"/>
  <c r="F9" i="1"/>
  <c r="E10" i="1"/>
  <c r="G10" i="1" s="1"/>
  <c r="E23" i="1"/>
  <c r="F22" i="1"/>
  <c r="G5" i="1"/>
  <c r="H6" i="1" s="1"/>
  <c r="F5" i="1"/>
  <c r="G20" i="1"/>
  <c r="F20" i="1"/>
  <c r="E22" i="1"/>
  <c r="G22" i="1" s="1"/>
  <c r="D23" i="1" s="1"/>
  <c r="E21" i="1"/>
  <c r="G21" i="1" s="1"/>
  <c r="E19" i="1"/>
  <c r="G19" i="1" s="1"/>
  <c r="G14" i="1"/>
  <c r="F14" i="1"/>
  <c r="E17" i="1"/>
  <c r="G17" i="1" s="1"/>
  <c r="F8" i="1"/>
  <c r="F6" i="1"/>
  <c r="G6" i="1"/>
  <c r="F19" i="1"/>
  <c r="F13" i="1"/>
  <c r="G13" i="1"/>
  <c r="F12" i="1"/>
  <c r="E15" i="1"/>
  <c r="G15" i="1" s="1"/>
  <c r="E24" i="1" l="1"/>
  <c r="F23" i="1"/>
  <c r="G23" i="1"/>
  <c r="D24" i="1" s="1"/>
  <c r="C23" i="1"/>
  <c r="H22" i="1"/>
  <c r="H20" i="1"/>
  <c r="H23" i="1"/>
  <c r="H16" i="1"/>
  <c r="H9" i="1"/>
  <c r="H11" i="1"/>
  <c r="H17" i="1"/>
  <c r="H19" i="1"/>
  <c r="H18" i="1"/>
  <c r="H21" i="1"/>
  <c r="H14" i="1"/>
  <c r="H13" i="1"/>
  <c r="H7" i="1"/>
  <c r="H10" i="1"/>
  <c r="H8" i="1"/>
  <c r="H15" i="1"/>
  <c r="H12" i="1"/>
  <c r="C24" i="1" l="1"/>
  <c r="H24" i="1"/>
  <c r="G24" i="1"/>
  <c r="F24" i="1"/>
  <c r="E25" i="1"/>
  <c r="D25" i="1"/>
  <c r="H25" i="1" l="1"/>
  <c r="G25" i="1"/>
  <c r="F25" i="1"/>
  <c r="C25" i="1"/>
</calcChain>
</file>

<file path=xl/sharedStrings.xml><?xml version="1.0" encoding="utf-8"?>
<sst xmlns="http://schemas.openxmlformats.org/spreadsheetml/2006/main" count="84" uniqueCount="54">
  <si>
    <t>Date</t>
  </si>
  <si>
    <t>Series</t>
  </si>
  <si>
    <t>y=Price</t>
  </si>
  <si>
    <t>dy</t>
  </si>
  <si>
    <t>dy_lag1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</si>
  <si>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</si>
  <si>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</si>
  <si>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</si>
  <si>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</si>
  <si>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</si>
  <si>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</si>
  <si>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</si>
  <si>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</si>
  <si>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</si>
  <si>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</si>
  <si>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</si>
  <si>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</si>
  <si>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</si>
  <si>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</si>
  <si>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</si>
  <si>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</si>
  <si>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</si>
  <si>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</si>
  <si>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</si>
  <si>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</si>
  <si>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</si>
  <si>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</si>
  <si>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</si>
  <si>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</si>
  <si>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</si>
  <si>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Kết quả:</t>
  </si>
  <si>
    <t>beta_0</t>
  </si>
  <si>
    <t>beta_1</t>
  </si>
  <si>
    <t>e(t)</t>
  </si>
  <si>
    <t>e(t-1)</t>
  </si>
  <si>
    <t>Bước 4:</t>
  </si>
  <si>
    <t>theta_0</t>
  </si>
  <si>
    <t>theta_1</t>
  </si>
  <si>
    <t>dy_pred</t>
  </si>
  <si>
    <r>
      <t>tính</t>
    </r>
    <r>
      <rPr>
        <b/>
        <sz val="11"/>
        <color rgb="FFFF0000"/>
        <rFont val="Aptos Narrow"/>
        <family val="2"/>
        <scheme val="minor"/>
      </rPr>
      <t xml:space="preserve"> dy_lag1</t>
    </r>
    <r>
      <rPr>
        <sz val="11"/>
        <color theme="1"/>
        <rFont val="Aptos Narrow"/>
        <family val="2"/>
        <scheme val="minor"/>
      </rPr>
      <t xml:space="preserve"> trượt dy đi 1 ngày lấy làm giá trị dự báo của dy</t>
    </r>
  </si>
  <si>
    <r>
      <t xml:space="preserve">Tính </t>
    </r>
    <r>
      <rPr>
        <b/>
        <sz val="11"/>
        <color rgb="FFFF0000"/>
        <rFont val="Aptos Narrow"/>
        <family val="2"/>
        <scheme val="minor"/>
      </rPr>
      <t>dy</t>
    </r>
    <r>
      <rPr>
        <sz val="11"/>
        <color theme="1"/>
        <rFont val="Aptos Narrow"/>
        <family val="2"/>
        <scheme val="minor"/>
      </rPr>
      <t xml:space="preserve"> = y(t) - y(t-1)</t>
    </r>
  </si>
  <si>
    <r>
      <t>Tính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e(t)</t>
    </r>
    <r>
      <rPr>
        <sz val="11"/>
        <color theme="1"/>
        <rFont val="Aptos Narrow"/>
        <family val="2"/>
        <scheme val="minor"/>
      </rPr>
      <t xml:space="preserve"> = dy - dy_pred</t>
    </r>
  </si>
  <si>
    <r>
      <t xml:space="preserve">Trượt </t>
    </r>
    <r>
      <rPr>
        <b/>
        <sz val="11"/>
        <color rgb="FFFF0000"/>
        <rFont val="Aptos Narrow"/>
        <family val="2"/>
        <scheme val="minor"/>
      </rPr>
      <t>e(t-1)</t>
    </r>
  </si>
  <si>
    <t>Bước 2: Bước này là AR(1) tự hồi qui</t>
  </si>
  <si>
    <t>Bước 1: Bước này là I(1) sai phân 1</t>
  </si>
  <si>
    <t>Bước 3: Bước này là MA(1)</t>
  </si>
  <si>
    <t>x</t>
  </si>
  <si>
    <t>y</t>
  </si>
  <si>
    <t>Chạy Regression với y = dy và x = dy_lag1</t>
  </si>
  <si>
    <r>
      <t xml:space="preserve">Tính </t>
    </r>
    <r>
      <rPr>
        <b/>
        <sz val="11"/>
        <color rgb="FFFF0000"/>
        <rFont val="Aptos Narrow"/>
        <family val="2"/>
        <scheme val="minor"/>
      </rPr>
      <t>dy_pred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=beta_0 + beta_1*dy_lag1</t>
    </r>
  </si>
  <si>
    <t>Chạy  Regression với y = e(t) và x = e(t-1)</t>
  </si>
  <si>
    <t>Bước 5: dự báo với ARIMA(1,1,1)</t>
  </si>
  <si>
    <t>dy(t+1) = beta_0 + beta_1*dt(t) + theta_0 + theta_1*e(t)</t>
  </si>
  <si>
    <t>y(t+1) = y(t) + dy(t+1)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</si>
</sst>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sz val="11"/>
      <color theme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1" fontId="0" fillId="0" borderId="0" xfId="0" applyNumberFormat="1"/>
    <xf numFmtId="0" fontId="16" fillId="0" borderId="0" xfId="0" applyFont="1"/>
    <xf numFmtId="0" fontId="14" fillId="0" borderId="0" xfId="0" applyFont="1"/>
    <xf numFmtId="0" fontId="16" fillId="0" borderId="0" xfId="0" quotePrefix="1" applyFont="1" applyAlignment="1">
      <alignment horizontal="center"/>
    </xf>
    <xf numFmtId="0" fontId="0" fillId="33" borderId="0" xfId="0" applyFill="1"/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18" fillId="0" borderId="11" xfId="0" applyFont="1" applyBorder="1" applyAlignment="1">
      <alignment horizontal="centerContinuous"/>
    </xf>
    <xf numFmtId="0" fontId="0" fillId="0" borderId="0" xfId="0" quotePrefix="1"/>
    <xf numFmtId="0" fontId="20" fillId="0" borderId="0" xfId="0" applyFont="1"/>
    <xf numFmtId="164" fontId="21" fillId="0" borderId="0" xfId="0" applyNumberFormat="1" applyFont="1"/>
    <xf numFmtId="1" fontId="21" fillId="0" borderId="0" xfId="0" applyNumberFormat="1" applyFont="1"/>
    <xf numFmtId="165" fontId="21" fillId="0" borderId="0" xfId="0" applyNumberFormat="1" applyFont="1"/>
    <xf numFmtId="0" fontId="21" fillId="0" borderId="0" xfId="0" applyFont="1" applyAlignment="1">
      <alignment horizontal="center"/>
    </xf>
    <xf numFmtId="165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124238</xdr:colOff>
      <xdr:row>21</xdr:row>
      <xdr:rowOff>16565</xdr:rowOff>
    </xdr:from>
    <xdr:to>
      <xdr:col>14</xdr:col>
      <xdr:colOff>306454</xdr:colOff>
      <xdr:row>24</xdr:row>
      <xdr:rowOff>86802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FB90C4-F2D1-55F5-3DED-5257FF407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27912" y="4017065"/>
          <a:ext cx="4248977" cy="6417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C195A-44EF-4AF3-8142-F20F222C413B}">
  <dimension ref="A1:I18"/>
  <sheetViews>
    <sheetView workbookViewId="0">
      <selection activeCell="B17" sqref="B17:B18"/>
    </sheetView>
  </sheetViews>
  <sheetFormatPr defaultRowHeight="15" x14ac:dyDescent="0.25"/>
  <sheetData>
    <row r="1" spans="1:9" x14ac:dyDescent="0.25">
      <c r="A1" t="s">
        <v>5</v>
      </c>
    </row>
    <row r="2" spans="1:9" ht="15.75" thickBot="1" x14ac:dyDescent="0.3"/>
    <row r="3" spans="1:9" x14ac:dyDescent="0.25">
      <c r="A3" s="9" t="s">
        <v>6</v>
      </c>
      <c r="B3" s="9"/>
    </row>
    <row r="4" spans="1:9" x14ac:dyDescent="0.25">
      <c r="A4" t="s">
        <v>7</v>
      </c>
      <c r="B4">
        <v>0.15894228639215383</v>
      </c>
    </row>
    <row r="5" spans="1:9" x14ac:dyDescent="0.25">
      <c r="A5" t="s">
        <v>8</v>
      </c>
      <c r="B5">
        <v>2.5262650403565446E-2</v>
      </c>
    </row>
    <row r="6" spans="1:9" x14ac:dyDescent="0.25">
      <c r="A6" t="s">
        <v>9</v>
      </c>
      <c r="B6">
        <v>-3.5658433946211709E-2</v>
      </c>
    </row>
    <row r="7" spans="1:9" x14ac:dyDescent="0.25">
      <c r="A7" t="s">
        <v>10</v>
      </c>
      <c r="B7">
        <v>1.9875342347929146</v>
      </c>
    </row>
    <row r="8" spans="1:9" ht="15.75" thickBot="1" x14ac:dyDescent="0.3">
      <c r="A8" s="7" t="s">
        <v>11</v>
      </c>
      <c r="B8" s="7">
        <v>18</v>
      </c>
    </row>
    <row r="10" spans="1:9" ht="15.75" thickBot="1" x14ac:dyDescent="0.3">
      <c r="A10" t="s">
        <v>12</v>
      </c>
    </row>
    <row r="11" spans="1:9" x14ac:dyDescent="0.25">
      <c r="A11" s="8"/>
      <c r="B11" s="8" t="s">
        <v>17</v>
      </c>
      <c r="C11" s="8" t="s">
        <v>18</v>
      </c>
      <c r="D11" s="8" t="s">
        <v>19</v>
      </c>
      <c r="E11" s="8" t="s">
        <v>20</v>
      </c>
      <c r="F11" s="8" t="s">
        <v>21</v>
      </c>
    </row>
    <row r="12" spans="1:9" x14ac:dyDescent="0.25">
      <c r="A12" t="s">
        <v>13</v>
      </c>
      <c r="B12">
        <v>1</v>
      </c>
      <c r="C12">
        <v>1.6381004261960825</v>
      </c>
      <c r="D12">
        <v>1.6381004261960825</v>
      </c>
      <c r="E12">
        <v>0.41467827884547254</v>
      </c>
      <c r="F12">
        <v>0.5287282593471323</v>
      </c>
    </row>
    <row r="13" spans="1:9" x14ac:dyDescent="0.25">
      <c r="A13" t="s">
        <v>14</v>
      </c>
      <c r="B13">
        <v>16</v>
      </c>
      <c r="C13">
        <v>63.204677351581701</v>
      </c>
      <c r="D13">
        <v>3.9502923344738563</v>
      </c>
    </row>
    <row r="14" spans="1:9" ht="15.75" thickBot="1" x14ac:dyDescent="0.3">
      <c r="A14" s="7" t="s">
        <v>15</v>
      </c>
      <c r="B14" s="7">
        <v>17</v>
      </c>
      <c r="C14" s="7">
        <v>64.842777777777783</v>
      </c>
      <c r="D14" s="7"/>
      <c r="E14" s="7"/>
      <c r="F14" s="7"/>
    </row>
    <row r="15" spans="1:9" ht="15.75" thickBot="1" x14ac:dyDescent="0.3"/>
    <row r="16" spans="1:9" x14ac:dyDescent="0.25">
      <c r="A16" s="8"/>
      <c r="B16" s="8" t="s">
        <v>22</v>
      </c>
      <c r="C16" s="8" t="s">
        <v>10</v>
      </c>
      <c r="D16" s="8" t="s">
        <v>23</v>
      </c>
      <c r="E16" s="8" t="s">
        <v>24</v>
      </c>
      <c r="F16" s="8" t="s">
        <v>25</v>
      </c>
      <c r="G16" s="8" t="s">
        <v>26</v>
      </c>
      <c r="H16" s="8" t="s">
        <v>27</v>
      </c>
      <c r="I16" s="8" t="s">
        <v>28</v>
      </c>
    </row>
    <row r="17" spans="1:9" x14ac:dyDescent="0.25">
      <c r="A17" t="s">
        <v>16</v>
      </c>
      <c r="B17">
        <v>-0.19026352121976101</v>
      </c>
      <c r="C17">
        <v>0.47064863405240476</v>
      </c>
      <c r="D17">
        <v>-0.40425809713191679</v>
      </c>
      <c r="E17">
        <v>0.69137527969517887</v>
      </c>
      <c r="F17">
        <v>-1.1879940546186991</v>
      </c>
      <c r="G17">
        <v>0.80746701217917705</v>
      </c>
      <c r="H17">
        <v>-1.1879940546186991</v>
      </c>
      <c r="I17">
        <v>0.80746701217917705</v>
      </c>
    </row>
    <row r="18" spans="1:9" ht="15.75" thickBot="1" x14ac:dyDescent="0.3">
      <c r="A18" s="7" t="s">
        <v>29</v>
      </c>
      <c r="B18" s="7">
        <v>-0.15901314604718178</v>
      </c>
      <c r="C18" s="7">
        <v>0.24693200711449162</v>
      </c>
      <c r="D18" s="7">
        <v>-0.64395518387964301</v>
      </c>
      <c r="E18" s="7">
        <v>0.52872825934713608</v>
      </c>
      <c r="F18" s="7">
        <v>-0.68248561647653316</v>
      </c>
      <c r="G18" s="7">
        <v>0.36445932438216966</v>
      </c>
      <c r="H18" s="7">
        <v>-0.68248561647653316</v>
      </c>
      <c r="I18" s="7">
        <v>0.36445932438216966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8ACA2-F73D-47C7-A58E-1A924F1D1FB7}">
  <dimension ref="A1:I18"/>
  <sheetViews>
    <sheetView workbookViewId="0">
      <selection activeCell="B17" sqref="B17:B18"/>
    </sheetView>
  </sheetViews>
  <sheetFormatPr defaultRowHeight="15" x14ac:dyDescent="0.25"/>
  <sheetData>
    <row r="1" spans="1:9" x14ac:dyDescent="0.25">
      <c r="A1" t="s">
        <v>5</v>
      </c>
    </row>
    <row r="2" spans="1:9" ht="15.75" thickBot="1" x14ac:dyDescent="0.3"/>
    <row r="3" spans="1:9" x14ac:dyDescent="0.25">
      <c r="A3" s="9" t="s">
        <v>6</v>
      </c>
      <c r="B3" s="9"/>
    </row>
    <row r="4" spans="1:9" x14ac:dyDescent="0.25">
      <c r="A4" t="s">
        <v>7</v>
      </c>
      <c r="B4">
        <v>0.52388658936948396</v>
      </c>
    </row>
    <row r="5" spans="1:9" x14ac:dyDescent="0.25">
      <c r="A5" t="s">
        <v>8</v>
      </c>
      <c r="B5">
        <v>0.27445715852119029</v>
      </c>
    </row>
    <row r="6" spans="1:9" x14ac:dyDescent="0.25">
      <c r="A6" t="s">
        <v>9</v>
      </c>
      <c r="B6">
        <v>0.22608763575593632</v>
      </c>
    </row>
    <row r="7" spans="1:9" x14ac:dyDescent="0.25">
      <c r="A7" t="s">
        <v>10</v>
      </c>
      <c r="B7">
        <v>2.5606697193075747</v>
      </c>
    </row>
    <row r="8" spans="1:9" ht="15.75" thickBot="1" x14ac:dyDescent="0.3">
      <c r="A8" s="7" t="s">
        <v>11</v>
      </c>
      <c r="B8" s="7">
        <v>17</v>
      </c>
    </row>
    <row r="10" spans="1:9" ht="15.75" thickBot="1" x14ac:dyDescent="0.3">
      <c r="A10" t="s">
        <v>12</v>
      </c>
    </row>
    <row r="11" spans="1:9" x14ac:dyDescent="0.25">
      <c r="A11" s="8"/>
      <c r="B11" s="8" t="s">
        <v>17</v>
      </c>
      <c r="C11" s="8" t="s">
        <v>18</v>
      </c>
      <c r="D11" s="8" t="s">
        <v>19</v>
      </c>
      <c r="E11" s="8" t="s">
        <v>20</v>
      </c>
      <c r="F11" s="8" t="s">
        <v>21</v>
      </c>
    </row>
    <row r="12" spans="1:9" x14ac:dyDescent="0.25">
      <c r="A12" t="s">
        <v>13</v>
      </c>
      <c r="B12">
        <v>1</v>
      </c>
      <c r="C12">
        <v>37.205735299907303</v>
      </c>
      <c r="D12">
        <v>37.205735299907303</v>
      </c>
      <c r="E12">
        <v>5.6741754483123676</v>
      </c>
      <c r="F12">
        <v>3.0888671024197095E-2</v>
      </c>
    </row>
    <row r="13" spans="1:9" x14ac:dyDescent="0.25">
      <c r="A13" t="s">
        <v>14</v>
      </c>
      <c r="B13">
        <v>15</v>
      </c>
      <c r="C13">
        <v>98.35544117068099</v>
      </c>
      <c r="D13">
        <v>6.5570294113787329</v>
      </c>
    </row>
    <row r="14" spans="1:9" ht="15.75" thickBot="1" x14ac:dyDescent="0.3">
      <c r="A14" s="7" t="s">
        <v>15</v>
      </c>
      <c r="B14" s="7">
        <v>16</v>
      </c>
      <c r="C14" s="7">
        <v>135.56117647058829</v>
      </c>
      <c r="D14" s="7"/>
      <c r="E14" s="7"/>
      <c r="F14" s="7"/>
    </row>
    <row r="15" spans="1:9" ht="15.75" thickBot="1" x14ac:dyDescent="0.3"/>
    <row r="16" spans="1:9" x14ac:dyDescent="0.25">
      <c r="A16" s="8"/>
      <c r="B16" s="8" t="s">
        <v>22</v>
      </c>
      <c r="C16" s="8" t="s">
        <v>10</v>
      </c>
      <c r="D16" s="8" t="s">
        <v>23</v>
      </c>
      <c r="E16" s="8" t="s">
        <v>24</v>
      </c>
      <c r="F16" s="8" t="s">
        <v>25</v>
      </c>
      <c r="G16" s="8" t="s">
        <v>26</v>
      </c>
      <c r="H16" s="8" t="s">
        <v>27</v>
      </c>
      <c r="I16" s="8" t="s">
        <v>28</v>
      </c>
    </row>
    <row r="17" spans="1:9" x14ac:dyDescent="0.25">
      <c r="A17" t="s">
        <v>16</v>
      </c>
      <c r="B17">
        <v>0.2264997677220224</v>
      </c>
      <c r="C17">
        <v>0.62108419307286578</v>
      </c>
      <c r="D17">
        <v>0.36468448279354193</v>
      </c>
      <c r="E17">
        <v>0.72043723160537865</v>
      </c>
      <c r="F17">
        <v>-1.0973098533574963</v>
      </c>
      <c r="G17">
        <v>1.5503093888015411</v>
      </c>
      <c r="H17">
        <v>-1.0973098533574963</v>
      </c>
      <c r="I17">
        <v>1.5503093888015411</v>
      </c>
    </row>
    <row r="18" spans="1:9" ht="15.75" thickBot="1" x14ac:dyDescent="0.3">
      <c r="A18" s="7" t="s">
        <v>29</v>
      </c>
      <c r="B18" s="7">
        <v>-0.49900789745124108</v>
      </c>
      <c r="C18" s="7">
        <v>0.20948649902736194</v>
      </c>
      <c r="D18" s="7">
        <v>-2.3820527803372356</v>
      </c>
      <c r="E18" s="7">
        <v>3.0888671024197248E-2</v>
      </c>
      <c r="F18" s="7">
        <v>-0.94551780060401969</v>
      </c>
      <c r="G18" s="7">
        <v>-5.2497994298462414E-2</v>
      </c>
      <c r="H18" s="7">
        <v>-0.94551780060401969</v>
      </c>
      <c r="I18" s="7">
        <v>-5.2497994298462414E-2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0AFE9-D688-4589-A7F3-45998B67BE7D}">
  <dimension ref="A1:L25"/>
  <sheetViews>
    <sheetView tabSelected="1" topLeftCell="A10" zoomScale="115" zoomScaleNormal="115" workbookViewId="0">
      <selection activeCell="I27" sqref="I27"/>
    </sheetView>
  </sheetViews>
  <sheetFormatPr defaultRowHeight="15" x14ac:dyDescent="0.25"/>
  <cols>
    <col min="1" max="1" width="10.140625" bestFit="1" customWidth="1"/>
    <col min="2" max="2" width="6.7109375" bestFit="1" customWidth="1"/>
    <col min="3" max="3" width="9.7109375" customWidth="1"/>
    <col min="4" max="4" width="9" bestFit="1" customWidth="1"/>
    <col min="5" max="5" width="9.85546875" customWidth="1"/>
    <col min="6" max="6" width="14" bestFit="1" customWidth="1"/>
    <col min="7" max="8" width="7.85546875" bestFit="1" customWidth="1"/>
    <col min="9" max="9" width="7.85546875" customWidth="1"/>
    <col min="10" max="10" width="21.5703125" customWidth="1"/>
    <col min="11" max="11" width="11.85546875" customWidth="1"/>
  </cols>
  <sheetData>
    <row r="1" spans="1:12" x14ac:dyDescent="0.25">
      <c r="D1" s="15" t="s">
        <v>47</v>
      </c>
      <c r="E1" s="15" t="s">
        <v>46</v>
      </c>
      <c r="G1" s="15" t="s">
        <v>47</v>
      </c>
      <c r="H1" s="15" t="s">
        <v>46</v>
      </c>
    </row>
    <row r="2" spans="1:12" x14ac:dyDescent="0.25">
      <c r="A2" s="3" t="s">
        <v>0</v>
      </c>
      <c r="B2" s="3" t="s">
        <v>1</v>
      </c>
      <c r="C2" s="5" t="s">
        <v>2</v>
      </c>
      <c r="D2" s="4" t="s">
        <v>3</v>
      </c>
      <c r="E2" s="4" t="s">
        <v>4</v>
      </c>
      <c r="F2" s="4" t="s">
        <v>38</v>
      </c>
      <c r="G2" s="4" t="s">
        <v>33</v>
      </c>
      <c r="H2" s="4" t="s">
        <v>34</v>
      </c>
      <c r="J2" s="3" t="s">
        <v>44</v>
      </c>
    </row>
    <row r="3" spans="1:12" x14ac:dyDescent="0.25">
      <c r="A3" s="1">
        <v>45748</v>
      </c>
      <c r="B3" s="2">
        <v>1</v>
      </c>
      <c r="C3">
        <v>60.8</v>
      </c>
      <c r="J3" t="s">
        <v>40</v>
      </c>
    </row>
    <row r="4" spans="1:12" x14ac:dyDescent="0.25">
      <c r="A4" s="1">
        <v>45749</v>
      </c>
      <c r="B4" s="2">
        <v>2</v>
      </c>
      <c r="C4">
        <v>60.5</v>
      </c>
      <c r="D4">
        <f>C4-C3</f>
        <v>-0.29999999999999716</v>
      </c>
      <c r="J4" s="10" t="s">
        <v>39</v>
      </c>
    </row>
    <row r="5" spans="1:12" x14ac:dyDescent="0.25">
      <c r="A5" s="1">
        <v>45750</v>
      </c>
      <c r="B5" s="2">
        <v>3</v>
      </c>
      <c r="C5">
        <v>56.5</v>
      </c>
      <c r="D5" s="6">
        <f t="shared" ref="D5:D22" si="0">C5-C4</f>
        <v>-4</v>
      </c>
      <c r="E5" s="6">
        <f>D4</f>
        <v>-0.29999999999999716</v>
      </c>
      <c r="F5">
        <f>$K$8+$L$8*D5</f>
        <v>0.44578906296896614</v>
      </c>
      <c r="G5">
        <f>D5-E5</f>
        <v>-3.7000000000000028</v>
      </c>
      <c r="J5" s="3" t="s">
        <v>43</v>
      </c>
    </row>
    <row r="6" spans="1:12" x14ac:dyDescent="0.25">
      <c r="A6" s="1">
        <v>45751</v>
      </c>
      <c r="B6" s="2">
        <v>4</v>
      </c>
      <c r="C6">
        <v>58.5</v>
      </c>
      <c r="D6" s="6">
        <f t="shared" si="0"/>
        <v>2</v>
      </c>
      <c r="E6" s="6">
        <f t="shared" ref="E6:E25" si="1">D5</f>
        <v>-4</v>
      </c>
      <c r="F6">
        <f t="shared" ref="F6:F25" si="2">$K$8+$L$8*D6</f>
        <v>-0.50828981331412459</v>
      </c>
      <c r="G6">
        <f t="shared" ref="G6:G25" si="3">D6-E6</f>
        <v>6</v>
      </c>
      <c r="H6">
        <f>G5</f>
        <v>-3.7000000000000028</v>
      </c>
      <c r="J6" t="s">
        <v>48</v>
      </c>
    </row>
    <row r="7" spans="1:12" x14ac:dyDescent="0.25">
      <c r="A7" s="1">
        <v>45755</v>
      </c>
      <c r="B7" s="2">
        <v>5</v>
      </c>
      <c r="C7">
        <v>54.5</v>
      </c>
      <c r="D7" s="6">
        <f t="shared" si="0"/>
        <v>-4</v>
      </c>
      <c r="E7" s="6">
        <f t="shared" si="1"/>
        <v>2</v>
      </c>
      <c r="F7">
        <f t="shared" si="2"/>
        <v>0.44578906296896614</v>
      </c>
      <c r="G7">
        <f t="shared" si="3"/>
        <v>-6</v>
      </c>
      <c r="H7">
        <f t="shared" ref="H7:H25" si="4">G6</f>
        <v>6</v>
      </c>
      <c r="J7" t="s">
        <v>30</v>
      </c>
      <c r="K7" s="11" t="s">
        <v>31</v>
      </c>
      <c r="L7" s="11" t="s">
        <v>32</v>
      </c>
    </row>
    <row r="8" spans="1:12" x14ac:dyDescent="0.25">
      <c r="A8" s="1">
        <v>45756</v>
      </c>
      <c r="B8" s="2">
        <v>6</v>
      </c>
      <c r="C8">
        <v>52</v>
      </c>
      <c r="D8" s="6">
        <f t="shared" si="0"/>
        <v>-2.5</v>
      </c>
      <c r="E8" s="6">
        <f t="shared" si="1"/>
        <v>-4</v>
      </c>
      <c r="F8">
        <f t="shared" si="2"/>
        <v>0.20726934389819343</v>
      </c>
      <c r="G8">
        <f t="shared" si="3"/>
        <v>1.5</v>
      </c>
      <c r="H8">
        <f t="shared" si="4"/>
        <v>-6</v>
      </c>
      <c r="K8" s="16">
        <v>-0.19026352121976101</v>
      </c>
      <c r="L8" s="16">
        <v>-0.15901314604718178</v>
      </c>
    </row>
    <row r="9" spans="1:12" x14ac:dyDescent="0.25">
      <c r="A9" s="1">
        <v>45757</v>
      </c>
      <c r="B9" s="2">
        <v>7</v>
      </c>
      <c r="C9">
        <v>55.6</v>
      </c>
      <c r="D9" s="6">
        <f t="shared" si="0"/>
        <v>3.6000000000000014</v>
      </c>
      <c r="E9" s="6">
        <f t="shared" si="1"/>
        <v>-2.5</v>
      </c>
      <c r="F9">
        <f t="shared" si="2"/>
        <v>-0.76271084698961567</v>
      </c>
      <c r="G9">
        <f t="shared" si="3"/>
        <v>6.1000000000000014</v>
      </c>
      <c r="H9">
        <f t="shared" si="4"/>
        <v>1.5</v>
      </c>
      <c r="J9" s="3" t="s">
        <v>45</v>
      </c>
    </row>
    <row r="10" spans="1:12" x14ac:dyDescent="0.25">
      <c r="A10" s="1">
        <v>45758</v>
      </c>
      <c r="B10" s="2">
        <v>8</v>
      </c>
      <c r="C10">
        <v>57.5</v>
      </c>
      <c r="D10" s="6">
        <f t="shared" si="0"/>
        <v>1.8999999999999986</v>
      </c>
      <c r="E10" s="6">
        <f t="shared" si="1"/>
        <v>3.6000000000000014</v>
      </c>
      <c r="F10">
        <f t="shared" si="2"/>
        <v>-0.49238849870940615</v>
      </c>
      <c r="G10">
        <f t="shared" si="3"/>
        <v>-1.7000000000000028</v>
      </c>
      <c r="H10">
        <f t="shared" si="4"/>
        <v>6.1000000000000014</v>
      </c>
      <c r="J10" s="10" t="s">
        <v>49</v>
      </c>
    </row>
    <row r="11" spans="1:12" x14ac:dyDescent="0.25">
      <c r="A11" s="1">
        <v>45761</v>
      </c>
      <c r="B11" s="2">
        <v>9</v>
      </c>
      <c r="C11">
        <v>56.9</v>
      </c>
      <c r="D11" s="6">
        <f t="shared" si="0"/>
        <v>-0.60000000000000142</v>
      </c>
      <c r="E11" s="6">
        <f t="shared" si="1"/>
        <v>1.8999999999999986</v>
      </c>
      <c r="F11">
        <f t="shared" si="2"/>
        <v>-9.4855633591451716E-2</v>
      </c>
      <c r="G11">
        <f t="shared" si="3"/>
        <v>-2.5</v>
      </c>
      <c r="H11">
        <f t="shared" si="4"/>
        <v>-1.7000000000000028</v>
      </c>
    </row>
    <row r="12" spans="1:12" x14ac:dyDescent="0.25">
      <c r="A12" s="1">
        <v>45762</v>
      </c>
      <c r="B12" s="2">
        <v>10</v>
      </c>
      <c r="C12">
        <v>56.3</v>
      </c>
      <c r="D12" s="6">
        <f t="shared" si="0"/>
        <v>-0.60000000000000142</v>
      </c>
      <c r="E12" s="6">
        <f t="shared" si="1"/>
        <v>-0.60000000000000142</v>
      </c>
      <c r="F12">
        <f t="shared" si="2"/>
        <v>-9.4855633591451716E-2</v>
      </c>
      <c r="G12">
        <f t="shared" si="3"/>
        <v>0</v>
      </c>
      <c r="H12">
        <f t="shared" si="4"/>
        <v>-2.5</v>
      </c>
      <c r="J12" s="3" t="s">
        <v>35</v>
      </c>
    </row>
    <row r="13" spans="1:12" x14ac:dyDescent="0.25">
      <c r="A13" s="1">
        <v>45763</v>
      </c>
      <c r="B13" s="2">
        <v>11</v>
      </c>
      <c r="C13">
        <v>56</v>
      </c>
      <c r="D13" s="6">
        <f t="shared" si="0"/>
        <v>-0.29999999999999716</v>
      </c>
      <c r="E13" s="6">
        <f t="shared" si="1"/>
        <v>-0.60000000000000142</v>
      </c>
      <c r="F13">
        <f t="shared" si="2"/>
        <v>-0.14255957740560693</v>
      </c>
      <c r="G13">
        <f t="shared" si="3"/>
        <v>0.30000000000000426</v>
      </c>
      <c r="H13">
        <f t="shared" si="4"/>
        <v>0</v>
      </c>
      <c r="J13" t="s">
        <v>41</v>
      </c>
    </row>
    <row r="14" spans="1:12" x14ac:dyDescent="0.25">
      <c r="A14" s="1">
        <v>45764</v>
      </c>
      <c r="B14" s="2">
        <v>12</v>
      </c>
      <c r="C14">
        <v>56</v>
      </c>
      <c r="D14" s="6">
        <f t="shared" si="0"/>
        <v>0</v>
      </c>
      <c r="E14" s="6">
        <f t="shared" si="1"/>
        <v>-0.29999999999999716</v>
      </c>
      <c r="F14">
        <f t="shared" si="2"/>
        <v>-0.19026352121976101</v>
      </c>
      <c r="G14">
        <f t="shared" si="3"/>
        <v>0.29999999999999716</v>
      </c>
      <c r="H14">
        <f t="shared" si="4"/>
        <v>0.30000000000000426</v>
      </c>
      <c r="J14" t="s">
        <v>42</v>
      </c>
    </row>
    <row r="15" spans="1:12" x14ac:dyDescent="0.25">
      <c r="A15" s="1">
        <v>45765</v>
      </c>
      <c r="B15" s="2">
        <v>13</v>
      </c>
      <c r="C15">
        <v>56.6</v>
      </c>
      <c r="D15" s="6">
        <f t="shared" si="0"/>
        <v>0.60000000000000142</v>
      </c>
      <c r="E15" s="6">
        <f t="shared" si="1"/>
        <v>0</v>
      </c>
      <c r="F15">
        <f t="shared" si="2"/>
        <v>-0.2856714088480703</v>
      </c>
      <c r="G15">
        <f t="shared" si="3"/>
        <v>0.60000000000000142</v>
      </c>
      <c r="H15">
        <f t="shared" si="4"/>
        <v>0.29999999999999716</v>
      </c>
      <c r="J15" t="s">
        <v>50</v>
      </c>
    </row>
    <row r="16" spans="1:12" x14ac:dyDescent="0.25">
      <c r="A16" s="1">
        <v>45768</v>
      </c>
      <c r="B16" s="2">
        <v>14</v>
      </c>
      <c r="C16">
        <v>56.7</v>
      </c>
      <c r="D16" s="6">
        <f t="shared" si="0"/>
        <v>0.10000000000000142</v>
      </c>
      <c r="E16" s="6">
        <f t="shared" si="1"/>
        <v>0.60000000000000142</v>
      </c>
      <c r="F16">
        <f t="shared" si="2"/>
        <v>-0.20616483582447942</v>
      </c>
      <c r="G16">
        <f t="shared" si="3"/>
        <v>-0.5</v>
      </c>
      <c r="H16">
        <f t="shared" si="4"/>
        <v>0.60000000000000142</v>
      </c>
      <c r="J16" t="s">
        <v>30</v>
      </c>
      <c r="K16" s="11" t="s">
        <v>36</v>
      </c>
      <c r="L16" s="11" t="s">
        <v>37</v>
      </c>
    </row>
    <row r="17" spans="1:12" x14ac:dyDescent="0.25">
      <c r="A17" s="1">
        <v>45769</v>
      </c>
      <c r="B17" s="2">
        <v>15</v>
      </c>
      <c r="C17">
        <v>56</v>
      </c>
      <c r="D17" s="6">
        <f t="shared" si="0"/>
        <v>-0.70000000000000284</v>
      </c>
      <c r="E17" s="6">
        <f t="shared" si="1"/>
        <v>0.10000000000000142</v>
      </c>
      <c r="F17">
        <f t="shared" si="2"/>
        <v>-7.8954318986733302E-2</v>
      </c>
      <c r="G17">
        <f t="shared" si="3"/>
        <v>-0.80000000000000426</v>
      </c>
      <c r="H17">
        <f t="shared" si="4"/>
        <v>-0.5</v>
      </c>
      <c r="K17" s="17">
        <v>0.2264997677220224</v>
      </c>
      <c r="L17" s="17">
        <v>-0.49900789745124108</v>
      </c>
    </row>
    <row r="18" spans="1:12" x14ac:dyDescent="0.25">
      <c r="A18" s="1">
        <v>45770</v>
      </c>
      <c r="B18" s="2">
        <v>16</v>
      </c>
      <c r="C18">
        <v>56.4</v>
      </c>
      <c r="D18" s="6">
        <f t="shared" si="0"/>
        <v>0.39999999999999858</v>
      </c>
      <c r="E18" s="6">
        <f t="shared" si="1"/>
        <v>-0.70000000000000284</v>
      </c>
      <c r="F18">
        <f t="shared" si="2"/>
        <v>-0.25386877963863352</v>
      </c>
      <c r="G18">
        <f t="shared" si="3"/>
        <v>1.1000000000000014</v>
      </c>
      <c r="H18">
        <f t="shared" si="4"/>
        <v>-0.80000000000000426</v>
      </c>
      <c r="J18" s="3" t="s">
        <v>51</v>
      </c>
    </row>
    <row r="19" spans="1:12" x14ac:dyDescent="0.25">
      <c r="A19" s="1">
        <v>45771</v>
      </c>
      <c r="B19" s="2">
        <v>17</v>
      </c>
      <c r="C19">
        <v>56.3</v>
      </c>
      <c r="D19" s="6">
        <f t="shared" si="0"/>
        <v>-0.10000000000000142</v>
      </c>
      <c r="E19" s="6">
        <f t="shared" si="1"/>
        <v>0.39999999999999858</v>
      </c>
      <c r="F19">
        <f t="shared" si="2"/>
        <v>-0.17436220661504259</v>
      </c>
      <c r="G19">
        <f t="shared" si="3"/>
        <v>-0.5</v>
      </c>
      <c r="H19">
        <f t="shared" si="4"/>
        <v>1.1000000000000014</v>
      </c>
      <c r="J19" s="10" t="s">
        <v>52</v>
      </c>
    </row>
    <row r="20" spans="1:12" x14ac:dyDescent="0.25">
      <c r="A20" s="1">
        <v>45772</v>
      </c>
      <c r="B20" s="2">
        <v>18</v>
      </c>
      <c r="C20">
        <v>58.3</v>
      </c>
      <c r="D20" s="6">
        <f t="shared" si="0"/>
        <v>2</v>
      </c>
      <c r="E20" s="6">
        <f t="shared" si="1"/>
        <v>-0.10000000000000142</v>
      </c>
      <c r="F20">
        <f t="shared" si="2"/>
        <v>-0.50828981331412459</v>
      </c>
      <c r="G20">
        <f t="shared" si="3"/>
        <v>2.1000000000000014</v>
      </c>
      <c r="H20">
        <f t="shared" si="4"/>
        <v>-0.5</v>
      </c>
      <c r="J20" t="s">
        <v>53</v>
      </c>
    </row>
    <row r="21" spans="1:12" x14ac:dyDescent="0.25">
      <c r="A21" s="1">
        <v>45775</v>
      </c>
      <c r="B21" s="2">
        <v>19</v>
      </c>
      <c r="C21">
        <v>57.5</v>
      </c>
      <c r="D21" s="6">
        <f t="shared" si="0"/>
        <v>-0.79999999999999716</v>
      </c>
      <c r="E21" s="6">
        <f t="shared" si="1"/>
        <v>2</v>
      </c>
      <c r="F21">
        <f t="shared" si="2"/>
        <v>-6.3053004382016026E-2</v>
      </c>
      <c r="G21">
        <f t="shared" si="3"/>
        <v>-2.7999999999999972</v>
      </c>
      <c r="H21">
        <f t="shared" si="4"/>
        <v>2.1000000000000014</v>
      </c>
    </row>
    <row r="22" spans="1:12" x14ac:dyDescent="0.25">
      <c r="A22" s="1">
        <v>45776</v>
      </c>
      <c r="B22" s="2">
        <v>20</v>
      </c>
      <c r="C22">
        <v>57.6</v>
      </c>
      <c r="D22" s="6">
        <f t="shared" si="0"/>
        <v>0.10000000000000142</v>
      </c>
      <c r="E22" s="6">
        <f t="shared" si="1"/>
        <v>-0.79999999999999716</v>
      </c>
      <c r="F22">
        <f t="shared" si="2"/>
        <v>-0.20616483582447942</v>
      </c>
      <c r="G22">
        <f t="shared" si="3"/>
        <v>0.89999999999999858</v>
      </c>
      <c r="H22">
        <f t="shared" si="4"/>
        <v>-2.7999999999999972</v>
      </c>
    </row>
    <row r="23" spans="1:12" x14ac:dyDescent="0.25">
      <c r="B23" s="13">
        <v>21</v>
      </c>
      <c r="C23" s="12">
        <f>C22+D23</f>
        <v>57.171227824191426</v>
      </c>
      <c r="D23" s="14">
        <f xml:space="preserve"> $K$8+$L$8*D22+$K$17+$L$17*G22</f>
        <v>-0.4287721758085733</v>
      </c>
      <c r="E23" s="12">
        <f t="shared" si="1"/>
        <v>0.10000000000000142</v>
      </c>
      <c r="F23" s="12">
        <f t="shared" si="2"/>
        <v>-0.12208310860694443</v>
      </c>
      <c r="G23" s="12">
        <f t="shared" si="3"/>
        <v>-0.52877217580857472</v>
      </c>
      <c r="H23" s="12">
        <f t="shared" si="4"/>
        <v>0.89999999999999858</v>
      </c>
    </row>
    <row r="24" spans="1:12" x14ac:dyDescent="0.25">
      <c r="B24" s="13">
        <v>22</v>
      </c>
      <c r="C24" s="12">
        <f t="shared" ref="C24:C25" si="5">C23+D24</f>
        <v>57.539505974987456</v>
      </c>
      <c r="D24" s="14">
        <f t="shared" ref="D24:D25" si="6" xml:space="preserve"> $K$8+$L$8*D23+$K$17+$L$17*G23</f>
        <v>0.36827815079603282</v>
      </c>
      <c r="E24" s="12">
        <f t="shared" si="1"/>
        <v>-0.4287721758085733</v>
      </c>
      <c r="F24" s="12">
        <f t="shared" si="2"/>
        <v>-0.24882458859827661</v>
      </c>
      <c r="G24" s="12">
        <f t="shared" si="3"/>
        <v>0.79705032660460606</v>
      </c>
      <c r="H24" s="12">
        <f t="shared" si="4"/>
        <v>-0.52877217580857472</v>
      </c>
    </row>
    <row r="25" spans="1:12" x14ac:dyDescent="0.25">
      <c r="B25" s="13">
        <v>23</v>
      </c>
      <c r="C25" s="12">
        <f t="shared" si="5"/>
        <v>57.119446746469414</v>
      </c>
      <c r="D25" s="14">
        <f t="shared" si="6"/>
        <v>-0.42005922851804367</v>
      </c>
      <c r="E25" s="12">
        <f t="shared" si="1"/>
        <v>0.36827815079603282</v>
      </c>
      <c r="F25" s="12">
        <f t="shared" si="2"/>
        <v>-0.12346858176695483</v>
      </c>
      <c r="G25" s="12">
        <f t="shared" si="3"/>
        <v>-0.78833737931407644</v>
      </c>
      <c r="H25" s="12">
        <f t="shared" si="4"/>
        <v>0.79705032660460606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AR_Regr</vt:lpstr>
      <vt:lpstr>MA_Regr</vt:lpstr>
      <vt:lpstr>vinamilk_one_month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BuuHQ-TPF</dc:creator>
  <cp:lastModifiedBy>BOO HUYNH</cp:lastModifiedBy>
  <dcterms:created xsi:type="dcterms:W3CDTF">2025-05-15T08:08:17Z</dcterms:created>
  <dcterms:modified xsi:type="dcterms:W3CDTF">2025-05-15T10:22:30Z</dcterms:modified>
</cp:coreProperties>
</file>